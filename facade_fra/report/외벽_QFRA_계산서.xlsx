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1_입력" sheetId="2" state="visible" r:id="rId4"/>
    <sheet name="2_시험자료" sheetId="3" state="visible" r:id="rId5"/>
    <sheet name="3_사건수목" sheetId="4" state="visible" r:id="rId6"/>
    <sheet name="4_결과모델" sheetId="5" state="visible" r:id="rId7"/>
    <sheet name="5_위험도" sheetId="6" state="visible" r:id="rId8"/>
    <sheet name="6_불확실성(MC)" sheetId="7" state="visible" r:id="rId9"/>
    <sheet name="7_검증" sheetId="8" state="visible" r:id="rId10"/>
    <sheet name="8_문서화점검" sheetId="9" state="visible" r:id="rId11"/>
  </sheets>
  <definedNames>
    <definedName function="false" hidden="false" name="agg_bar" vbProcedure="false">4_결과모델!$C$102:$C$122</definedName>
    <definedName function="false" hidden="false" name="agg_En" vbProcedure="false">4_결과모델!$D$102:$D$122</definedName>
    <definedName function="false" hidden="false" name="agg_Ep" vbProcedure="false">4_결과모델!$E$102:$E$122</definedName>
    <definedName function="false" hidden="false" name="agg_ie" vbProcedure="false">4_결과모델!$B$102:$B$122</definedName>
    <definedName function="false" hidden="false" name="agg_mat" vbProcedure="false">4_결과모델!$A$102:$A$122</definedName>
    <definedName function="false" hidden="false" name="agg_P1" vbProcedure="false">4_결과모델!$F$102:$F$122</definedName>
    <definedName function="false" hidden="false" name="agg_P10" vbProcedure="false">4_결과모델!$O$102:$O$122</definedName>
    <definedName function="false" hidden="false" name="agg_P11" vbProcedure="false">4_결과모델!$P$102:$P$122</definedName>
    <definedName function="false" hidden="false" name="agg_P12" vbProcedure="false">4_결과모델!$Q$102:$Q$122</definedName>
    <definedName function="false" hidden="false" name="agg_P13" vbProcedure="false">4_결과모델!$R$102:$R$122</definedName>
    <definedName function="false" hidden="false" name="agg_P14" vbProcedure="false">4_결과모델!$S$102:$S$122</definedName>
    <definedName function="false" hidden="false" name="agg_P15" vbProcedure="false">4_결과모델!$T$102:$T$122</definedName>
    <definedName function="false" hidden="false" name="agg_P16" vbProcedure="false">4_결과모델!$U$102:$U$122</definedName>
    <definedName function="false" hidden="false" name="agg_P17" vbProcedure="false">4_결과모델!$V$102:$V$122</definedName>
    <definedName function="false" hidden="false" name="agg_P18" vbProcedure="false">4_결과모델!$W$102:$W$122</definedName>
    <definedName function="false" hidden="false" name="agg_P19" vbProcedure="false">4_결과모델!$X$102:$X$122</definedName>
    <definedName function="false" hidden="false" name="agg_P2" vbProcedure="false">4_결과모델!$G$102:$G$122</definedName>
    <definedName function="false" hidden="false" name="agg_P20" vbProcedure="false">4_결과모델!$Y$102:$Y$122</definedName>
    <definedName function="false" hidden="false" name="agg_P3" vbProcedure="false">4_결과모델!$H$102:$H$122</definedName>
    <definedName function="false" hidden="false" name="agg_P4" vbProcedure="false">4_결과모델!$I$102:$I$122</definedName>
    <definedName function="false" hidden="false" name="agg_P5" vbProcedure="false">4_결과모델!$J$102:$J$122</definedName>
    <definedName function="false" hidden="false" name="agg_P6" vbProcedure="false">4_결과모델!$K$102:$K$122</definedName>
    <definedName function="false" hidden="false" name="agg_P7" vbProcedure="false">4_결과모델!$L$102:$L$122</definedName>
    <definedName function="false" hidden="false" name="agg_P8" vbProcedure="false">4_결과모델!$M$102:$M$122</definedName>
    <definedName function="false" hidden="false" name="agg_P9" vbProcedure="false">4_결과모델!$N$102:$N$122</definedName>
    <definedName function="false" hidden="false" name="crit_conf" vbProcedure="false">1_입력!$H$41</definedName>
    <definedName function="false" hidden="false" name="crit_f2" vbProcedure="false">1_입력!$H$40</definedName>
    <definedName function="false" hidden="false" name="F_IE1_B0" vbProcedure="false">3_사건수목!$E$8</definedName>
    <definedName function="false" hidden="false" name="F_IE1_B1" vbProcedure="false">3_사건수목!$D$8</definedName>
    <definedName function="false" hidden="false" name="F_IE2" vbProcedure="false">3_사건수목!$D$14</definedName>
    <definedName function="false" hidden="false" name="h_st" vbProcedure="false">1_입력!$H$7</definedName>
    <definedName function="false" hidden="false" name="j_row" vbProcedure="false">4_결과모델!$B$4:$BH$4</definedName>
    <definedName function="false" hidden="false" name="lam_1" vbProcedure="false">1_입력!$H$12</definedName>
    <definedName function="false" hidden="false" name="lam_2" vbProcedure="false">1_입력!$H$13</definedName>
    <definedName function="false" hidden="false" name="n_aff" vbProcedure="false">1_입력!$H$10</definedName>
    <definedName function="false" hidden="false" name="N_st" vbProcedure="false">1_입력!$H$6</definedName>
    <definedName function="false" hidden="false" name="n_units" vbProcedure="false">1_입력!$H$48</definedName>
    <definedName function="false" hidden="false" name="occ" vbProcedure="false">1_입력!$H$9</definedName>
    <definedName function="false" hidden="false" name="occ_st" vbProcedure="false">1_입력!$H$46</definedName>
    <definedName function="false" hidden="false" name="occ_total" vbProcedure="false">1_입력!$H$47</definedName>
    <definedName function="false" hidden="false" name="p_cb" vbProcedure="false">1_입력!$H$21</definedName>
    <definedName function="false" hidden="false" name="p_d" vbProcedure="false">1_입력!$H$30</definedName>
    <definedName function="false" hidden="false" name="p_exp0" vbProcedure="false">1_입력!$H$19</definedName>
    <definedName function="false" hidden="false" name="p_exp1" vbProcedure="false">1_입력!$H$20</definedName>
    <definedName function="false" hidden="false" name="p_fo" vbProcedure="false">1_입력!$H$16</definedName>
    <definedName function="false" hidden="false" name="p_L" vbProcedure="false">1_입력!$H$22</definedName>
    <definedName function="false" hidden="false" name="p_spr" vbProcedure="false">1_입력!$H$15</definedName>
    <definedName function="false" hidden="false" name="p_vent" vbProcedure="false">1_입력!$H$17</definedName>
    <definedName function="false" hidden="false" name="p_x2" vbProcedure="false">1_입력!$H$18</definedName>
    <definedName function="false" hidden="false" name="rset_s" vbProcedure="false">1_입력!$H$26</definedName>
    <definedName function="false" hidden="false" name="s_scale" vbProcedure="false">1_입력!$H$28</definedName>
    <definedName function="false" hidden="false" name="tau_L_s" vbProcedure="false">1_입력!$H$24</definedName>
    <definedName function="false" hidden="false" name="texp1_hi_s" vbProcedure="false">1_입력!$H$36</definedName>
    <definedName function="false" hidden="false" name="texp1_lo_s" vbProcedure="false">1_입력!$H$35</definedName>
    <definedName function="false" hidden="false" name="texp1_s" vbProcedure="false">1_입력!$H$44</definedName>
    <definedName function="false" hidden="false" name="texp2_hi_s" vbProcedure="false">1_입력!$H$38</definedName>
    <definedName function="false" hidden="false" name="texp2_lo_s" vbProcedure="false">1_입력!$H$37</definedName>
    <definedName function="false" hidden="false" name="texp2_s" vbProcedure="false">1_입력!$H$45</definedName>
    <definedName function="false" hidden="false" name="t_fs_s" vbProcedure="false">1_입력!$H$25</definedName>
    <definedName function="false" hidden="false" name="units" vbProcedure="false">1_입력!$H$8</definedName>
    <definedName function="false" hidden="false" name="w_ie1" vbProcedure="false">4_결과모델!$B$5:$BH$5</definedName>
    <definedName function="false" hidden="false" name="w_ie2" vbProcedure="false">4_결과모델!$B$6:$BH$6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<sst xmlns="http://schemas.openxmlformats.org/spreadsheetml/2006/main" count="1296" uniqueCount="487">
  <si>
    <r>
      <rPr>
        <b val="true"/>
        <sz val="14"/>
        <rFont val="WenQuanYi Zen Hei"/>
        <family val="2"/>
      </rPr>
      <t xml:space="preserve">외벽 정량적 화재위험성평가</t>
    </r>
    <r>
      <rPr>
        <b val="true"/>
        <sz val="14"/>
        <rFont val="Arial"/>
        <family val="0"/>
        <charset val="1"/>
      </rPr>
      <t xml:space="preserve">(QFRA) </t>
    </r>
    <r>
      <rPr>
        <b val="true"/>
        <sz val="14"/>
        <rFont val="WenQuanYi Zen Hei"/>
        <family val="2"/>
      </rPr>
      <t xml:space="preserve">계산서 — </t>
    </r>
    <r>
      <rPr>
        <b val="true"/>
        <sz val="14"/>
        <rFont val="Arial"/>
        <family val="0"/>
        <charset val="1"/>
      </rPr>
      <t xml:space="preserve">NFPA 551 5.5 </t>
    </r>
    <r>
      <rPr>
        <b val="true"/>
        <sz val="14"/>
        <rFont val="WenQuanYi Zen Hei"/>
        <family val="2"/>
      </rPr>
      <t xml:space="preserve">정량적 방법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중공층 외단열 예제</t>
    </r>
  </si>
  <si>
    <t xml:space="preserve">목적</t>
  </si>
  <si>
    <r>
      <rPr>
        <sz val="10"/>
        <rFont val="Arial"/>
        <family val="0"/>
        <charset val="1"/>
      </rPr>
      <t xml:space="preserve">NFPA 551(2022)</t>
    </r>
    <r>
      <rPr>
        <sz val="10"/>
        <rFont val="WenQuanYi Zen Hei"/>
        <family val="2"/>
      </rPr>
      <t xml:space="preserve">이 요구하는 정량적 화재위험성평가 </t>
    </r>
    <r>
      <rPr>
        <sz val="10"/>
        <rFont val="Arial"/>
        <family val="0"/>
        <charset val="1"/>
      </rPr>
      <t xml:space="preserve">R = Σ F·C (</t>
    </r>
    <r>
      <rPr>
        <sz val="10"/>
        <rFont val="WenQuanYi Zen Hei"/>
        <family val="2"/>
      </rPr>
      <t xml:space="preserve">식 </t>
    </r>
    <r>
      <rPr>
        <sz val="10"/>
        <rFont val="Arial"/>
        <family val="0"/>
        <charset val="1"/>
      </rPr>
      <t xml:space="preserve">5.5.1.2·5.5.1.3)</t>
    </r>
    <r>
      <rPr>
        <sz val="10"/>
        <rFont val="WenQuanYi Zen Hei"/>
        <family val="2"/>
      </rPr>
      <t xml:space="preserve">를 외벽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중공층 외단열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적용하는 절차를 칸 단위로 따라갈 수 있게 만든 계산서입니다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노란 칸을 바꾸면 사건수목 → 결과 → 위험도 → 허용기준 판정이 다시 계산됩니다</t>
    </r>
    <r>
      <rPr>
        <sz val="10"/>
        <rFont val="Arial"/>
        <family val="0"/>
        <charset val="1"/>
      </rPr>
      <t xml:space="preserve">.</t>
    </r>
  </si>
  <si>
    <t xml:space="preserve">계산 구조</t>
  </si>
  <si>
    <r>
      <rPr>
        <sz val="10"/>
        <rFont val="Arial"/>
        <family val="0"/>
        <charset val="1"/>
      </rPr>
      <t xml:space="preserve">1) </t>
    </r>
    <r>
      <rPr>
        <sz val="10"/>
        <rFont val="WenQuanYi Zen Hei"/>
        <family val="2"/>
      </rPr>
      <t xml:space="preserve">사건수목</t>
    </r>
    <r>
      <rPr>
        <sz val="10"/>
        <rFont val="Arial"/>
        <family val="0"/>
        <charset val="1"/>
      </rPr>
      <t xml:space="preserve">(3_</t>
    </r>
    <r>
      <rPr>
        <sz val="10"/>
        <rFont val="WenQuanYi Zen Hei"/>
        <family val="2"/>
      </rPr>
      <t xml:space="preserve">사건수목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세대 화재</t>
    </r>
    <r>
      <rPr>
        <sz val="10"/>
        <rFont val="Arial"/>
        <family val="0"/>
        <charset val="1"/>
      </rPr>
      <t xml:space="preserve">(IE1)·</t>
    </r>
    <r>
      <rPr>
        <sz val="10"/>
        <rFont val="WenQuanYi Zen Hei"/>
        <family val="2"/>
      </rPr>
      <t xml:space="preserve">외부 발화원</t>
    </r>
    <r>
      <rPr>
        <sz val="10"/>
        <rFont val="Arial"/>
        <family val="0"/>
        <charset val="1"/>
      </rPr>
      <t xml:space="preserve">(IE2)</t>
    </r>
    <r>
      <rPr>
        <sz val="10"/>
        <rFont val="WenQuanYi Zen Hei"/>
        <family val="2"/>
      </rPr>
      <t xml:space="preserve">이 외벽을 노출시키는 연간 빈도 </t>
    </r>
    <r>
      <rPr>
        <sz val="10"/>
        <rFont val="Arial"/>
        <family val="0"/>
        <charset val="1"/>
      </rPr>
      <t xml:space="preserve">F. 2) </t>
    </r>
    <r>
      <rPr>
        <sz val="10"/>
        <rFont val="WenQuanYi Zen Hei"/>
        <family val="2"/>
      </rPr>
      <t xml:space="preserve">결과 모델</t>
    </r>
    <r>
      <rPr>
        <sz val="10"/>
        <rFont val="Arial"/>
        <family val="0"/>
        <charset val="1"/>
      </rPr>
      <t xml:space="preserve">(4_</t>
    </r>
    <r>
      <rPr>
        <sz val="10"/>
        <rFont val="WenQuanYi Zen Hei"/>
        <family val="2"/>
      </rPr>
      <t xml:space="preserve">결과모델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중공층 시험 </t>
    </r>
    <r>
      <rPr>
        <sz val="10"/>
        <rFont val="Arial"/>
        <family val="0"/>
        <charset val="1"/>
      </rPr>
      <t xml:space="preserve">t₆₀₀ = '</t>
    </r>
    <r>
      <rPr>
        <sz val="10"/>
        <rFont val="WenQuanYi Zen Hei"/>
        <family val="2"/>
      </rPr>
      <t xml:space="preserve">중공층 화재가 한 개 층을 올라가는 시간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배리어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도약 확산과 겨루어 발화층 위로 번지는 층 수와 노출 인원 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를 계산</t>
    </r>
    <r>
      <rPr>
        <sz val="10"/>
        <rFont val="Arial"/>
        <family val="0"/>
        <charset val="1"/>
      </rPr>
      <t xml:space="preserve">. 3) </t>
    </r>
    <r>
      <rPr>
        <sz val="10"/>
        <rFont val="WenQuanYi Zen Hei"/>
        <family val="2"/>
      </rPr>
      <t xml:space="preserve">위험도</t>
    </r>
    <r>
      <rPr>
        <sz val="10"/>
        <rFont val="Arial"/>
        <family val="0"/>
        <charset val="1"/>
      </rPr>
      <t xml:space="preserve">(5_</t>
    </r>
    <r>
      <rPr>
        <sz val="10"/>
        <rFont val="WenQuanYi Zen Hei"/>
        <family val="2"/>
      </rPr>
      <t xml:space="preserve">위험도</t>
    </r>
    <r>
      <rPr>
        <sz val="10"/>
        <rFont val="Arial"/>
        <family val="0"/>
        <charset val="1"/>
      </rPr>
      <t xml:space="preserve">): R = Σ F·C, </t>
    </r>
    <r>
      <rPr>
        <sz val="10"/>
        <rFont val="WenQuanYi Zen Hei"/>
        <family val="2"/>
      </rPr>
      <t xml:space="preserve">초과빈도 </t>
    </r>
    <r>
      <rPr>
        <sz val="10"/>
        <rFont val="Arial"/>
        <family val="0"/>
        <charset val="1"/>
      </rPr>
      <t xml:space="preserve">F(n), </t>
    </r>
    <r>
      <rPr>
        <sz val="10"/>
        <rFont val="WenQuanYi Zen Hei"/>
        <family val="2"/>
      </rPr>
      <t xml:space="preserve">기준안 대비 </t>
    </r>
    <r>
      <rPr>
        <sz val="10"/>
        <rFont val="Arial"/>
        <family val="0"/>
        <charset val="1"/>
      </rPr>
      <t xml:space="preserve">RR.</t>
    </r>
  </si>
  <si>
    <t xml:space="preserve">칸 색</t>
  </si>
  <si>
    <r>
      <rPr>
        <sz val="10"/>
        <rFont val="WenQuanYi Zen Hei"/>
        <family val="2"/>
      </rPr>
      <t xml:space="preserve">노란 바탕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바꿀 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예시값 포함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파란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측정값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검은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계산식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초록 글자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시트에서 가져온 값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연두 바탕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주요 결과</t>
    </r>
  </si>
  <si>
    <t xml:space="preserve">단계 ↔ 시트</t>
  </si>
  <si>
    <r>
      <rPr>
        <sz val="10"/>
        <rFont val="WenQuanYi Zen Hei"/>
        <family val="2"/>
      </rPr>
      <t xml:space="preserve">① 문제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범위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허용기준 → </t>
    </r>
    <r>
      <rPr>
        <sz val="10"/>
        <rFont val="Arial"/>
        <family val="0"/>
        <charset val="1"/>
      </rPr>
      <t xml:space="preserve">1_</t>
    </r>
    <r>
      <rPr>
        <sz val="10"/>
        <rFont val="WenQuanYi Zen Hei"/>
        <family val="2"/>
      </rPr>
      <t xml:space="preserve">입력 </t>
    </r>
    <r>
      <rPr>
        <sz val="10"/>
        <rFont val="Arial"/>
        <family val="0"/>
        <charset val="1"/>
      </rPr>
      <t xml:space="preserve">· ② </t>
    </r>
    <r>
      <rPr>
        <sz val="10"/>
        <rFont val="WenQuanYi Zen Hei"/>
        <family val="2"/>
      </rPr>
      <t xml:space="preserve">시나리오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빈도 → </t>
    </r>
    <r>
      <rPr>
        <sz val="10"/>
        <rFont val="Arial"/>
        <family val="0"/>
        <charset val="1"/>
      </rPr>
      <t xml:space="preserve">3_</t>
    </r>
    <r>
      <rPr>
        <sz val="10"/>
        <rFont val="WenQuanYi Zen Hei"/>
        <family val="2"/>
      </rPr>
      <t xml:space="preserve">사건수목 </t>
    </r>
    <r>
      <rPr>
        <sz val="10"/>
        <rFont val="Arial"/>
        <family val="0"/>
        <charset val="1"/>
      </rPr>
      <t xml:space="preserve">· ③ </t>
    </r>
    <r>
      <rPr>
        <sz val="10"/>
        <rFont val="WenQuanYi Zen Hei"/>
        <family val="2"/>
      </rPr>
      <t xml:space="preserve">결과 → </t>
    </r>
    <r>
      <rPr>
        <sz val="10"/>
        <rFont val="Arial"/>
        <family val="0"/>
        <charset val="1"/>
      </rPr>
      <t xml:space="preserve">2_</t>
    </r>
    <r>
      <rPr>
        <sz val="10"/>
        <rFont val="WenQuanYi Zen Hei"/>
        <family val="2"/>
      </rPr>
      <t xml:space="preserve">시험자료</t>
    </r>
    <r>
      <rPr>
        <sz val="10"/>
        <rFont val="Arial"/>
        <family val="0"/>
        <charset val="1"/>
      </rPr>
      <t xml:space="preserve">, 4_</t>
    </r>
    <r>
      <rPr>
        <sz val="10"/>
        <rFont val="WenQuanYi Zen Hei"/>
        <family val="2"/>
      </rPr>
      <t xml:space="preserve">결과모델 </t>
    </r>
    <r>
      <rPr>
        <sz val="10"/>
        <rFont val="Arial"/>
        <family val="0"/>
        <charset val="1"/>
      </rPr>
      <t xml:space="preserve">· ④ </t>
    </r>
    <r>
      <rPr>
        <sz val="10"/>
        <rFont val="WenQuanYi Zen Hei"/>
        <family val="2"/>
      </rPr>
      <t xml:space="preserve">위험도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판정 → </t>
    </r>
    <r>
      <rPr>
        <sz val="10"/>
        <rFont val="Arial"/>
        <family val="0"/>
        <charset val="1"/>
      </rPr>
      <t xml:space="preserve">5_</t>
    </r>
    <r>
      <rPr>
        <sz val="10"/>
        <rFont val="WenQuanYi Zen Hei"/>
        <family val="2"/>
      </rPr>
      <t xml:space="preserve">위험도 </t>
    </r>
    <r>
      <rPr>
        <sz val="10"/>
        <rFont val="Arial"/>
        <family val="0"/>
        <charset val="1"/>
      </rPr>
      <t xml:space="preserve">· ⑤ </t>
    </r>
    <r>
      <rPr>
        <sz val="10"/>
        <rFont val="WenQuanYi Zen Hei"/>
        <family val="2"/>
      </rPr>
      <t xml:space="preserve">불확실성 → </t>
    </r>
    <r>
      <rPr>
        <sz val="10"/>
        <rFont val="Arial"/>
        <family val="0"/>
        <charset val="1"/>
      </rPr>
      <t xml:space="preserve">6_</t>
    </r>
    <r>
      <rPr>
        <sz val="10"/>
        <rFont val="WenQuanYi Zen Hei"/>
        <family val="2"/>
      </rPr>
      <t xml:space="preserve">불확실성</t>
    </r>
    <r>
      <rPr>
        <sz val="10"/>
        <rFont val="Arial"/>
        <family val="0"/>
        <charset val="1"/>
      </rPr>
      <t xml:space="preserve">(MC) · ⑥ </t>
    </r>
    <r>
      <rPr>
        <sz val="10"/>
        <rFont val="WenQuanYi Zen Hei"/>
        <family val="2"/>
      </rPr>
      <t xml:space="preserve">검증 → </t>
    </r>
    <r>
      <rPr>
        <sz val="10"/>
        <rFont val="Arial"/>
        <family val="0"/>
        <charset val="1"/>
      </rPr>
      <t xml:space="preserve">7_</t>
    </r>
    <r>
      <rPr>
        <sz val="10"/>
        <rFont val="WenQuanYi Zen Hei"/>
        <family val="2"/>
      </rPr>
      <t xml:space="preserve">검증 </t>
    </r>
    <r>
      <rPr>
        <sz val="10"/>
        <rFont val="Arial"/>
        <family val="0"/>
        <charset val="1"/>
      </rPr>
      <t xml:space="preserve">· ⑦ </t>
    </r>
    <r>
      <rPr>
        <sz val="10"/>
        <rFont val="WenQuanYi Zen Hei"/>
        <family val="2"/>
      </rPr>
      <t xml:space="preserve">문서화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검토 → </t>
    </r>
    <r>
      <rPr>
        <sz val="10"/>
        <rFont val="Arial"/>
        <family val="0"/>
        <charset val="1"/>
      </rPr>
      <t xml:space="preserve">8_</t>
    </r>
    <r>
      <rPr>
        <sz val="10"/>
        <rFont val="WenQuanYi Zen Hei"/>
        <family val="2"/>
      </rPr>
      <t xml:space="preserve">문서화점검</t>
    </r>
  </si>
  <si>
    <t xml:space="preserve">예시값 주의</t>
  </si>
  <si>
    <r>
      <rPr>
        <sz val="10"/>
        <rFont val="WenQuanYi Zen Hei"/>
        <family val="2"/>
      </rPr>
      <t xml:space="preserve">빈도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분기확률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시간 입력은 절차를 보이기 위한 예시값입니다</t>
    </r>
    <r>
      <rPr>
        <sz val="10"/>
        <rFont val="Arial"/>
        <family val="0"/>
        <charset val="1"/>
      </rPr>
      <t xml:space="preserve">(1_</t>
    </r>
    <r>
      <rPr>
        <sz val="10"/>
        <rFont val="WenQuanYi Zen Hei"/>
        <family val="2"/>
      </rPr>
      <t xml:space="preserve">입력의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근거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대체할 자료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측정값은 중공층 시험의 </t>
    </r>
    <r>
      <rPr>
        <sz val="10"/>
        <rFont val="Arial"/>
        <family val="0"/>
        <charset val="1"/>
      </rPr>
      <t xml:space="preserve">t₆₀₀(3000 mm)</t>
    </r>
    <r>
      <rPr>
        <sz val="10"/>
        <rFont val="WenQuanYi Zen Hei"/>
        <family val="2"/>
      </rPr>
      <t xml:space="preserve">와 플래그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뿐입니다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결과 수치를 그대로 인용하지 말고 국내 통계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실대형 시험값으로 바꾼 뒤 쓰십시오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</si>
  <si>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점추정과 </t>
    </r>
    <r>
      <rPr>
        <b val="true"/>
        <sz val="10"/>
        <rFont val="Arial"/>
        <family val="0"/>
        <charset val="1"/>
      </rPr>
      <t xml:space="preserve">MC</t>
    </r>
  </si>
  <si>
    <r>
      <rPr>
        <sz val="10"/>
        <rFont val="WenQuanYi Zen Hei"/>
        <family val="2"/>
      </rPr>
      <t xml:space="preserve">이 시트들의 수식은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점추정</t>
    </r>
    <r>
      <rPr>
        <sz val="10"/>
        <rFont val="Arial"/>
        <family val="0"/>
        <charset val="1"/>
      </rPr>
      <t xml:space="preserve">'(</t>
    </r>
    <r>
      <rPr>
        <sz val="10"/>
        <rFont val="WenQuanYi Zen Hei"/>
        <family val="2"/>
      </rPr>
      <t xml:space="preserve">최적값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반복시험 동일 가중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분포를 넣은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중 몬테카를로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인식론적 </t>
    </r>
    <r>
      <rPr>
        <sz val="10"/>
        <rFont val="Arial"/>
        <family val="0"/>
        <charset val="1"/>
      </rPr>
      <t xml:space="preserve">2,000 × </t>
    </r>
    <r>
      <rPr>
        <sz val="10"/>
        <rFont val="WenQuanYi Zen Hei"/>
        <family val="2"/>
      </rPr>
      <t xml:space="preserve">우연적 </t>
    </r>
    <r>
      <rPr>
        <sz val="10"/>
        <rFont val="Arial"/>
        <family val="0"/>
        <charset val="1"/>
      </rPr>
      <t xml:space="preserve">400 </t>
    </r>
    <r>
      <rPr>
        <sz val="10"/>
        <rFont val="WenQuanYi Zen Hei"/>
        <family val="2"/>
      </rPr>
      <t xml:space="preserve">표본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파이썬 </t>
    </r>
    <r>
      <rPr>
        <sz val="10"/>
        <rFont val="Arial"/>
        <family val="0"/>
        <charset val="1"/>
      </rPr>
      <t xml:space="preserve">qfra.py</t>
    </r>
    <r>
      <rPr>
        <sz val="10"/>
        <rFont val="WenQuanYi Zen Hei"/>
        <family val="2"/>
      </rPr>
      <t xml:space="preserve">가 계산하며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 결과는 </t>
    </r>
    <r>
      <rPr>
        <sz val="10"/>
        <rFont val="Arial"/>
        <family val="0"/>
        <charset val="1"/>
      </rPr>
      <t xml:space="preserve">6_</t>
    </r>
    <r>
      <rPr>
        <sz val="10"/>
        <rFont val="WenQuanYi Zen Hei"/>
        <family val="2"/>
      </rPr>
      <t xml:space="preserve">불확실성</t>
    </r>
    <r>
      <rPr>
        <sz val="10"/>
        <rFont val="Arial"/>
        <family val="0"/>
        <charset val="1"/>
      </rPr>
      <t xml:space="preserve">(MC)</t>
    </r>
    <r>
      <rPr>
        <sz val="10"/>
        <rFont val="WenQuanYi Zen Hei"/>
        <family val="2"/>
      </rPr>
      <t xml:space="preserve">에 값으로 들어 있습니다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점추정은 꼬리 위험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진압 지연 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보지 못하므로 판정은 </t>
    </r>
    <r>
      <rPr>
        <sz val="10"/>
        <rFont val="Arial"/>
        <family val="0"/>
        <charset val="1"/>
      </rPr>
      <t xml:space="preserve">MC </t>
    </r>
    <r>
      <rPr>
        <sz val="10"/>
        <rFont val="WenQuanYi Zen Hei"/>
        <family val="2"/>
      </rPr>
      <t xml:space="preserve">결과로 합니다</t>
    </r>
    <r>
      <rPr>
        <sz val="10"/>
        <rFont val="Arial"/>
        <family val="0"/>
        <charset val="1"/>
      </rPr>
      <t xml:space="preserve">.</t>
    </r>
  </si>
  <si>
    <t xml:space="preserve">대책 인정 규칙</t>
  </si>
  <si>
    <r>
      <rPr>
        <sz val="10"/>
        <rFont val="Arial"/>
        <family val="0"/>
        <charset val="1"/>
      </rPr>
      <t xml:space="preserve">M1(</t>
    </r>
    <r>
      <rPr>
        <sz val="10"/>
        <rFont val="WenQuanYi Zen Hei"/>
        <family val="2"/>
      </rPr>
      <t xml:space="preserve">개구부 차단재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층간 캐비티 배리어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효과는 준불연 등급에만 인정합니다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가연성 등급</t>
    </r>
    <r>
      <rPr>
        <sz val="10"/>
        <rFont val="Arial"/>
        <family val="0"/>
        <charset val="1"/>
      </rPr>
      <t xml:space="preserve">(PIR(PUR) </t>
    </r>
    <r>
      <rPr>
        <sz val="10"/>
        <rFont val="WenQuanYi Zen Hei"/>
        <family val="2"/>
      </rPr>
      <t xml:space="preserve">가연성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3 m </t>
    </r>
    <r>
      <rPr>
        <sz val="10"/>
        <rFont val="WenQuanYi Zen Hei"/>
        <family val="2"/>
      </rPr>
      <t xml:space="preserve">중공층이 </t>
    </r>
    <r>
      <rPr>
        <sz val="10"/>
        <rFont val="Arial"/>
        <family val="0"/>
        <charset val="1"/>
      </rPr>
      <t xml:space="preserve">30 s </t>
    </r>
    <r>
      <rPr>
        <sz val="10"/>
        <rFont val="WenQuanYi Zen Hei"/>
        <family val="2"/>
      </rPr>
      <t xml:space="preserve">만에 전면 화염이 되었으므로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배리어가 이를 막는다는 시험 근거가 생기기 전에는 효과를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으로 둡니다</t>
    </r>
    <r>
      <rPr>
        <sz val="10"/>
        <rFont val="Arial"/>
        <family val="0"/>
        <charset val="1"/>
      </rPr>
      <t xml:space="preserve">(NFPA 551 5.1.4.5).</t>
    </r>
  </si>
  <si>
    <t xml:space="preserve">제외</t>
  </si>
  <si>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가연성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시험 기록이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분</t>
    </r>
    <r>
      <rPr>
        <sz val="10"/>
        <rFont val="Arial"/>
        <family val="0"/>
        <charset val="1"/>
      </rPr>
      <t xml:space="preserve">(240·262 s)</t>
    </r>
    <r>
      <rPr>
        <sz val="10"/>
        <rFont val="WenQuanYi Zen Hei"/>
        <family val="2"/>
      </rPr>
      <t xml:space="preserve">뿐이라 </t>
    </r>
    <r>
      <rPr>
        <sz val="10"/>
        <rFont val="Arial"/>
        <family val="0"/>
        <charset val="1"/>
      </rPr>
      <t xml:space="preserve">t₆₀₀</t>
    </r>
    <r>
      <rPr>
        <sz val="10"/>
        <rFont val="WenQuanYi Zen Hei"/>
        <family val="2"/>
      </rPr>
      <t xml:space="preserve">을 구할 수 없어 정량평가에서 뺐습니다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자료 부족</t>
    </r>
    <r>
      <rPr>
        <sz val="10"/>
        <rFont val="Arial"/>
        <family val="0"/>
        <charset val="1"/>
      </rPr>
      <t xml:space="preserve">, 6.2.1.3). </t>
    </r>
    <r>
      <rPr>
        <sz val="10"/>
        <rFont val="WenQuanYi Zen Hei"/>
        <family val="2"/>
      </rPr>
      <t xml:space="preserve">재시험 후 </t>
    </r>
    <r>
      <rPr>
        <sz val="10"/>
        <rFont val="Arial"/>
        <family val="0"/>
        <charset val="1"/>
      </rPr>
      <t xml:space="preserve">2_</t>
    </r>
    <r>
      <rPr>
        <sz val="10"/>
        <rFont val="WenQuanYi Zen Hei"/>
        <family val="2"/>
      </rPr>
      <t xml:space="preserve">시험자료에 넣고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정량평가 사용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로 바꾸면 계산에 들어갑니다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이때 </t>
    </r>
    <r>
      <rPr>
        <sz val="10"/>
        <rFont val="Arial"/>
        <family val="0"/>
        <charset val="1"/>
      </rPr>
      <t xml:space="preserve">4_</t>
    </r>
    <r>
      <rPr>
        <sz val="10"/>
        <rFont val="WenQuanYi Zen Hei"/>
        <family val="2"/>
      </rPr>
      <t xml:space="preserve">결과모델에 행 추가 필요</t>
    </r>
    <r>
      <rPr>
        <sz val="10"/>
        <rFont val="Arial"/>
        <family val="0"/>
        <charset val="1"/>
      </rPr>
      <t xml:space="preserve">).</t>
    </r>
  </si>
  <si>
    <t xml:space="preserve">재현</t>
  </si>
  <si>
    <r>
      <rPr>
        <sz val="10"/>
        <rFont val="Arial"/>
        <family val="0"/>
        <charset val="1"/>
      </rPr>
      <t xml:space="preserve">python facade_fra/qfra.py → python facade_fra/report/build_qfra_xlsx.py → recalc. </t>
    </r>
    <r>
      <rPr>
        <sz val="10"/>
        <rFont val="WenQuanYi Zen Hei"/>
        <family val="2"/>
      </rPr>
      <t xml:space="preserve">결과 </t>
    </r>
    <r>
      <rPr>
        <sz val="10"/>
        <rFont val="Arial"/>
        <family val="0"/>
        <charset val="1"/>
      </rPr>
      <t xml:space="preserve">CSV: facade_fra/results/</t>
    </r>
  </si>
  <si>
    <r>
      <rPr>
        <b val="true"/>
        <sz val="14"/>
        <rFont val="WenQuanYi Zen Hei"/>
        <family val="2"/>
      </rPr>
      <t xml:space="preserve">① 입력값 — 건물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빈도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분기확률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시간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허용기준</t>
    </r>
  </si>
  <si>
    <r>
      <rPr>
        <sz val="9"/>
        <color rgb="FF4B5563"/>
        <rFont val="WenQuanYi Zen Hei"/>
        <family val="2"/>
      </rPr>
      <t xml:space="preserve">적용값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노란 칸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이 점추정에 쓰입니다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하한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상한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분포는 몬테카를로</t>
    </r>
    <r>
      <rPr>
        <sz val="9"/>
        <color rgb="FF4B5563"/>
        <rFont val="Arial"/>
        <family val="0"/>
        <charset val="1"/>
      </rPr>
      <t xml:space="preserve">(qfra.py)</t>
    </r>
    <r>
      <rPr>
        <sz val="9"/>
        <color rgb="FF4B5563"/>
        <rFont val="WenQuanYi Zen Hei"/>
        <family val="2"/>
      </rPr>
      <t xml:space="preserve">에서 쓰는 인식론적 불확실성 범위입니다</t>
    </r>
    <r>
      <rPr>
        <sz val="9"/>
        <color rgb="FF4B5563"/>
        <rFont val="Arial"/>
        <family val="0"/>
        <charset val="1"/>
      </rPr>
      <t xml:space="preserve">.</t>
    </r>
  </si>
  <si>
    <t xml:space="preserve">기호</t>
  </si>
  <si>
    <t xml:space="preserve">항목</t>
  </si>
  <si>
    <t xml:space="preserve">단위</t>
  </si>
  <si>
    <t xml:space="preserve">적용값</t>
  </si>
  <si>
    <t xml:space="preserve">하한</t>
  </si>
  <si>
    <t xml:space="preserve">상한</t>
  </si>
  <si>
    <t xml:space="preserve">분포</t>
  </si>
  <si>
    <r>
      <rPr>
        <b val="true"/>
        <sz val="10"/>
        <color rgb="FFFFFFFF"/>
        <rFont val="WenQuanYi Zen Hei"/>
        <family val="2"/>
      </rPr>
      <t xml:space="preserve">계산용 값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초 단위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</si>
  <si>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NFPA 551</t>
  </si>
  <si>
    <r>
      <rPr>
        <b val="true"/>
        <sz val="10"/>
        <color rgb="FFFFFFFF"/>
        <rFont val="WenQuanYi Zen Hei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대체할 자료</t>
    </r>
  </si>
  <si>
    <t xml:space="preserve">건물</t>
  </si>
  <si>
    <t xml:space="preserve">N</t>
  </si>
  <si>
    <t xml:space="preserve">층수</t>
  </si>
  <si>
    <t xml:space="preserve">층</t>
  </si>
  <si>
    <t xml:space="preserve">고정</t>
  </si>
  <si>
    <t xml:space="preserve">4.4.1</t>
  </si>
  <si>
    <r>
      <rPr>
        <sz val="10"/>
        <rFont val="WenQuanYi Zen Hei"/>
        <family val="2"/>
      </rPr>
      <t xml:space="preserve">예제 건물</t>
    </r>
    <r>
      <rPr>
        <sz val="10"/>
        <rFont val="Arial"/>
        <family val="0"/>
        <charset val="1"/>
      </rPr>
      <t xml:space="preserve">(15</t>
    </r>
    <r>
      <rPr>
        <sz val="10"/>
        <rFont val="WenQuanYi Zen Hei"/>
        <family val="2"/>
      </rPr>
      <t xml:space="preserve">층 공동주택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평가 대상 건물 값으로 바꿈</t>
    </r>
  </si>
  <si>
    <t xml:space="preserve">h</t>
  </si>
  <si>
    <t xml:space="preserve">층고</t>
  </si>
  <si>
    <t xml:space="preserve">m</t>
  </si>
  <si>
    <r>
      <rPr>
        <sz val="10"/>
        <rFont val="WenQuanYi Zen Hei"/>
        <family val="2"/>
      </rPr>
      <t xml:space="preserve">중공층 시험 높이 </t>
    </r>
    <r>
      <rPr>
        <sz val="10"/>
        <rFont val="Arial"/>
        <family val="0"/>
        <charset val="1"/>
      </rPr>
      <t xml:space="preserve">3 m = 1</t>
    </r>
    <r>
      <rPr>
        <sz val="10"/>
        <rFont val="WenQuanYi Zen Hei"/>
        <family val="2"/>
      </rPr>
      <t xml:space="preserve">개 층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층고가 다르면 </t>
    </r>
    <r>
      <rPr>
        <sz val="10"/>
        <rFont val="Arial"/>
        <family val="0"/>
        <charset val="1"/>
      </rPr>
      <t xml:space="preserve">τ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h/3 m </t>
    </r>
    <r>
      <rPr>
        <sz val="10"/>
        <rFont val="WenQuanYi Zen Hei"/>
        <family val="2"/>
      </rPr>
      <t xml:space="preserve">비율로 늘림</t>
    </r>
  </si>
  <si>
    <t xml:space="preserve">n_u</t>
  </si>
  <si>
    <t xml:space="preserve">층당 세대 수</t>
  </si>
  <si>
    <t xml:space="preserve">세대</t>
  </si>
  <si>
    <t xml:space="preserve">4.4.2.1</t>
  </si>
  <si>
    <t xml:space="preserve">예제 건물</t>
  </si>
  <si>
    <t xml:space="preserve">o</t>
  </si>
  <si>
    <t xml:space="preserve">세대당 재실자</t>
  </si>
  <si>
    <t xml:space="preserve">명</t>
  </si>
  <si>
    <r>
      <rPr>
        <sz val="10"/>
        <rFont val="WenQuanYi Zen Hei"/>
        <family val="2"/>
      </rPr>
      <t xml:space="preserve">예제 건물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주거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야간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주간 재실 분포로 바꿀 수 있음</t>
    </r>
  </si>
  <si>
    <t xml:space="preserve">n_a</t>
  </si>
  <si>
    <t xml:space="preserve">확산 띠 안의 층당 세대 수</t>
  </si>
  <si>
    <t xml:space="preserve">4.4.2.3</t>
  </si>
  <si>
    <r>
      <rPr>
        <sz val="10"/>
        <rFont val="WenQuanYi Zen Hei"/>
        <family val="2"/>
      </rPr>
      <t xml:space="preserve">외벽 화재가 위로 번질 때 한 층에서 닿는 세대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발화 세대 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이웃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)</t>
    </r>
  </si>
  <si>
    <t xml:space="preserve">빈도</t>
  </si>
  <si>
    <t xml:space="preserve">λ₁</t>
  </si>
  <si>
    <t xml:space="preserve">세대 화재 발생빈도</t>
  </si>
  <si>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년</t>
    </r>
  </si>
  <si>
    <t xml:space="preserve">로그균등</t>
  </si>
  <si>
    <t xml:space="preserve">5.3.1.1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</si>
  <si>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국가화재정보시스템</t>
    </r>
    <r>
      <rPr>
        <sz val="10"/>
        <rFont val="Arial"/>
        <family val="0"/>
        <charset val="1"/>
      </rPr>
      <t xml:space="preserve">(NFDS) </t>
    </r>
    <r>
      <rPr>
        <sz val="10"/>
        <rFont val="WenQuanYi Zen Hei"/>
        <family val="2"/>
      </rPr>
      <t xml:space="preserve">공동주택 화재 건수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세대 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주택총조사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대체</t>
    </r>
  </si>
  <si>
    <t xml:space="preserve">λ₂</t>
  </si>
  <si>
    <r>
      <rPr>
        <sz val="10"/>
        <rFont val="WenQuanYi Zen Hei"/>
        <family val="2"/>
      </rPr>
      <t xml:space="preserve">외부 발화원 화재빈도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외벽 하부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</si>
  <si>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년</t>
    </r>
  </si>
  <si>
    <t xml:space="preserve">5.3.1.1, 6.2.1.3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</si>
  <si>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자료 부족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필로티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주차 차량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쓰레기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외부 설비 화재 통계로 대체</t>
    </r>
  </si>
  <si>
    <t xml:space="preserve">분기확률</t>
  </si>
  <si>
    <t xml:space="preserve">p_s</t>
  </si>
  <si>
    <r>
      <rPr>
        <sz val="10"/>
        <rFont val="WenQuanYi Zen Hei"/>
        <family val="2"/>
      </rPr>
      <t xml:space="preserve">스프링클러 작동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제어 확률</t>
    </r>
  </si>
  <si>
    <t xml:space="preserve">–</t>
  </si>
  <si>
    <t xml:space="preserve">삼각</t>
  </si>
  <si>
    <t xml:space="preserve">5.1.4.5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</si>
  <si>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국내 스프링클러 작동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효과 통계로 대체</t>
    </r>
  </si>
  <si>
    <t xml:space="preserve">p_FO</t>
  </si>
  <si>
    <t xml:space="preserve">제어 실패 화재의 최성기 도달 확률</t>
  </si>
  <si>
    <t xml:space="preserve">5.1.1.4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</si>
  <si>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NFDS </t>
    </r>
    <r>
      <rPr>
        <sz val="10"/>
        <rFont val="WenQuanYi Zen Hei"/>
        <family val="2"/>
      </rPr>
      <t xml:space="preserve">연소 확대 범위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발화실 밖 확대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비율로 대체</t>
    </r>
  </si>
  <si>
    <t xml:space="preserve">p_v</t>
  </si>
  <si>
    <t xml:space="preserve">최성기 화재의 창 분출화염 확률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</si>
  <si>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창호 형식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복층유리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방화유리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반영</t>
    </r>
  </si>
  <si>
    <t xml:space="preserve">p_x</t>
  </si>
  <si>
    <t xml:space="preserve">외부 화원의 외벽 노출 확률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</si>
  <si>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화원–외벽 거리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필로티 구조 반영</t>
    </r>
  </si>
  <si>
    <t xml:space="preserve">p_e0</t>
  </si>
  <si>
    <r>
      <rPr>
        <sz val="10"/>
        <rFont val="WenQuanYi Zen Hei"/>
        <family val="2"/>
      </rPr>
      <t xml:space="preserve">중공층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단열재 노출 확률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차단재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</si>
  <si>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개구부 주위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하부가 열려 있을 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현장조사</t>
    </r>
    <r>
      <rPr>
        <sz val="10"/>
        <rFont val="Arial"/>
        <family val="0"/>
        <charset val="1"/>
      </rPr>
      <t xml:space="preserve">(EFFECT Tier 2 </t>
    </r>
    <r>
      <rPr>
        <sz val="10"/>
        <rFont val="WenQuanYi Zen Hei"/>
        <family val="2"/>
      </rPr>
      <t xml:space="preserve">수준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확인</t>
    </r>
  </si>
  <si>
    <t xml:space="preserve">p_e1</t>
  </si>
  <si>
    <r>
      <rPr>
        <sz val="10"/>
        <rFont val="WenQuanYi Zen Hei"/>
        <family val="2"/>
      </rPr>
      <t xml:space="preserve">중공층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단열재 노출 확률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불연 차단재 설치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</si>
  <si>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차단재 시공 품질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시험 근거로 대체</t>
    </r>
  </si>
  <si>
    <t xml:space="preserve">p_cb</t>
  </si>
  <si>
    <t xml:space="preserve">캐비티 배리어가 한 층 경계를 막을 확률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</si>
  <si>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배리어를 넣은 중공층 시험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실대형 시험</t>
    </r>
    <r>
      <rPr>
        <sz val="10"/>
        <rFont val="Arial"/>
        <family val="0"/>
        <charset val="1"/>
      </rPr>
      <t xml:space="preserve">(KS F 8414)</t>
    </r>
    <r>
      <rPr>
        <sz val="10"/>
        <rFont val="WenQuanYi Zen Hei"/>
        <family val="2"/>
      </rPr>
      <t xml:space="preserve">으로 대체</t>
    </r>
  </si>
  <si>
    <t xml:space="preserve">p_L</t>
  </si>
  <si>
    <r>
      <rPr>
        <sz val="10"/>
        <rFont val="WenQuanYi Zen Hei"/>
        <family val="2"/>
      </rPr>
      <t xml:space="preserve">창→창 도약 확산 확률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 층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</si>
  <si>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스팬드럴 높이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발코니 유무 반영</t>
    </r>
  </si>
  <si>
    <t xml:space="preserve">시간</t>
  </si>
  <si>
    <t xml:space="preserve">τ_L</t>
  </si>
  <si>
    <r>
      <rPr>
        <sz val="10"/>
        <rFont val="WenQuanYi Zen Hei"/>
        <family val="2"/>
      </rPr>
      <t xml:space="preserve">도약 확산 한 층 소요시간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)</t>
    </r>
  </si>
  <si>
    <t xml:space="preserve">분</t>
  </si>
  <si>
    <t xml:space="preserve">5.4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</si>
  <si>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구획화재 성장시간</t>
    </r>
    <r>
      <rPr>
        <sz val="10"/>
        <rFont val="Arial"/>
        <family val="0"/>
        <charset val="1"/>
      </rPr>
      <t xml:space="preserve">(FDS·CFAST)</t>
    </r>
    <r>
      <rPr>
        <sz val="10"/>
        <rFont val="WenQuanYi Zen Hei"/>
        <family val="2"/>
      </rPr>
      <t xml:space="preserve">으로 대체</t>
    </r>
  </si>
  <si>
    <t xml:space="preserve">T_FS</t>
  </si>
  <si>
    <r>
      <rPr>
        <sz val="10"/>
        <rFont val="WenQuanYi Zen Hei"/>
        <family val="2"/>
      </rPr>
      <t xml:space="preserve">외벽 화재 진압 유효 시각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분출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</si>
  <si>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관할 소방서 도착시간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전개시간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고가사다리 도달 높이 포함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으로 대체</t>
    </r>
  </si>
  <si>
    <t xml:space="preserve">RSET</t>
  </si>
  <si>
    <r>
      <rPr>
        <sz val="10"/>
        <rFont val="WenQuanYi Zen Hei"/>
        <family val="2"/>
      </rPr>
      <t xml:space="preserve">상부층 피난 완료 시각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분출 기준</t>
    </r>
    <r>
      <rPr>
        <sz val="10"/>
        <rFont val="Arial"/>
        <family val="0"/>
        <charset val="1"/>
      </rPr>
      <t xml:space="preserve">)</t>
    </r>
  </si>
  <si>
    <t xml:space="preserve">4.4.2.4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</si>
  <si>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경보 방식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재실자 특성으로 피난 계산해 대체</t>
    </r>
  </si>
  <si>
    <t xml:space="preserve">시험 → 실물</t>
  </si>
  <si>
    <t xml:space="preserve">s</t>
  </si>
  <si>
    <r>
      <rPr>
        <sz val="10"/>
        <rFont val="WenQuanYi Zen Hei"/>
        <family val="2"/>
      </rPr>
      <t xml:space="preserve">실물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시험 층당 확산시간 비</t>
    </r>
    <r>
      <rPr>
        <sz val="10"/>
        <rFont val="Arial"/>
        <family val="0"/>
        <charset val="1"/>
      </rPr>
      <t xml:space="preserve">(τ = s·t₆₀₀)</t>
    </r>
  </si>
  <si>
    <t xml:space="preserve">5.4.4, 6.2.2.5</t>
  </si>
  <si>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. 3 m·30 kW </t>
    </r>
    <r>
      <rPr>
        <sz val="10"/>
        <rFont val="WenQuanYi Zen Hei"/>
        <family val="2"/>
      </rPr>
      <t xml:space="preserve">시험을 실물 분출화염 조건으로 옮기는 계수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실대형 시험</t>
    </r>
    <r>
      <rPr>
        <sz val="10"/>
        <rFont val="Arial"/>
        <family val="0"/>
        <charset val="1"/>
      </rPr>
      <t xml:space="preserve">(KS F 8414)</t>
    </r>
    <r>
      <rPr>
        <sz val="10"/>
        <rFont val="WenQuanYi Zen Hei"/>
        <family val="2"/>
      </rPr>
      <t xml:space="preserve">으로 보정</t>
    </r>
  </si>
  <si>
    <t xml:space="preserve">인명 환산</t>
  </si>
  <si>
    <t xml:space="preserve">p_d</t>
  </si>
  <si>
    <r>
      <rPr>
        <sz val="10"/>
        <rFont val="WenQuanYi Zen Hei"/>
        <family val="2"/>
      </rPr>
      <t xml:space="preserve">노출 재실자 사망 확률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</si>
  <si>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A.5.1.2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</si>
  <si>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인명 지표로 환산할 때만 사용</t>
    </r>
  </si>
  <si>
    <r>
      <rPr>
        <b val="true"/>
        <sz val="11"/>
        <rFont val="WenQuanYi Zen Hei"/>
        <family val="2"/>
      </rPr>
      <t xml:space="preserve">사건별 변동 </t>
    </r>
    <r>
      <rPr>
        <b val="true"/>
        <sz val="11"/>
        <rFont val="Arial"/>
        <family val="0"/>
        <charset val="1"/>
      </rPr>
      <t xml:space="preserve">(σ</t>
    </r>
    <r>
      <rPr>
        <b val="true"/>
        <sz val="11"/>
        <rFont val="WenQuanYi Zen Hei"/>
        <family val="2"/>
      </rPr>
      <t xml:space="preserve">는 </t>
    </r>
    <r>
      <rPr>
        <b val="true"/>
        <sz val="11"/>
        <rFont val="Arial"/>
        <family val="0"/>
        <charset val="1"/>
      </rPr>
      <t xml:space="preserve">MC </t>
    </r>
    <r>
      <rPr>
        <b val="true"/>
        <sz val="11"/>
        <rFont val="WenQuanYi Zen Hei"/>
        <family val="2"/>
      </rPr>
      <t xml:space="preserve">전용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지속시간 중앙값은 점추정에도 사용</t>
    </r>
    <r>
      <rPr>
        <b val="true"/>
        <sz val="11"/>
        <rFont val="Arial"/>
        <family val="0"/>
        <charset val="1"/>
      </rPr>
      <t xml:space="preserve">)</t>
    </r>
  </si>
  <si>
    <t xml:space="preserve">σ_FS</t>
  </si>
  <si>
    <r>
      <rPr>
        <sz val="10"/>
        <rFont val="WenQuanYi Zen Hei"/>
        <family val="2"/>
      </rPr>
      <t xml:space="preserve">진압 시각의 사건별 변동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로그 표준편차</t>
    </r>
    <r>
      <rPr>
        <sz val="10"/>
        <rFont val="Arial"/>
        <family val="0"/>
        <charset val="1"/>
      </rPr>
      <t xml:space="preserve">)</t>
    </r>
  </si>
  <si>
    <t xml:space="preserve">A.5.5.6</t>
  </si>
  <si>
    <r>
      <rPr>
        <sz val="10"/>
        <rFont val="WenQuanYi Zen Hei"/>
        <family val="2"/>
      </rPr>
      <t xml:space="preserve">우연적 변동 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</si>
  <si>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t xml:space="preserve">σ_R</t>
  </si>
  <si>
    <r>
      <rPr>
        <sz val="10"/>
        <rFont val="WenQuanYi Zen Hei"/>
        <family val="2"/>
      </rPr>
      <t xml:space="preserve">피난 완료 시각의 사건별 변동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로그 표준편차</t>
    </r>
    <r>
      <rPr>
        <sz val="10"/>
        <rFont val="Arial"/>
        <family val="0"/>
        <charset val="1"/>
      </rPr>
      <t xml:space="preserve">)</t>
    </r>
  </si>
  <si>
    <t xml:space="preserve">σ_L</t>
  </si>
  <si>
    <r>
      <rPr>
        <sz val="10"/>
        <rFont val="WenQuanYi Zen Hei"/>
        <family val="2"/>
      </rPr>
      <t xml:space="preserve">도약 소요시간의 사건별 변동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로그 표준편차</t>
    </r>
    <r>
      <rPr>
        <sz val="10"/>
        <rFont val="Arial"/>
        <family val="0"/>
        <charset val="1"/>
      </rPr>
      <t xml:space="preserve">)</t>
    </r>
  </si>
  <si>
    <t xml:space="preserve">t_e1</t>
  </si>
  <si>
    <r>
      <rPr>
        <sz val="10"/>
        <rFont val="WenQuanYi Zen Hei"/>
        <family val="2"/>
      </rPr>
      <t xml:space="preserve">분출화염 지속시간 하한</t>
    </r>
    <r>
      <rPr>
        <sz val="10"/>
        <rFont val="Arial"/>
        <family val="0"/>
        <charset val="1"/>
      </rPr>
      <t xml:space="preserve">(IE1)</t>
    </r>
  </si>
  <si>
    <r>
      <rPr>
        <sz val="10"/>
        <rFont val="WenQuanYi Zen Hei"/>
        <family val="2"/>
      </rPr>
      <t xml:space="preserve">균등분포 하한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</si>
  <si>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분출화염 지속시간 상한</t>
    </r>
    <r>
      <rPr>
        <sz val="10"/>
        <rFont val="Arial"/>
        <family val="0"/>
        <charset val="1"/>
      </rPr>
      <t xml:space="preserve">(IE1)</t>
    </r>
  </si>
  <si>
    <r>
      <rPr>
        <sz val="10"/>
        <rFont val="WenQuanYi Zen Hei"/>
        <family val="2"/>
      </rPr>
      <t xml:space="preserve">균등분포 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</si>
  <si>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t xml:space="preserve">t_e2</t>
  </si>
  <si>
    <r>
      <rPr>
        <sz val="10"/>
        <rFont val="WenQuanYi Zen Hei"/>
        <family val="2"/>
      </rPr>
      <t xml:space="preserve">외부 화원 지속시간 하한</t>
    </r>
    <r>
      <rPr>
        <sz val="10"/>
        <rFont val="Arial"/>
        <family val="0"/>
        <charset val="1"/>
      </rPr>
      <t xml:space="preserve">(IE2)</t>
    </r>
  </si>
  <si>
    <r>
      <rPr>
        <sz val="10"/>
        <rFont val="WenQuanYi Zen Hei"/>
        <family val="2"/>
      </rPr>
      <t xml:space="preserve">외부 화원 지속시간 상한</t>
    </r>
    <r>
      <rPr>
        <sz val="10"/>
        <rFont val="Arial"/>
        <family val="0"/>
        <charset val="1"/>
      </rPr>
      <t xml:space="preserve">(IE2)</t>
    </r>
  </si>
  <si>
    <r>
      <rPr>
        <b val="true"/>
        <sz val="11"/>
        <rFont val="WenQuanYi Zen Hei"/>
        <family val="2"/>
      </rPr>
      <t xml:space="preserve">허용기준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예시</t>
    </r>
    <r>
      <rPr>
        <b val="true"/>
        <sz val="11"/>
        <rFont val="Arial"/>
        <family val="0"/>
        <charset val="1"/>
      </rPr>
      <t xml:space="preserve">)</t>
    </r>
  </si>
  <si>
    <t xml:space="preserve">F₂*</t>
  </si>
  <si>
    <r>
      <rPr>
        <sz val="10"/>
        <rFont val="WenQuanYi Zen Hei"/>
        <family val="2"/>
      </rPr>
      <t xml:space="preserve">허용기준 예시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발화층 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 층 이상 확산 빈도</t>
    </r>
  </si>
  <si>
    <t xml:space="preserve">4.4.3, A.5.1.2</t>
  </si>
  <si>
    <r>
      <rPr>
        <sz val="10"/>
        <rFont val="WenQuanYi Zen Hei"/>
        <family val="2"/>
      </rPr>
      <t xml:space="preserve">예시값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규제 기준 아님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사전협의에서 정함</t>
    </r>
  </si>
  <si>
    <t xml:space="preserve">c*</t>
  </si>
  <si>
    <t xml:space="preserve">기준 충족 판단에 쓰는 신뢰수준</t>
  </si>
  <si>
    <t xml:space="preserve">4.5</t>
  </si>
  <si>
    <r>
      <rPr>
        <sz val="10"/>
        <rFont val="WenQuanYi Zen Hei"/>
        <family val="2"/>
      </rPr>
      <t xml:space="preserve">인식론적 표본 중 기준을 만족하는 비율의 하한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</si>
  <si>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t xml:space="preserve">파생값</t>
  </si>
  <si>
    <r>
      <rPr>
        <sz val="10"/>
        <rFont val="WenQuanYi Zen Hei"/>
        <family val="2"/>
      </rPr>
      <t xml:space="preserve">분출화염 지속</t>
    </r>
    <r>
      <rPr>
        <sz val="10"/>
        <rFont val="Arial"/>
        <family val="0"/>
        <charset val="1"/>
      </rPr>
      <t xml:space="preserve">(IE1, 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비자립 재료의 확산 종료 시각</t>
    </r>
  </si>
  <si>
    <r>
      <rPr>
        <sz val="10"/>
        <rFont val="WenQuanYi Zen Hei"/>
        <family val="2"/>
      </rPr>
      <t xml:space="preserve">외부 화원 지속</t>
    </r>
    <r>
      <rPr>
        <sz val="10"/>
        <rFont val="Arial"/>
        <family val="0"/>
        <charset val="1"/>
      </rPr>
      <t xml:space="preserve">(IE2, </t>
    </r>
    <r>
      <rPr>
        <sz val="10"/>
        <rFont val="WenQuanYi Zen Hei"/>
        <family val="2"/>
      </rPr>
      <t xml:space="preserve">중앙값</t>
    </r>
    <r>
      <rPr>
        <sz val="10"/>
        <rFont val="Arial"/>
        <family val="0"/>
        <charset val="1"/>
      </rPr>
      <t xml:space="preserve">)</t>
    </r>
  </si>
  <si>
    <t xml:space="preserve">o_st</t>
  </si>
  <si>
    <r>
      <rPr>
        <sz val="10"/>
        <rFont val="WenQuanYi Zen Hei"/>
        <family val="2"/>
      </rPr>
      <t xml:space="preserve">확산 띠 안의 층당 재실자 </t>
    </r>
    <r>
      <rPr>
        <sz val="10"/>
        <rFont val="Arial"/>
        <family val="0"/>
        <charset val="1"/>
      </rPr>
      <t xml:space="preserve">= n_a × o</t>
    </r>
  </si>
  <si>
    <t xml:space="preserve">O</t>
  </si>
  <si>
    <r>
      <rPr>
        <sz val="10"/>
        <rFont val="WenQuanYi Zen Hei"/>
        <family val="2"/>
      </rPr>
      <t xml:space="preserve">건물 재실자 </t>
    </r>
    <r>
      <rPr>
        <sz val="10"/>
        <rFont val="Arial"/>
        <family val="0"/>
        <charset val="1"/>
      </rPr>
      <t xml:space="preserve">= N × n_u × o</t>
    </r>
  </si>
  <si>
    <t xml:space="preserve">U</t>
  </si>
  <si>
    <r>
      <rPr>
        <sz val="10"/>
        <rFont val="WenQuanYi Zen Hei"/>
        <family val="2"/>
      </rPr>
      <t xml:space="preserve">세대 수 </t>
    </r>
    <r>
      <rPr>
        <sz val="10"/>
        <rFont val="Arial"/>
        <family val="0"/>
        <charset val="1"/>
      </rPr>
      <t xml:space="preserve">= N × n_u</t>
    </r>
  </si>
  <si>
    <r>
      <rPr>
        <b val="true"/>
        <sz val="14"/>
        <rFont val="Arial"/>
        <family val="0"/>
        <charset val="1"/>
      </rPr>
      <t xml:space="preserve">③-1 </t>
    </r>
    <r>
      <rPr>
        <b val="true"/>
        <sz val="14"/>
        <rFont val="WenQuanYi Zen Hei"/>
        <family val="2"/>
      </rPr>
      <t xml:space="preserve">시험 자료 → 결과 모델 입력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중공층 </t>
    </r>
    <r>
      <rPr>
        <b val="true"/>
        <sz val="14"/>
        <rFont val="Arial"/>
        <family val="0"/>
        <charset val="1"/>
      </rPr>
      <t xml:space="preserve">100 mm · </t>
    </r>
    <r>
      <rPr>
        <b val="true"/>
        <sz val="14"/>
        <rFont val="WenQuanYi Zen Hei"/>
        <family val="2"/>
      </rPr>
      <t xml:space="preserve">외단열 </t>
    </r>
    <r>
      <rPr>
        <b val="true"/>
        <sz val="14"/>
        <rFont val="Arial"/>
        <family val="0"/>
        <charset val="1"/>
      </rPr>
      <t xml:space="preserve">100 mm · 30 kW 20</t>
    </r>
    <r>
      <rPr>
        <b val="true"/>
        <sz val="14"/>
        <rFont val="WenQuanYi Zen Hei"/>
        <family val="2"/>
      </rPr>
      <t xml:space="preserve">분 </t>
    </r>
    <r>
      <rPr>
        <b val="true"/>
        <sz val="14"/>
        <rFont val="Arial"/>
        <family val="0"/>
        <charset val="1"/>
      </rPr>
      <t xml:space="preserve">· 30</t>
    </r>
    <r>
      <rPr>
        <b val="true"/>
        <sz val="14"/>
        <rFont val="WenQuanYi Zen Hei"/>
        <family val="2"/>
      </rPr>
      <t xml:space="preserve">분 평가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</si>
  <si>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t₆₀₀ = 3000 mm</t>
    </r>
    <r>
      <rPr>
        <sz val="9"/>
        <color rgb="FF4B5563"/>
        <rFont val="WenQuanYi Zen Hei"/>
        <family val="2"/>
      </rPr>
      <t xml:space="preserve">에서 </t>
    </r>
    <r>
      <rPr>
        <sz val="9"/>
        <color rgb="FF4B5563"/>
        <rFont val="Arial"/>
        <family val="0"/>
        <charset val="1"/>
      </rPr>
      <t xml:space="preserve">ΔT ≥ 600 K</t>
    </r>
    <r>
      <rPr>
        <sz val="9"/>
        <color rgb="FF4B5563"/>
        <rFont val="WenQuanYi Zen Hei"/>
        <family val="2"/>
      </rPr>
      <t xml:space="preserve">가 시작되는 시각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중공층 화재가 한 개 층</t>
    </r>
    <r>
      <rPr>
        <sz val="9"/>
        <color rgb="FF4B5563"/>
        <rFont val="Arial"/>
        <family val="0"/>
        <charset val="1"/>
      </rPr>
      <t xml:space="preserve">(3 m)</t>
    </r>
    <r>
      <rPr>
        <sz val="9"/>
        <color rgb="FF4B5563"/>
        <rFont val="WenQuanYi Zen Hei"/>
        <family val="2"/>
      </rPr>
      <t xml:space="preserve">을 올라가는 시간</t>
    </r>
    <r>
      <rPr>
        <sz val="9"/>
        <color rgb="FF4B5563"/>
        <rFont val="Arial"/>
        <family val="0"/>
        <charset val="1"/>
      </rPr>
      <t xml:space="preserve">(FRI </t>
    </r>
    <r>
      <rPr>
        <sz val="9"/>
        <color rgb="FF4B5563"/>
        <rFont val="WenQuanYi Zen Hei"/>
        <family val="2"/>
      </rPr>
      <t xml:space="preserve">개념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플래그 </t>
    </r>
    <r>
      <rPr>
        <sz val="9"/>
        <color rgb="FF4B5563"/>
        <rFont val="Arial"/>
        <family val="0"/>
        <charset val="1"/>
      </rPr>
      <t xml:space="preserve">B = </t>
    </r>
    <r>
      <rPr>
        <sz val="9"/>
        <color rgb="FF4B5563"/>
        <rFont val="WenQuanYi Zen Hei"/>
        <family val="2"/>
      </rPr>
      <t xml:space="preserve">버너 소화 후 자립 연소</t>
    </r>
    <r>
      <rPr>
        <sz val="9"/>
        <color rgb="FF4B5563"/>
        <rFont val="Arial"/>
        <family val="0"/>
        <charset val="1"/>
      </rPr>
      <t xml:space="preserve">(6</t>
    </r>
    <r>
      <rPr>
        <sz val="9"/>
        <color rgb="FF4B5563"/>
        <rFont val="WenQuanYi Zen Hei"/>
        <family val="2"/>
      </rPr>
      <t xml:space="preserve">개 높이 중 </t>
    </r>
    <r>
      <rPr>
        <sz val="9"/>
        <color rgb="FF4B5563"/>
        <rFont val="Arial"/>
        <family val="0"/>
        <charset val="1"/>
      </rPr>
      <t xml:space="preserve">3</t>
    </r>
    <r>
      <rPr>
        <sz val="9"/>
        <color rgb="FF4B5563"/>
        <rFont val="WenQuanYi Zen Hei"/>
        <family val="2"/>
      </rPr>
      <t xml:space="preserve">곳 이상 </t>
    </r>
    <r>
      <rPr>
        <sz val="9"/>
        <color rgb="FF4B5563"/>
        <rFont val="Arial"/>
        <family val="0"/>
        <charset val="1"/>
      </rPr>
      <t xml:space="preserve">ssr ≥ 1).</t>
    </r>
  </si>
  <si>
    <t xml:space="preserve">시험</t>
  </si>
  <si>
    <t xml:space="preserve">재료</t>
  </si>
  <si>
    <t xml:space="preserve">등급</t>
  </si>
  <si>
    <t xml:space="preserve">t₆₀₀ 3000 mm (s)</t>
  </si>
  <si>
    <r>
      <rPr>
        <b val="true"/>
        <sz val="10"/>
        <color rgb="FFFFFFFF"/>
        <rFont val="WenQuanYi Zen Hei"/>
        <family val="2"/>
      </rPr>
      <t xml:space="preserve">플래그 </t>
    </r>
    <r>
      <rPr>
        <b val="true"/>
        <sz val="10"/>
        <color rgb="FFFFFFFF"/>
        <rFont val="Arial"/>
        <family val="0"/>
        <charset val="1"/>
      </rPr>
      <t xml:space="preserve">B (1/0)</t>
    </r>
  </si>
  <si>
    <t xml:space="preserve">정량평가 사용</t>
  </si>
  <si>
    <t xml:space="preserve">τ_F = s·t₆₀₀·h/3 m (s)</t>
  </si>
  <si>
    <t xml:space="preserve">비고</t>
  </si>
  <si>
    <t xml:space="preserve">EPS_C-1</t>
  </si>
  <si>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가연성</t>
    </r>
  </si>
  <si>
    <t xml:space="preserve">c</t>
  </si>
  <si>
    <t xml:space="preserve">아니오</t>
  </si>
  <si>
    <r>
      <rPr>
        <sz val="10"/>
        <rFont val="WenQuanYi Zen Hei"/>
        <family val="2"/>
      </rPr>
      <t xml:space="preserve">기록 </t>
    </r>
    <r>
      <rPr>
        <sz val="10"/>
        <rFont val="Arial"/>
        <family val="0"/>
        <charset val="1"/>
      </rPr>
      <t xml:space="preserve">240 s – t₆₀₀ </t>
    </r>
    <r>
      <rPr>
        <sz val="10"/>
        <rFont val="WenQuanYi Zen Hei"/>
        <family val="2"/>
      </rPr>
      <t xml:space="preserve">산정 불가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정량평가 제외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재시험 필요</t>
    </r>
    <r>
      <rPr>
        <sz val="10"/>
        <rFont val="Arial"/>
        <family val="0"/>
        <charset val="1"/>
      </rPr>
      <t xml:space="preserve">, 6.2.1.3)</t>
    </r>
  </si>
  <si>
    <t xml:space="preserve">EPS_C-2</t>
  </si>
  <si>
    <r>
      <rPr>
        <sz val="10"/>
        <rFont val="WenQuanYi Zen Hei"/>
        <family val="2"/>
      </rPr>
      <t xml:space="preserve">기록 </t>
    </r>
    <r>
      <rPr>
        <sz val="10"/>
        <rFont val="Arial"/>
        <family val="0"/>
        <charset val="1"/>
      </rPr>
      <t xml:space="preserve">262 s – t₆₀₀ </t>
    </r>
    <r>
      <rPr>
        <sz val="10"/>
        <rFont val="WenQuanYi Zen Hei"/>
        <family val="2"/>
      </rPr>
      <t xml:space="preserve">산정 불가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정량평가 제외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재시험 필요</t>
    </r>
    <r>
      <rPr>
        <sz val="10"/>
        <rFont val="Arial"/>
        <family val="0"/>
        <charset val="1"/>
      </rPr>
      <t xml:space="preserve">, 6.2.1.3)</t>
    </r>
  </si>
  <si>
    <t xml:space="preserve">EPS_SC-1</t>
  </si>
  <si>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준불연</t>
    </r>
  </si>
  <si>
    <t xml:space="preserve">sc</t>
  </si>
  <si>
    <t xml:space="preserve">예</t>
  </si>
  <si>
    <t xml:space="preserve">EPS_SC-2</t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</si>
  <si>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분 안에 </t>
    </r>
    <r>
      <rPr>
        <sz val="10"/>
        <rFont val="Arial"/>
        <family val="0"/>
        <charset val="1"/>
      </rPr>
      <t xml:space="preserve">3000 mm 600 K </t>
    </r>
    <r>
      <rPr>
        <sz val="10"/>
        <rFont val="WenQuanYi Zen Hei"/>
        <family val="2"/>
      </rPr>
      <t xml:space="preserve">미도달 → 이 사건은 층간 확산 없음</t>
    </r>
  </si>
  <si>
    <t xml:space="preserve">EPS_SC-3</t>
  </si>
  <si>
    <t xml:space="preserve">PIR_C-1</t>
  </si>
  <si>
    <r>
      <rPr>
        <sz val="10"/>
        <rFont val="Arial"/>
        <family val="0"/>
        <charset val="1"/>
      </rPr>
      <t xml:space="preserve">PIR(PUR) </t>
    </r>
    <r>
      <rPr>
        <sz val="10"/>
        <rFont val="WenQuanYi Zen Hei"/>
        <family val="2"/>
      </rPr>
      <t xml:space="preserve">가연성</t>
    </r>
  </si>
  <si>
    <r>
      <rPr>
        <sz val="10"/>
        <rFont val="WenQuanYi Zen Hei"/>
        <family val="2"/>
      </rPr>
      <t xml:space="preserve">전체 화염</t>
    </r>
    <r>
      <rPr>
        <sz val="10"/>
        <rFont val="Arial"/>
        <family val="0"/>
        <charset val="1"/>
      </rPr>
      <t xml:space="preserve">(30 s): </t>
    </r>
    <r>
      <rPr>
        <sz val="10"/>
        <rFont val="WenQuanYi Zen Hei"/>
        <family val="2"/>
      </rPr>
      <t xml:space="preserve">소화 전에 연료 소진 → 플래그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판정 대상 아님</t>
    </r>
  </si>
  <si>
    <t xml:space="preserve">PIR_C-2</t>
  </si>
  <si>
    <t xml:space="preserve">PIR_SC-1</t>
  </si>
  <si>
    <r>
      <rPr>
        <sz val="10"/>
        <rFont val="Arial"/>
        <family val="0"/>
        <charset val="1"/>
      </rPr>
      <t xml:space="preserve">PIR(PUR) </t>
    </r>
    <r>
      <rPr>
        <sz val="10"/>
        <rFont val="WenQuanYi Zen Hei"/>
        <family val="2"/>
      </rPr>
      <t xml:space="preserve">준불연</t>
    </r>
  </si>
  <si>
    <t xml:space="preserve">PIR_SC-2</t>
  </si>
  <si>
    <t xml:space="preserve">PF_out-1</t>
  </si>
  <si>
    <r>
      <rPr>
        <sz val="10"/>
        <rFont val="Arial"/>
        <family val="0"/>
        <charset val="1"/>
      </rPr>
      <t xml:space="preserve">PF </t>
    </r>
    <r>
      <rPr>
        <sz val="10"/>
        <rFont val="WenQuanYi Zen Hei"/>
        <family val="2"/>
      </rPr>
      <t xml:space="preserve">준불연 외부용</t>
    </r>
  </si>
  <si>
    <t xml:space="preserve">PF_out-2</t>
  </si>
  <si>
    <t xml:space="preserve">PF_in-1</t>
  </si>
  <si>
    <r>
      <rPr>
        <sz val="10"/>
        <rFont val="Arial"/>
        <family val="0"/>
        <charset val="1"/>
      </rPr>
      <t xml:space="preserve">PF </t>
    </r>
    <r>
      <rPr>
        <sz val="10"/>
        <rFont val="WenQuanYi Zen Hei"/>
        <family val="2"/>
      </rPr>
      <t xml:space="preserve">준불연 내부용</t>
    </r>
  </si>
  <si>
    <t xml:space="preserve">PF_in-2</t>
  </si>
  <si>
    <r>
      <rPr>
        <sz val="9"/>
        <color rgb="FF4B5563"/>
        <rFont val="Arial"/>
        <family val="0"/>
        <charset val="1"/>
      </rPr>
      <t xml:space="preserve">τ_F = 1E+9 s: </t>
    </r>
    <r>
      <rPr>
        <sz val="9"/>
        <color rgb="FF4B5563"/>
        <rFont val="WenQuanYi Zen Hei"/>
        <family val="2"/>
      </rPr>
      <t xml:space="preserve">층간 확산 없음</t>
    </r>
    <r>
      <rPr>
        <sz val="9"/>
        <color rgb="FF4B5563"/>
        <rFont val="Arial"/>
        <family val="0"/>
        <charset val="1"/>
      </rPr>
      <t xml:space="preserve">(600 K </t>
    </r>
    <r>
      <rPr>
        <sz val="9"/>
        <color rgb="FF4B5563"/>
        <rFont val="WenQuanYi Zen Hei"/>
        <family val="2"/>
      </rPr>
      <t xml:space="preserve">미도달 또는 평가 제외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정량평가 사용이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아니오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인 시험은 </t>
    </r>
    <r>
      <rPr>
        <sz val="9"/>
        <color rgb="FF4B5563"/>
        <rFont val="Arial"/>
        <family val="0"/>
        <charset val="1"/>
      </rPr>
      <t xml:space="preserve">4_</t>
    </r>
    <r>
      <rPr>
        <sz val="9"/>
        <color rgb="FF4B5563"/>
        <rFont val="WenQuanYi Zen Hei"/>
        <family val="2"/>
      </rPr>
      <t xml:space="preserve">결과모델에 들어가지 않습니다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</si>
  <si>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재료별 요약 — </t>
    </r>
    <r>
      <rPr>
        <b val="true"/>
        <sz val="11"/>
        <rFont val="Arial"/>
        <family val="0"/>
        <charset val="1"/>
      </rPr>
      <t xml:space="preserve">p_B</t>
    </r>
    <r>
      <rPr>
        <b val="true"/>
        <sz val="11"/>
        <rFont val="WenQuanYi Zen Hei"/>
        <family val="2"/>
      </rPr>
      <t xml:space="preserve">는 </t>
    </r>
    <r>
      <rPr>
        <b val="true"/>
        <sz val="11"/>
        <rFont val="Arial"/>
        <family val="0"/>
        <charset val="1"/>
      </rPr>
      <t xml:space="preserve">Jeffreys </t>
    </r>
    <r>
      <rPr>
        <b val="true"/>
        <sz val="11"/>
        <rFont val="WenQuanYi Zen Hei"/>
        <family val="2"/>
      </rPr>
      <t xml:space="preserve">추정 </t>
    </r>
    <r>
      <rPr>
        <b val="true"/>
        <sz val="11"/>
        <rFont val="Arial"/>
        <family val="0"/>
        <charset val="1"/>
      </rPr>
      <t xml:space="preserve">(k + ½)/(n + 1): </t>
    </r>
    <r>
      <rPr>
        <b val="true"/>
        <sz val="11"/>
        <rFont val="WenQuanYi Zen Hei"/>
        <family val="2"/>
      </rPr>
      <t xml:space="preserve">반복 </t>
    </r>
    <r>
      <rPr>
        <b val="true"/>
        <sz val="11"/>
        <rFont val="Arial"/>
        <family val="0"/>
        <charset val="1"/>
      </rPr>
      <t xml:space="preserve">2–3</t>
    </r>
    <r>
      <rPr>
        <b val="true"/>
        <sz val="11"/>
        <rFont val="WenQuanYi Zen Hei"/>
        <family val="2"/>
      </rPr>
      <t xml:space="preserve">회의 </t>
    </r>
    <r>
      <rPr>
        <b val="true"/>
        <sz val="11"/>
        <rFont val="Arial"/>
        <family val="0"/>
        <charset val="1"/>
      </rPr>
      <t xml:space="preserve">0/2, 2/2</t>
    </r>
    <r>
      <rPr>
        <b val="true"/>
        <sz val="11"/>
        <rFont val="WenQuanYi Zen Hei"/>
        <family val="2"/>
      </rPr>
      <t xml:space="preserve">를 </t>
    </r>
    <r>
      <rPr>
        <b val="true"/>
        <sz val="11"/>
        <rFont val="Arial"/>
        <family val="0"/>
        <charset val="1"/>
      </rPr>
      <t xml:space="preserve">0·1</t>
    </r>
    <r>
      <rPr>
        <b val="true"/>
        <sz val="11"/>
        <rFont val="WenQuanYi Zen Hei"/>
        <family val="2"/>
      </rPr>
      <t xml:space="preserve">로 단정하지 않기 위함</t>
    </r>
  </si>
  <si>
    <t xml:space="preserve">재료명</t>
  </si>
  <si>
    <r>
      <rPr>
        <b val="true"/>
        <sz val="10"/>
        <color rgb="FFFFFFFF"/>
        <rFont val="WenQuanYi Zen Hei"/>
        <family val="2"/>
      </rPr>
      <t xml:space="preserve">시험 수 </t>
    </r>
    <r>
      <rPr>
        <b val="true"/>
        <sz val="10"/>
        <color rgb="FFFFFFFF"/>
        <rFont val="Arial"/>
        <family val="0"/>
        <charset val="1"/>
      </rPr>
      <t xml:space="preserve">n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</si>
  <si>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횟수 </t>
    </r>
    <r>
      <rPr>
        <b val="true"/>
        <sz val="10"/>
        <color rgb="FFFFFFFF"/>
        <rFont val="Arial"/>
        <family val="0"/>
        <charset val="1"/>
      </rPr>
      <t xml:space="preserve">k</t>
    </r>
  </si>
  <si>
    <t xml:space="preserve">p_B</t>
  </si>
  <si>
    <r>
      <rPr>
        <b val="true"/>
        <sz val="10"/>
        <color rgb="FFFFFFFF"/>
        <rFont val="Arial"/>
        <family val="0"/>
        <charset val="1"/>
      </rPr>
      <t xml:space="preserve">t₆₀₀ </t>
    </r>
    <r>
      <rPr>
        <b val="true"/>
        <sz val="10"/>
        <color rgb="FFFFFFFF"/>
        <rFont val="WenQuanYi Zen Hei"/>
        <family val="2"/>
      </rPr>
      <t xml:space="preserve">평균 </t>
    </r>
    <r>
      <rPr>
        <b val="true"/>
        <sz val="10"/>
        <color rgb="FFFFFFFF"/>
        <rFont val="Arial"/>
        <family val="0"/>
        <charset val="1"/>
      </rPr>
      <t xml:space="preserve">(s)</t>
    </r>
  </si>
  <si>
    <t xml:space="preserve">해석</t>
  </si>
  <si>
    <t xml:space="preserve">EPS_SC</t>
  </si>
  <si>
    <r>
      <rPr>
        <sz val="10"/>
        <rFont val="WenQuanYi Zen Hei"/>
        <family val="2"/>
      </rPr>
      <t xml:space="preserve">용융형</t>
    </r>
    <r>
      <rPr>
        <sz val="10"/>
        <rFont val="Arial"/>
        <family val="0"/>
        <charset val="1"/>
      </rPr>
      <t xml:space="preserve">: 3</t>
    </r>
    <r>
      <rPr>
        <sz val="10"/>
        <rFont val="WenQuanYi Zen Hei"/>
        <family val="2"/>
      </rPr>
      <t xml:space="preserve">회 중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회는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분 안에 </t>
    </r>
    <r>
      <rPr>
        <sz val="10"/>
        <rFont val="Arial"/>
        <family val="0"/>
        <charset val="1"/>
      </rPr>
      <t xml:space="preserve">600 K </t>
    </r>
    <r>
      <rPr>
        <sz val="10"/>
        <rFont val="WenQuanYi Zen Hei"/>
        <family val="2"/>
      </rPr>
      <t xml:space="preserve">미도달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자립 연소 없음</t>
    </r>
  </si>
  <si>
    <t xml:space="preserve">PIR_C</t>
  </si>
  <si>
    <r>
      <rPr>
        <sz val="10"/>
        <rFont val="WenQuanYi Zen Hei"/>
        <family val="2"/>
      </rPr>
      <t xml:space="preserve">가연성</t>
    </r>
    <r>
      <rPr>
        <sz val="10"/>
        <rFont val="Arial"/>
        <family val="0"/>
        <charset val="1"/>
      </rPr>
      <t xml:space="preserve">: 30 s </t>
    </r>
    <r>
      <rPr>
        <sz val="10"/>
        <rFont val="WenQuanYi Zen Hei"/>
        <family val="2"/>
      </rPr>
      <t xml:space="preserve">만에 전면 화염 → 층당 시간이 가장 짧음</t>
    </r>
  </si>
  <si>
    <t xml:space="preserve">PIR_SC</t>
  </si>
  <si>
    <r>
      <rPr>
        <sz val="10"/>
        <rFont val="WenQuanYi Zen Hei"/>
        <family val="2"/>
      </rPr>
      <t xml:space="preserve">탄화형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자립 연소 없음</t>
    </r>
  </si>
  <si>
    <t xml:space="preserve">PF_out</t>
  </si>
  <si>
    <r>
      <rPr>
        <sz val="10"/>
        <rFont val="WenQuanYi Zen Hei"/>
        <family val="2"/>
      </rPr>
      <t xml:space="preserve">탄화형</t>
    </r>
    <r>
      <rPr>
        <sz val="10"/>
        <rFont val="Arial"/>
        <family val="0"/>
        <charset val="1"/>
      </rPr>
      <t xml:space="preserve">, 2</t>
    </r>
    <r>
      <rPr>
        <sz val="10"/>
        <rFont val="WenQuanYi Zen Hei"/>
        <family val="2"/>
      </rPr>
      <t xml:space="preserve">회 모두 자립 연소</t>
    </r>
    <r>
      <rPr>
        <sz val="10"/>
        <rFont val="Arial"/>
        <family val="0"/>
        <charset val="1"/>
      </rPr>
      <t xml:space="preserve">(B) → </t>
    </r>
    <r>
      <rPr>
        <sz val="10"/>
        <rFont val="WenQuanYi Zen Hei"/>
        <family val="2"/>
      </rPr>
      <t xml:space="preserve">진압이 늦으면 계속 올라감</t>
    </r>
  </si>
  <si>
    <t xml:space="preserve">PF_in</t>
  </si>
  <si>
    <r>
      <rPr>
        <sz val="10"/>
        <rFont val="WenQuanYi Zen Hei"/>
        <family val="2"/>
      </rPr>
      <t xml:space="preserve">탄화형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확산 빠름</t>
    </r>
    <r>
      <rPr>
        <sz val="10"/>
        <rFont val="Arial"/>
        <family val="0"/>
        <charset val="1"/>
      </rPr>
      <t xml:space="preserve">(III</t>
    </r>
    <r>
      <rPr>
        <sz val="10"/>
        <rFont val="WenQuanYi Zen Hei"/>
        <family val="2"/>
      </rPr>
      <t xml:space="preserve">등급</t>
    </r>
    <r>
      <rPr>
        <sz val="10"/>
        <rFont val="Arial"/>
        <family val="0"/>
        <charset val="1"/>
      </rPr>
      <t xml:space="preserve">), 2</t>
    </r>
    <r>
      <rPr>
        <sz val="10"/>
        <rFont val="WenQuanYi Zen Hei"/>
        <family val="2"/>
      </rPr>
      <t xml:space="preserve">회 중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자립 연소</t>
    </r>
  </si>
  <si>
    <r>
      <rPr>
        <b val="true"/>
        <sz val="14"/>
        <rFont val="WenQuanYi Zen Hei"/>
        <family val="2"/>
      </rPr>
      <t xml:space="preserve">② 사건수목 — 외벽이 화염에 노출되는 연간 빈도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동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년 기준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</si>
  <si>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WenQuanYi Zen Hei"/>
        <family val="2"/>
      </rPr>
      <t xml:space="preserve">분기확률은 서로 독립이라고 보고 경로를 따라 곱합니다</t>
    </r>
    <r>
      <rPr>
        <sz val="9"/>
        <color rgb="FF4B5563"/>
        <rFont val="Arial"/>
        <family val="0"/>
        <charset val="1"/>
      </rPr>
      <t xml:space="preserve">(NFPA 551 5.3.1.2.2). B1 = </t>
    </r>
    <r>
      <rPr>
        <sz val="9"/>
        <color rgb="FF4B5563"/>
        <rFont val="WenQuanYi Zen Hei"/>
        <family val="2"/>
      </rPr>
      <t xml:space="preserve">세대 스프링클러 설치</t>
    </r>
    <r>
      <rPr>
        <sz val="9"/>
        <color rgb="FF4B5563"/>
        <rFont val="Arial"/>
        <family val="0"/>
        <charset val="1"/>
      </rPr>
      <t xml:space="preserve">, B0 = </t>
    </r>
    <r>
      <rPr>
        <sz val="9"/>
        <color rgb="FF4B5563"/>
        <rFont val="WenQuanYi Zen Hei"/>
        <family val="2"/>
      </rPr>
      <t xml:space="preserve">미설치</t>
    </r>
    <r>
      <rPr>
        <sz val="9"/>
        <color rgb="FF4B5563"/>
        <rFont val="Arial"/>
        <family val="0"/>
        <charset val="1"/>
      </rPr>
      <t xml:space="preserve">.</t>
    </r>
  </si>
  <si>
    <t xml:space="preserve">단계</t>
  </si>
  <si>
    <r>
      <rPr>
        <b val="true"/>
        <sz val="10"/>
        <color rgb="FFFFFFFF"/>
        <rFont val="WenQuanYi Zen Hei"/>
        <family val="2"/>
      </rPr>
      <t xml:space="preserve">사건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분기</t>
    </r>
  </si>
  <si>
    <r>
      <rPr>
        <b val="true"/>
        <sz val="10"/>
        <color rgb="FFFFFFFF"/>
        <rFont val="WenQuanYi Zen Hei"/>
        <family val="2"/>
      </rPr>
      <t xml:space="preserve">분기확률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</si>
  <si>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B1 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</si>
  <si>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B0 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</si>
  <si>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설명</t>
  </si>
  <si>
    <t xml:space="preserve">IE1</t>
  </si>
  <si>
    <t xml:space="preserve">세대 화재 발생</t>
  </si>
  <si>
    <r>
      <rPr>
        <sz val="10"/>
        <rFont val="Arial"/>
        <family val="0"/>
        <charset val="1"/>
      </rPr>
      <t xml:space="preserve">λ₁ × </t>
    </r>
    <r>
      <rPr>
        <sz val="10"/>
        <rFont val="WenQuanYi Zen Hei"/>
        <family val="2"/>
      </rPr>
      <t xml:space="preserve">세대 수</t>
    </r>
  </si>
  <si>
    <r>
      <rPr>
        <sz val="10"/>
        <rFont val="WenQuanYi Zen Hei"/>
        <family val="2"/>
      </rPr>
      <t xml:space="preserve">초기사건</t>
    </r>
    <r>
      <rPr>
        <sz val="10"/>
        <rFont val="Arial"/>
        <family val="0"/>
        <charset val="1"/>
      </rPr>
      <t xml:space="preserve">(IE1): </t>
    </r>
    <r>
      <rPr>
        <sz val="10"/>
        <rFont val="WenQuanYi Zen Hei"/>
        <family val="2"/>
      </rPr>
      <t xml:space="preserve">실내 발화</t>
    </r>
  </si>
  <si>
    <r>
      <rPr>
        <sz val="10"/>
        <rFont val="WenQuanYi Zen Hei"/>
        <family val="2"/>
      </rPr>
      <t xml:space="preserve">스프링클러 제어 실패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또는 미설치</t>
    </r>
    <r>
      <rPr>
        <sz val="10"/>
        <rFont val="Arial"/>
        <family val="0"/>
        <charset val="1"/>
      </rPr>
      <t xml:space="preserve">)</t>
    </r>
  </si>
  <si>
    <t xml:space="preserve">1 − p_s (B0: 1)</t>
  </si>
  <si>
    <r>
      <rPr>
        <sz val="10"/>
        <rFont val="WenQuanYi Zen Hei"/>
        <family val="2"/>
      </rPr>
      <t xml:space="preserve">제어되면 실내 국한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외벽 영향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</si>
  <si>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최성기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플래시오버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도달</t>
    </r>
  </si>
  <si>
    <r>
      <rPr>
        <b val="true"/>
        <sz val="10"/>
        <rFont val="WenQuanYi Zen Hei"/>
        <family val="2"/>
      </rPr>
      <t xml:space="preserve">창 파손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외부 분출화염 </t>
    </r>
    <r>
      <rPr>
        <b val="true"/>
        <sz val="10"/>
        <rFont val="Arial"/>
        <family val="0"/>
        <charset val="1"/>
      </rPr>
      <t xml:space="preserve">= F₁</t>
    </r>
  </si>
  <si>
    <r>
      <rPr>
        <sz val="10"/>
        <rFont val="WenQuanYi Zen Hei"/>
        <family val="2"/>
      </rPr>
      <t xml:space="preserve">외벽 노출 사건</t>
    </r>
    <r>
      <rPr>
        <sz val="10"/>
        <rFont val="Arial"/>
        <family val="0"/>
        <charset val="1"/>
      </rPr>
      <t xml:space="preserve">(IE1)</t>
    </r>
    <r>
      <rPr>
        <sz val="10"/>
        <rFont val="WenQuanYi Zen Hei"/>
        <family val="2"/>
      </rPr>
      <t xml:space="preserve">의 빈도 </t>
    </r>
    <r>
      <rPr>
        <sz val="10"/>
        <rFont val="Arial"/>
        <family val="0"/>
        <charset val="1"/>
      </rPr>
      <t xml:space="preserve">F₁</t>
    </r>
  </si>
  <si>
    <r>
      <rPr>
        <sz val="10"/>
        <rFont val="WenQuanYi Zen Hei"/>
        <family val="2"/>
      </rPr>
      <t xml:space="preserve">   ├ 중공층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단열재 노출 </t>
    </r>
    <r>
      <rPr>
        <sz val="10"/>
        <rFont val="Arial"/>
        <family val="0"/>
        <charset val="1"/>
      </rPr>
      <t xml:space="preserve">(M0)</t>
    </r>
  </si>
  <si>
    <r>
      <rPr>
        <sz val="10"/>
        <rFont val="WenQuanYi Zen Hei"/>
        <family val="2"/>
      </rPr>
      <t xml:space="preserve">→ 외벽 경로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창→창 도약 </t>
    </r>
    <r>
      <rPr>
        <sz val="10"/>
        <rFont val="Arial"/>
        <family val="0"/>
        <charset val="1"/>
      </rPr>
      <t xml:space="preserve">(4_</t>
    </r>
    <r>
      <rPr>
        <sz val="10"/>
        <rFont val="WenQuanYi Zen Hei"/>
        <family val="2"/>
      </rPr>
      <t xml:space="preserve">결과모델</t>
    </r>
    <r>
      <rPr>
        <sz val="10"/>
        <rFont val="Arial"/>
        <family val="0"/>
        <charset val="1"/>
      </rPr>
      <t xml:space="preserve">: IE1)</t>
    </r>
  </si>
  <si>
    <r>
      <rPr>
        <sz val="10"/>
        <rFont val="WenQuanYi Zen Hei"/>
        <family val="2"/>
      </rPr>
      <t xml:space="preserve">   ├ 노출 안 됨 </t>
    </r>
    <r>
      <rPr>
        <sz val="10"/>
        <rFont val="Arial"/>
        <family val="0"/>
        <charset val="1"/>
      </rPr>
      <t xml:space="preserve">(M0)</t>
    </r>
  </si>
  <si>
    <t xml:space="preserve">1 − p_e0</t>
  </si>
  <si>
    <t xml:space="preserve">→ 창→창 도약만</t>
  </si>
  <si>
    <r>
      <rPr>
        <sz val="10"/>
        <rFont val="WenQuanYi Zen Hei"/>
        <family val="2"/>
      </rPr>
      <t xml:space="preserve">   ├ 중공층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단열재 노출 </t>
    </r>
    <r>
      <rPr>
        <sz val="10"/>
        <rFont val="Arial"/>
        <family val="0"/>
        <charset val="1"/>
      </rPr>
      <t xml:space="preserve">(M1, </t>
    </r>
    <r>
      <rPr>
        <sz val="10"/>
        <rFont val="WenQuanYi Zen Hei"/>
        <family val="2"/>
      </rPr>
      <t xml:space="preserve">준불연만</t>
    </r>
    <r>
      <rPr>
        <sz val="10"/>
        <rFont val="Arial"/>
        <family val="0"/>
        <charset val="1"/>
      </rPr>
      <t xml:space="preserve">)</t>
    </r>
  </si>
  <si>
    <t xml:space="preserve">개구부 불연 차단재가 있을 때</t>
  </si>
  <si>
    <r>
      <rPr>
        <sz val="10"/>
        <rFont val="WenQuanYi Zen Hei"/>
        <family val="2"/>
      </rPr>
      <t xml:space="preserve">   └ 노출 안 됨 </t>
    </r>
    <r>
      <rPr>
        <sz val="10"/>
        <rFont val="Arial"/>
        <family val="0"/>
        <charset val="1"/>
      </rPr>
      <t xml:space="preserve">(M1, </t>
    </r>
    <r>
      <rPr>
        <sz val="10"/>
        <rFont val="WenQuanYi Zen Hei"/>
        <family val="2"/>
      </rPr>
      <t xml:space="preserve">준불연만</t>
    </r>
    <r>
      <rPr>
        <sz val="10"/>
        <rFont val="Arial"/>
        <family val="0"/>
        <charset val="1"/>
      </rPr>
      <t xml:space="preserve">)</t>
    </r>
  </si>
  <si>
    <t xml:space="preserve">1 − p_e1</t>
  </si>
  <si>
    <t xml:space="preserve">IE2</t>
  </si>
  <si>
    <r>
      <rPr>
        <sz val="10"/>
        <rFont val="WenQuanYi Zen Hei"/>
        <family val="2"/>
      </rPr>
      <t xml:space="preserve">외부 발화원 화재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외벽 하부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</si>
  <si>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초기사건</t>
    </r>
    <r>
      <rPr>
        <sz val="10"/>
        <rFont val="Arial"/>
        <family val="0"/>
        <charset val="1"/>
      </rPr>
      <t xml:space="preserve">(IE2): </t>
    </r>
    <r>
      <rPr>
        <sz val="10"/>
        <rFont val="WenQuanYi Zen Hei"/>
        <family val="2"/>
      </rPr>
      <t xml:space="preserve">필로티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주차 차량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쓰레기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외부 설비</t>
    </r>
  </si>
  <si>
    <r>
      <rPr>
        <b val="true"/>
        <sz val="10"/>
        <rFont val="WenQuanYi Zen Hei"/>
        <family val="2"/>
      </rPr>
      <t xml:space="preserve">외벽 화염 노출 </t>
    </r>
    <r>
      <rPr>
        <b val="true"/>
        <sz val="10"/>
        <rFont val="Arial"/>
        <family val="0"/>
        <charset val="1"/>
      </rPr>
      <t xml:space="preserve">= F₂</t>
    </r>
  </si>
  <si>
    <r>
      <rPr>
        <sz val="10"/>
        <rFont val="WenQuanYi Zen Hei"/>
        <family val="2"/>
      </rPr>
      <t xml:space="preserve">외벽 노출 사건</t>
    </r>
    <r>
      <rPr>
        <sz val="10"/>
        <rFont val="Arial"/>
        <family val="0"/>
        <charset val="1"/>
      </rPr>
      <t xml:space="preserve">(IE2)</t>
    </r>
    <r>
      <rPr>
        <sz val="10"/>
        <rFont val="WenQuanYi Zen Hei"/>
        <family val="2"/>
      </rPr>
      <t xml:space="preserve">의 빈도 </t>
    </r>
    <r>
      <rPr>
        <sz val="10"/>
        <rFont val="Arial"/>
        <family val="0"/>
        <charset val="1"/>
      </rPr>
      <t xml:space="preserve">F₂ (</t>
    </r>
    <r>
      <rPr>
        <sz val="10"/>
        <rFont val="WenQuanYi Zen Hei"/>
        <family val="2"/>
      </rPr>
      <t xml:space="preserve">스프링클러 무관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</si>
  <si>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→ 외벽 경로만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도약 없음</t>
    </r>
    <r>
      <rPr>
        <sz val="10"/>
        <rFont val="Arial"/>
        <family val="0"/>
        <charset val="1"/>
      </rPr>
      <t xml:space="preserve">; 4_</t>
    </r>
    <r>
      <rPr>
        <sz val="10"/>
        <rFont val="WenQuanYi Zen Hei"/>
        <family val="2"/>
      </rPr>
      <t xml:space="preserve">결과모델</t>
    </r>
    <r>
      <rPr>
        <sz val="10"/>
        <rFont val="Arial"/>
        <family val="0"/>
        <charset val="1"/>
      </rPr>
      <t xml:space="preserve">: IE2)</t>
    </r>
  </si>
  <si>
    <t xml:space="preserve">→ 확산 없음</t>
  </si>
  <si>
    <r>
      <rPr>
        <sz val="9"/>
        <color rgb="FF4B5563"/>
        <rFont val="WenQuanYi Zen Hei"/>
        <family val="2"/>
      </rPr>
      <t xml:space="preserve">불연 단열재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기준안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는 중공층 경로가 없으므로 </t>
    </r>
    <r>
      <rPr>
        <sz val="9"/>
        <color rgb="FF4B5563"/>
        <rFont val="Arial"/>
        <family val="0"/>
        <charset val="1"/>
      </rPr>
      <t xml:space="preserve">IE1</t>
    </r>
    <r>
      <rPr>
        <sz val="9"/>
        <color rgb="FF4B5563"/>
        <rFont val="WenQuanYi Zen Hei"/>
        <family val="2"/>
      </rPr>
      <t xml:space="preserve">은 모두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도약만</t>
    </r>
    <r>
      <rPr>
        <sz val="9"/>
        <color rgb="FF4B5563"/>
        <rFont val="Arial"/>
        <family val="0"/>
        <charset val="1"/>
      </rPr>
      <t xml:space="preserve">', IE2</t>
    </r>
    <r>
      <rPr>
        <sz val="9"/>
        <color rgb="FF4B5563"/>
        <rFont val="WenQuanYi Zen Hei"/>
        <family val="2"/>
      </rPr>
      <t xml:space="preserve">는 확산 없음으로 계산합니다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가연성 등급은 </t>
    </r>
    <r>
      <rPr>
        <sz val="9"/>
        <color rgb="FF4B5563"/>
        <rFont val="Arial"/>
        <family val="0"/>
        <charset val="1"/>
      </rPr>
      <t xml:space="preserve">M1</t>
    </r>
    <r>
      <rPr>
        <sz val="9"/>
        <color rgb="FF4B5563"/>
        <rFont val="WenQuanYi Zen Hei"/>
        <family val="2"/>
      </rPr>
      <t xml:space="preserve">이어도 </t>
    </r>
    <r>
      <rPr>
        <sz val="9"/>
        <color rgb="FF4B5563"/>
        <rFont val="Arial"/>
        <family val="0"/>
        <charset val="1"/>
      </rPr>
      <t xml:space="preserve">M0</t>
    </r>
    <r>
      <rPr>
        <sz val="9"/>
        <color rgb="FF4B5563"/>
        <rFont val="WenQuanYi Zen Hei"/>
        <family val="2"/>
      </rPr>
      <t xml:space="preserve">의 분기확률</t>
    </r>
    <r>
      <rPr>
        <sz val="9"/>
        <color rgb="FF4B5563"/>
        <rFont val="Arial"/>
        <family val="0"/>
        <charset val="1"/>
      </rPr>
      <t xml:space="preserve">(p_e0, </t>
    </r>
    <r>
      <rPr>
        <sz val="9"/>
        <color rgb="FF4B5563"/>
        <rFont val="WenQuanYi Zen Hei"/>
        <family val="2"/>
      </rPr>
      <t xml:space="preserve">배리어 없음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을 씁니다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</si>
  <si>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③-2 </t>
    </r>
    <r>
      <rPr>
        <b val="true"/>
        <sz val="14"/>
        <rFont val="WenQuanYi Zen Hei"/>
        <family val="2"/>
      </rPr>
      <t xml:space="preserve">결과 모델 — 발화층 위로 번지는 층 수와 노출 인원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사건 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회당 기대값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</si>
  <si>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n_F = ⌊min(T_FS, T_stop)/τ_F⌋, a_j = q^j·[j ≤ n_F], b_j = p_L^j·[j ≤ n_L], P(n ≥ j) = w_j·(1 − (1 − a_j)(1 − b_j)), w_j = (N − j)/N (IE1: </t>
    </r>
    <r>
      <rPr>
        <sz val="9"/>
        <color rgb="FF4B5563"/>
        <rFont val="WenQuanYi Zen Hei"/>
        <family val="2"/>
      </rPr>
      <t xml:space="preserve">발화층 균등</t>
    </r>
    <r>
      <rPr>
        <sz val="9"/>
        <color rgb="FF4B5563"/>
        <rFont val="Arial"/>
        <family val="0"/>
        <charset val="1"/>
      </rPr>
      <t xml:space="preserve">) </t>
    </r>
    <r>
      <rPr>
        <sz val="9"/>
        <color rgb="FF4B5563"/>
        <rFont val="WenQuanYi Zen Hei"/>
        <family val="2"/>
      </rPr>
      <t xml:space="preserve">또는 </t>
    </r>
    <r>
      <rPr>
        <sz val="9"/>
        <color rgb="FF4B5563"/>
        <rFont val="Arial"/>
        <family val="0"/>
        <charset val="1"/>
      </rPr>
      <t xml:space="preserve">1 (IE2: 1</t>
    </r>
    <r>
      <rPr>
        <sz val="9"/>
        <color rgb="FF4B5563"/>
        <rFont val="WenQuanYi Zen Hei"/>
        <family val="2"/>
      </rPr>
      <t xml:space="preserve">층 발화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층 </t>
    </r>
    <r>
      <rPr>
        <sz val="9"/>
        <color rgb="FF4B5563"/>
        <rFont val="Arial"/>
        <family val="0"/>
        <charset val="1"/>
      </rPr>
      <t xml:space="preserve">j</t>
    </r>
    <r>
      <rPr>
        <sz val="9"/>
        <color rgb="FF4B5563"/>
        <rFont val="WenQuanYi Zen Hei"/>
        <family val="2"/>
      </rPr>
      <t xml:space="preserve">는 먼저 닿는 경로의 도달시각이 </t>
    </r>
    <r>
      <rPr>
        <sz val="9"/>
        <color rgb="FF4B5563"/>
        <rFont val="Arial"/>
        <family val="0"/>
        <charset val="1"/>
      </rPr>
      <t xml:space="preserve">RSET</t>
    </r>
    <r>
      <rPr>
        <sz val="9"/>
        <color rgb="FF4B5563"/>
        <rFont val="WenQuanYi Zen Hei"/>
        <family val="2"/>
      </rPr>
      <t xml:space="preserve">보다 이르면 노출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</si>
  <si>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j (</t>
    </r>
    <r>
      <rPr>
        <b val="true"/>
        <sz val="10"/>
        <rFont val="WenQuanYi Zen Hei"/>
        <family val="2"/>
      </rPr>
      <t xml:space="preserve">발화층 위 층</t>
    </r>
    <r>
      <rPr>
        <b val="true"/>
        <sz val="10"/>
        <rFont val="Arial"/>
        <family val="0"/>
        <charset val="1"/>
      </rPr>
      <t xml:space="preserve">)</t>
    </r>
  </si>
  <si>
    <t xml:space="preserve">w_j (IE1)</t>
  </si>
  <si>
    <t xml:space="preserve">w_j (IE2)</t>
  </si>
  <si>
    <r>
      <rPr>
        <sz val="9"/>
        <color rgb="FF4B5563"/>
        <rFont val="WenQuanYi Zen Hei"/>
        <family val="2"/>
      </rPr>
      <t xml:space="preserve">사건 행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반복시험 </t>
    </r>
    <r>
      <rPr>
        <sz val="9"/>
        <color rgb="FF4B5563"/>
        <rFont val="Arial"/>
        <family val="0"/>
        <charset val="1"/>
      </rPr>
      <t xml:space="preserve">× B </t>
    </r>
    <r>
      <rPr>
        <sz val="9"/>
        <color rgb="FF4B5563"/>
        <rFont val="WenQuanYi Zen Hei"/>
        <family val="2"/>
      </rPr>
      <t xml:space="preserve">상태 </t>
    </r>
    <r>
      <rPr>
        <sz val="9"/>
        <color rgb="FF4B5563"/>
        <rFont val="Arial"/>
        <family val="0"/>
        <charset val="1"/>
      </rPr>
      <t xml:space="preserve">× </t>
    </r>
    <r>
      <rPr>
        <sz val="9"/>
        <color rgb="FF4B5563"/>
        <rFont val="WenQuanYi Zen Hei"/>
        <family val="2"/>
      </rPr>
      <t xml:space="preserve">사건</t>
    </r>
    <r>
      <rPr>
        <sz val="9"/>
        <color rgb="FF4B5563"/>
        <rFont val="Arial"/>
        <family val="0"/>
        <charset val="1"/>
      </rPr>
      <t xml:space="preserve">(IE1/IE2) × </t>
    </r>
    <r>
      <rPr>
        <sz val="9"/>
        <color rgb="FF4B5563"/>
        <rFont val="WenQuanYi Zen Hei"/>
        <family val="2"/>
      </rPr>
      <t xml:space="preserve">배리어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가중치 </t>
    </r>
    <r>
      <rPr>
        <sz val="9"/>
        <color rgb="FF4B5563"/>
        <rFont val="Arial"/>
        <family val="0"/>
        <charset val="1"/>
      </rPr>
      <t xml:space="preserve">= (1/n) × (B</t>
    </r>
    <r>
      <rPr>
        <sz val="9"/>
        <color rgb="FF4B5563"/>
        <rFont val="WenQuanYi Zen Hei"/>
        <family val="2"/>
      </rPr>
      <t xml:space="preserve">면 </t>
    </r>
    <r>
      <rPr>
        <sz val="9"/>
        <color rgb="FF4B5563"/>
        <rFont val="Arial"/>
        <family val="0"/>
        <charset val="1"/>
      </rPr>
      <t xml:space="preserve">p_B, </t>
    </r>
    <r>
      <rPr>
        <sz val="9"/>
        <color rgb="FF4B5563"/>
        <rFont val="WenQuanYi Zen Hei"/>
        <family val="2"/>
      </rPr>
      <t xml:space="preserve">아니면 </t>
    </r>
    <r>
      <rPr>
        <sz val="9"/>
        <color rgb="FF4B5563"/>
        <rFont val="Arial"/>
        <family val="0"/>
        <charset val="1"/>
      </rPr>
      <t xml:space="preserve">1 − p_B). 'L'</t>
    </r>
    <r>
      <rPr>
        <sz val="9"/>
        <color rgb="FF4B5563"/>
        <rFont val="WenQuanYi Zen Hei"/>
        <family val="2"/>
      </rPr>
      <t xml:space="preserve">은 중공층 경로가 없는 창→창 도약만의 경로</t>
    </r>
    <r>
      <rPr>
        <sz val="9"/>
        <color rgb="FF4B5563"/>
        <rFont val="Arial"/>
        <family val="0"/>
        <charset val="1"/>
      </rPr>
      <t xml:space="preserve">(IE1, </t>
    </r>
    <r>
      <rPr>
        <sz val="9"/>
        <color rgb="FF4B5563"/>
        <rFont val="WenQuanYi Zen Hei"/>
        <family val="2"/>
      </rPr>
      <t xml:space="preserve">불연 기준안과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노출 안 됨</t>
    </r>
    <r>
      <rPr>
        <sz val="9"/>
        <color rgb="FF4B5563"/>
        <rFont val="Arial"/>
        <family val="0"/>
        <charset val="1"/>
      </rPr>
      <t xml:space="preserve">' </t>
    </r>
    <r>
      <rPr>
        <sz val="9"/>
        <color rgb="FF4B5563"/>
        <rFont val="WenQuanYi Zen Hei"/>
        <family val="2"/>
      </rPr>
      <t xml:space="preserve">분기에 사용</t>
    </r>
    <r>
      <rPr>
        <sz val="9"/>
        <color rgb="FF4B5563"/>
        <rFont val="Arial"/>
        <family val="0"/>
        <charset val="1"/>
      </rPr>
      <t xml:space="preserve">).</t>
    </r>
  </si>
  <si>
    <t xml:space="preserve">사건</t>
  </si>
  <si>
    <r>
      <rPr>
        <b val="true"/>
        <sz val="10"/>
        <color rgb="FFFFFFFF"/>
        <rFont val="WenQuanYi Zen Hei"/>
        <family val="2"/>
      </rPr>
      <t xml:space="preserve">배리어</t>
    </r>
    <r>
      <rPr>
        <b val="true"/>
        <sz val="10"/>
        <color rgb="FFFFFFFF"/>
        <rFont val="Arial"/>
        <family val="0"/>
        <charset val="1"/>
      </rPr>
      <t xml:space="preserve">(1/0)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</si>
  <si>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상태</t>
    </r>
    <r>
      <rPr>
        <b val="true"/>
        <sz val="10"/>
        <color rgb="FFFFFFFF"/>
        <rFont val="Arial"/>
        <family val="0"/>
        <charset val="1"/>
      </rPr>
      <t xml:space="preserve">(1/0)</t>
    </r>
  </si>
  <si>
    <t xml:space="preserve">가중치</t>
  </si>
  <si>
    <t xml:space="preserve">τ_F (s)</t>
  </si>
  <si>
    <t xml:space="preserve">T_stop (s)</t>
  </si>
  <si>
    <t xml:space="preserve">n_F</t>
  </si>
  <si>
    <t xml:space="preserve">n_L</t>
  </si>
  <si>
    <t xml:space="preserve">q = 1 − p_cb</t>
  </si>
  <si>
    <r>
      <rPr>
        <b val="true"/>
        <sz val="10"/>
        <color rgb="FFFFFFFF"/>
        <rFont val="Arial"/>
        <family val="0"/>
        <charset val="1"/>
      </rPr>
      <t xml:space="preserve">p_L(</t>
    </r>
    <r>
      <rPr>
        <b val="true"/>
        <sz val="10"/>
        <color rgb="FFFFFFFF"/>
        <rFont val="WenQuanYi Zen Hei"/>
        <family val="2"/>
      </rPr>
      <t xml:space="preserve">사건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</si>
  <si>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E[</t>
    </r>
    <r>
      <rPr>
        <b val="true"/>
        <sz val="10"/>
        <color rgb="FFFFFFFF"/>
        <rFont val="WenQuanYi Zen Hei"/>
        <family val="2"/>
      </rPr>
      <t xml:space="preserve">확산 층 수</t>
    </r>
    <r>
      <rPr>
        <b val="true"/>
        <sz val="10"/>
        <color rgb="FFFFFFFF"/>
        <rFont val="Arial"/>
        <family val="0"/>
        <charset val="1"/>
      </rPr>
      <t xml:space="preserve">]</t>
    </r>
  </si>
  <si>
    <r>
      <rPr>
        <b val="true"/>
        <sz val="10"/>
        <color rgb="FFFFFFFF"/>
        <rFont val="Arial"/>
        <family val="0"/>
        <charset val="1"/>
      </rPr>
      <t xml:space="preserve">E[</t>
    </r>
    <r>
      <rPr>
        <b val="true"/>
        <sz val="10"/>
        <color rgb="FFFFFFFF"/>
        <rFont val="WenQuanYi Zen Hei"/>
        <family val="2"/>
      </rPr>
      <t xml:space="preserve">노출 인원</t>
    </r>
    <r>
      <rPr>
        <b val="true"/>
        <sz val="10"/>
        <color rgb="FFFFFFFF"/>
        <rFont val="Arial"/>
        <family val="0"/>
        <charset val="1"/>
      </rPr>
      <t xml:space="preserve">]</t>
    </r>
  </si>
  <si>
    <t xml:space="preserve">P(n≥1)</t>
  </si>
  <si>
    <t xml:space="preserve">P(n≥2)</t>
  </si>
  <si>
    <t xml:space="preserve">P(n≥3)</t>
  </si>
  <si>
    <t xml:space="preserve">P(n≥4)</t>
  </si>
  <si>
    <t xml:space="preserve">P(n≥5)</t>
  </si>
  <si>
    <t xml:space="preserve">P(n≥6)</t>
  </si>
  <si>
    <t xml:space="preserve">P(n≥7)</t>
  </si>
  <si>
    <t xml:space="preserve">P(n≥8)</t>
  </si>
  <si>
    <t xml:space="preserve">P(n≥9)</t>
  </si>
  <si>
    <t xml:space="preserve">P(n≥10)</t>
  </si>
  <si>
    <t xml:space="preserve">P(n≥11)</t>
  </si>
  <si>
    <t xml:space="preserve">P(n≥12)</t>
  </si>
  <si>
    <t xml:space="preserve">P(n≥13)</t>
  </si>
  <si>
    <t xml:space="preserve">P(n≥14)</t>
  </si>
  <si>
    <t xml:space="preserve">P(n≥15)</t>
  </si>
  <si>
    <t xml:space="preserve">P(n≥16)</t>
  </si>
  <si>
    <t xml:space="preserve">P(n≥17)</t>
  </si>
  <si>
    <t xml:space="preserve">P(n≥18)</t>
  </si>
  <si>
    <t xml:space="preserve">P(n≥19)</t>
  </si>
  <si>
    <t xml:space="preserve">P(n≥20)</t>
  </si>
  <si>
    <t xml:space="preserve">L</t>
  </si>
  <si>
    <t xml:space="preserve">—</t>
  </si>
  <si>
    <r>
      <rPr>
        <b val="true"/>
        <sz val="11"/>
        <rFont val="WenQuanYi Zen Hei"/>
        <family val="2"/>
      </rPr>
      <t xml:space="preserve">재료별 집계 </t>
    </r>
    <r>
      <rPr>
        <b val="true"/>
        <sz val="11"/>
        <rFont val="Arial"/>
        <family val="0"/>
        <charset val="1"/>
      </rPr>
      <t xml:space="preserve">= Σ </t>
    </r>
    <r>
      <rPr>
        <b val="true"/>
        <sz val="11"/>
        <rFont val="WenQuanYi Zen Hei"/>
        <family val="2"/>
      </rPr>
      <t xml:space="preserve">가중치 </t>
    </r>
    <r>
      <rPr>
        <b val="true"/>
        <sz val="11"/>
        <rFont val="Arial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사건 행 </t>
    </r>
    <r>
      <rPr>
        <b val="true"/>
        <sz val="11"/>
        <rFont val="Arial"/>
        <family val="0"/>
        <charset val="1"/>
      </rPr>
      <t xml:space="preserve">(5_</t>
    </r>
    <r>
      <rPr>
        <b val="true"/>
        <sz val="11"/>
        <rFont val="WenQuanYi Zen Hei"/>
        <family val="2"/>
      </rPr>
      <t xml:space="preserve">위험도가 여기서 가져갑니다</t>
    </r>
    <r>
      <rPr>
        <b val="true"/>
        <sz val="11"/>
        <rFont val="Arial"/>
        <family val="0"/>
        <charset val="1"/>
      </rPr>
      <t xml:space="preserve">)</t>
    </r>
  </si>
  <si>
    <t xml:space="preserve">배리어</t>
  </si>
  <si>
    <r>
      <rPr>
        <b val="true"/>
        <sz val="14"/>
        <rFont val="WenQuanYi Zen Hei"/>
        <family val="2"/>
      </rPr>
      <t xml:space="preserve">④ 위험도 </t>
    </r>
    <r>
      <rPr>
        <b val="true"/>
        <sz val="14"/>
        <rFont val="Arial"/>
        <family val="0"/>
        <charset val="1"/>
      </rPr>
      <t xml:space="preserve">R = Σ F·C (NFPA 551 </t>
    </r>
    <r>
      <rPr>
        <b val="true"/>
        <sz val="14"/>
        <rFont val="WenQuanYi Zen Hei"/>
        <family val="2"/>
      </rPr>
      <t xml:space="preserve">식 </t>
    </r>
    <r>
      <rPr>
        <b val="true"/>
        <sz val="14"/>
        <rFont val="Arial"/>
        <family val="0"/>
        <charset val="1"/>
      </rPr>
      <t xml:space="preserve">5.5.1.3), </t>
    </r>
    <r>
      <rPr>
        <b val="true"/>
        <sz val="14"/>
        <rFont val="WenQuanYi Zen Hei"/>
        <family val="2"/>
      </rPr>
      <t xml:space="preserve">초과빈도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기준안 대비 상대위험도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허용기준 판정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예시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</si>
  <si>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R_S = F₁·[p_e·C(IE1 </t>
    </r>
    <r>
      <rPr>
        <sz val="9"/>
        <color rgb="FF4B5563"/>
        <rFont val="WenQuanYi Zen Hei"/>
        <family val="2"/>
      </rPr>
      <t xml:space="preserve">외벽</t>
    </r>
    <r>
      <rPr>
        <sz val="9"/>
        <color rgb="FF4B5563"/>
        <rFont val="Arial"/>
        <family val="0"/>
        <charset val="1"/>
      </rPr>
      <t xml:space="preserve">+</t>
    </r>
    <r>
      <rPr>
        <sz val="9"/>
        <color rgb="FF4B5563"/>
        <rFont val="WenQuanYi Zen Hei"/>
        <family val="2"/>
      </rPr>
      <t xml:space="preserve">도약</t>
    </r>
    <r>
      <rPr>
        <sz val="9"/>
        <color rgb="FF4B5563"/>
        <rFont val="Arial"/>
        <family val="0"/>
        <charset val="1"/>
      </rPr>
      <t xml:space="preserve">) + (1 − p_e)·C(</t>
    </r>
    <r>
      <rPr>
        <sz val="9"/>
        <color rgb="FF4B5563"/>
        <rFont val="WenQuanYi Zen Hei"/>
        <family val="2"/>
      </rPr>
      <t xml:space="preserve">도약만</t>
    </r>
    <r>
      <rPr>
        <sz val="9"/>
        <color rgb="FF4B5563"/>
        <rFont val="Arial"/>
        <family val="0"/>
        <charset val="1"/>
      </rPr>
      <t xml:space="preserve">)] + F₂·p_e·C(IE2 </t>
    </r>
    <r>
      <rPr>
        <sz val="9"/>
        <color rgb="FF4B5563"/>
        <rFont val="WenQuanYi Zen Hei"/>
        <family val="2"/>
      </rPr>
      <t xml:space="preserve">외벽</t>
    </r>
    <r>
      <rPr>
        <sz val="9"/>
        <color rgb="FF4B5563"/>
        <rFont val="Arial"/>
        <family val="0"/>
        <charset val="1"/>
      </rPr>
      <t xml:space="preserve">). C</t>
    </r>
    <r>
      <rPr>
        <sz val="9"/>
        <color rgb="FF4B5563"/>
        <rFont val="WenQuanYi Zen Hei"/>
        <family val="2"/>
      </rPr>
      <t xml:space="preserve">는 </t>
    </r>
    <r>
      <rPr>
        <sz val="9"/>
        <color rgb="FF4B5563"/>
        <rFont val="Arial"/>
        <family val="0"/>
        <charset val="1"/>
      </rPr>
      <t xml:space="preserve">4_</t>
    </r>
    <r>
      <rPr>
        <sz val="9"/>
        <color rgb="FF4B5563"/>
        <rFont val="WenQuanYi Zen Hei"/>
        <family val="2"/>
      </rPr>
      <t xml:space="preserve">결과모델 집계값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판정은 점추정이며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불확실성을 넣은 판정은 </t>
    </r>
    <r>
      <rPr>
        <sz val="9"/>
        <color rgb="FF4B5563"/>
        <rFont val="Arial"/>
        <family val="0"/>
        <charset val="1"/>
      </rPr>
      <t xml:space="preserve">6_</t>
    </r>
    <r>
      <rPr>
        <sz val="9"/>
        <color rgb="FF4B5563"/>
        <rFont val="WenQuanYi Zen Hei"/>
        <family val="2"/>
      </rPr>
      <t xml:space="preserve">불확실성</t>
    </r>
    <r>
      <rPr>
        <sz val="9"/>
        <color rgb="FF4B5563"/>
        <rFont val="Arial"/>
        <family val="0"/>
        <charset val="1"/>
      </rPr>
      <t xml:space="preserve">(MC)</t>
    </r>
    <r>
      <rPr>
        <sz val="9"/>
        <color rgb="FF4B5563"/>
        <rFont val="WenQuanYi Zen Hei"/>
        <family val="2"/>
      </rPr>
      <t xml:space="preserve">를 보십시오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</si>
  <si>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그림용 표</t>
    </r>
    <r>
      <rPr>
        <b val="true"/>
        <sz val="11"/>
        <rFont val="Arial"/>
        <family val="0"/>
        <charset val="1"/>
      </rPr>
      <t xml:space="preserve">: R_S (B1)</t>
    </r>
  </si>
  <si>
    <t xml:space="preserve">대책</t>
  </si>
  <si>
    <r>
      <rPr>
        <b val="true"/>
        <sz val="10"/>
        <color rgb="FFFFFFFF"/>
        <rFont val="WenQuanYi Zen Hei"/>
        <family val="2"/>
      </rPr>
      <t xml:space="preserve">대책 인정</t>
    </r>
    <r>
      <rPr>
        <b val="true"/>
        <sz val="10"/>
        <color rgb="FFFFFFFF"/>
        <rFont val="Arial"/>
        <family val="0"/>
        <charset val="1"/>
      </rPr>
      <t xml:space="preserve">(1/0)</t>
    </r>
  </si>
  <si>
    <r>
      <rPr>
        <b val="true"/>
        <sz val="10"/>
        <color rgb="FFFFFFFF"/>
        <rFont val="Arial"/>
        <family val="0"/>
        <charset val="1"/>
      </rPr>
      <t xml:space="preserve">F₁ </t>
    </r>
    <r>
      <rPr>
        <b val="true"/>
        <sz val="10"/>
        <color rgb="FFFFFFFF"/>
        <rFont val="WenQuanYi Zen Hei"/>
        <family val="2"/>
      </rPr>
      <t xml:space="preserve">분출 </t>
    </r>
    <r>
      <rPr>
        <b val="true"/>
        <sz val="10"/>
        <color rgb="FFFFFFFF"/>
        <rFont val="Arial"/>
        <family val="0"/>
        <charset val="1"/>
      </rPr>
      <t xml:space="preserve">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</si>
  <si>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F₂ </t>
    </r>
    <r>
      <rPr>
        <b val="true"/>
        <sz val="10"/>
        <color rgb="FFFFFFFF"/>
        <rFont val="WenQuanYi Zen Hei"/>
        <family val="2"/>
      </rPr>
      <t xml:space="preserve">외부 노출 </t>
    </r>
    <r>
      <rPr>
        <b val="true"/>
        <sz val="10"/>
        <color rgb="FFFFFFFF"/>
        <rFont val="Arial"/>
        <family val="0"/>
        <charset val="1"/>
      </rPr>
      <t xml:space="preserve">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</si>
  <si>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p_e</t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</si>
  <si>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확산 층 수 </t>
    </r>
    <r>
      <rPr>
        <b val="true"/>
        <sz val="10"/>
        <color rgb="FFFFFFFF"/>
        <rFont val="Arial"/>
        <family val="0"/>
        <charset val="1"/>
      </rPr>
      <t xml:space="preserve">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</si>
  <si>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R_P </t>
    </r>
    <r>
      <rPr>
        <b val="true"/>
        <sz val="10"/>
        <color rgb="FFFFFFFF"/>
        <rFont val="WenQuanYi Zen Hei"/>
        <family val="2"/>
      </rPr>
      <t xml:space="preserve">노출 인원 </t>
    </r>
    <r>
      <rPr>
        <b val="true"/>
        <sz val="10"/>
        <color rgb="FFFFFFFF"/>
        <rFont val="Arial"/>
        <family val="0"/>
        <charset val="1"/>
      </rPr>
      <t xml:space="preserve">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</si>
  <si>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R_fatal </t>
    </r>
    <r>
      <rPr>
        <b val="true"/>
        <sz val="10"/>
        <color rgb="FFFFFFFF"/>
        <rFont val="WenQuanYi Zen Hei"/>
        <family val="2"/>
      </rPr>
      <t xml:space="preserve">사망 </t>
    </r>
    <r>
      <rPr>
        <b val="true"/>
        <sz val="10"/>
        <color rgb="FFFFFFFF"/>
        <rFont val="Arial"/>
        <family val="0"/>
        <charset val="1"/>
      </rPr>
      <t xml:space="preserve">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</si>
  <si>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개인위험도 </t>
    </r>
    <r>
      <rPr>
        <b val="true"/>
        <sz val="10"/>
        <color rgb="FFFFFFFF"/>
        <rFont val="Arial"/>
        <family val="0"/>
        <charset val="1"/>
      </rPr>
      <t xml:space="preserve">IR 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</si>
  <si>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F(n≥1) 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</si>
  <si>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F(n≥2) 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</si>
  <si>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F(n≥5) (/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</si>
  <si>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RR_S (</t>
    </r>
    <r>
      <rPr>
        <b val="true"/>
        <sz val="10"/>
        <color rgb="FFFFFFFF"/>
        <rFont val="WenQuanYi Zen Hei"/>
        <family val="2"/>
      </rPr>
      <t xml:space="preserve">기준안 대비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</si>
  <si>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IE2 </t>
    </r>
    <r>
      <rPr>
        <b val="true"/>
        <sz val="10"/>
        <color rgb="FFFFFFFF"/>
        <rFont val="WenQuanYi Zen Hei"/>
        <family val="2"/>
      </rPr>
      <t xml:space="preserve">비중</t>
    </r>
  </si>
  <si>
    <r>
      <rPr>
        <b val="true"/>
        <sz val="10"/>
        <color rgb="FFFFFFFF"/>
        <rFont val="WenQuanYi Zen Hei"/>
        <family val="2"/>
      </rPr>
      <t xml:space="preserve">허용기준 예시 </t>
    </r>
    <r>
      <rPr>
        <b val="true"/>
        <sz val="10"/>
        <color rgb="FFFFFFFF"/>
        <rFont val="Arial"/>
        <family val="0"/>
        <charset val="1"/>
      </rPr>
      <t xml:space="preserve">F(n≥2) ≤ F₂*</t>
    </r>
  </si>
  <si>
    <r>
      <rPr>
        <b val="true"/>
        <sz val="10"/>
        <color rgb="FFFFFFFF"/>
        <rFont val="Arial"/>
        <family val="0"/>
        <charset val="1"/>
      </rPr>
      <t xml:space="preserve">M0 </t>
    </r>
    <r>
      <rPr>
        <b val="true"/>
        <sz val="10"/>
        <color rgb="FFFFFFFF"/>
        <rFont val="WenQuanYi Zen Hei"/>
        <family val="2"/>
      </rPr>
      <t xml:space="preserve">대책 없음</t>
    </r>
  </si>
  <si>
    <r>
      <rPr>
        <b val="true"/>
        <sz val="10"/>
        <color rgb="FFFFFFFF"/>
        <rFont val="Arial"/>
        <family val="0"/>
        <charset val="1"/>
      </rPr>
      <t xml:space="preserve">M1 </t>
    </r>
    <r>
      <rPr>
        <b val="true"/>
        <sz val="10"/>
        <color rgb="FFFFFFFF"/>
        <rFont val="WenQuanYi Zen Hei"/>
        <family val="2"/>
      </rPr>
      <t xml:space="preserve">차단재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WenQuanYi Zen Hei"/>
        <family val="2"/>
      </rPr>
      <t xml:space="preserve">배리어</t>
    </r>
  </si>
  <si>
    <t xml:space="preserve">B1</t>
  </si>
  <si>
    <t xml:space="preserve">M0</t>
  </si>
  <si>
    <r>
      <rPr>
        <b val="true"/>
        <sz val="10"/>
        <rFont val="WenQuanYi Zen Hei"/>
        <family val="2"/>
      </rPr>
      <t xml:space="preserve">불연 단열재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기준안</t>
    </r>
    <r>
      <rPr>
        <b val="true"/>
        <sz val="10"/>
        <rFont val="Arial"/>
        <family val="0"/>
        <charset val="1"/>
      </rPr>
      <t xml:space="preserve">)</t>
    </r>
  </si>
  <si>
    <t xml:space="preserve">불연</t>
  </si>
  <si>
    <r>
      <rPr>
        <sz val="10"/>
        <rFont val="WenQuanYi Zen Hei"/>
        <family val="2"/>
      </rPr>
      <t xml:space="preserve">불연 단열재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기준안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</si>
  <si>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EPS </t>
    </r>
    <r>
      <rPr>
        <b val="true"/>
        <sz val="10"/>
        <rFont val="WenQuanYi Zen Hei"/>
        <family val="2"/>
      </rPr>
      <t xml:space="preserve">준불연</t>
    </r>
  </si>
  <si>
    <r>
      <rPr>
        <b val="true"/>
        <sz val="10"/>
        <rFont val="Arial"/>
        <family val="0"/>
        <charset val="1"/>
      </rPr>
      <t xml:space="preserve">PIR(PUR) </t>
    </r>
    <r>
      <rPr>
        <b val="true"/>
        <sz val="10"/>
        <rFont val="WenQuanYi Zen Hei"/>
        <family val="2"/>
      </rPr>
      <t xml:space="preserve">가연성</t>
    </r>
  </si>
  <si>
    <r>
      <rPr>
        <b val="true"/>
        <sz val="10"/>
        <rFont val="Arial"/>
        <family val="0"/>
        <charset val="1"/>
      </rPr>
      <t xml:space="preserve">PIR(PUR) </t>
    </r>
    <r>
      <rPr>
        <b val="true"/>
        <sz val="10"/>
        <rFont val="WenQuanYi Zen Hei"/>
        <family val="2"/>
      </rPr>
      <t xml:space="preserve">준불연</t>
    </r>
  </si>
  <si>
    <r>
      <rPr>
        <b val="true"/>
        <sz val="10"/>
        <rFont val="Arial"/>
        <family val="0"/>
        <charset val="1"/>
      </rPr>
      <t xml:space="preserve">PF </t>
    </r>
    <r>
      <rPr>
        <b val="true"/>
        <sz val="10"/>
        <rFont val="WenQuanYi Zen Hei"/>
        <family val="2"/>
      </rPr>
      <t xml:space="preserve">준불연 외부용</t>
    </r>
  </si>
  <si>
    <r>
      <rPr>
        <b val="true"/>
        <sz val="10"/>
        <rFont val="Arial"/>
        <family val="0"/>
        <charset val="1"/>
      </rPr>
      <t xml:space="preserve">PF </t>
    </r>
    <r>
      <rPr>
        <b val="true"/>
        <sz val="10"/>
        <rFont val="WenQuanYi Zen Hei"/>
        <family val="2"/>
      </rPr>
      <t xml:space="preserve">준불연 내부용</t>
    </r>
  </si>
  <si>
    <t xml:space="preserve">M1</t>
  </si>
  <si>
    <t xml:space="preserve">B0</t>
  </si>
  <si>
    <r>
      <rPr>
        <sz val="9"/>
        <color rgb="FF4B5563"/>
        <rFont val="Arial"/>
        <family val="0"/>
        <charset val="1"/>
      </rPr>
      <t xml:space="preserve">R_S: </t>
    </r>
    <r>
      <rPr>
        <sz val="9"/>
        <color rgb="FF4B5563"/>
        <rFont val="WenQuanYi Zen Hei"/>
        <family val="2"/>
      </rPr>
      <t xml:space="preserve">외벽 때문에 발화층 위로 번지는 층 수의 연간 기대값 </t>
    </r>
    <r>
      <rPr>
        <sz val="9"/>
        <color rgb="FF4B5563"/>
        <rFont val="Arial"/>
        <family val="0"/>
        <charset val="1"/>
      </rPr>
      <t xml:space="preserve">· R_P: </t>
    </r>
    <r>
      <rPr>
        <sz val="9"/>
        <color rgb="FF4B5563"/>
        <rFont val="WenQuanYi Zen Hei"/>
        <family val="2"/>
      </rPr>
      <t xml:space="preserve">그 층들에서 피난 전에 화염이 닿는 재실자 수의 연간 기대값 </t>
    </r>
    <r>
      <rPr>
        <sz val="9"/>
        <color rgb="FF4B5563"/>
        <rFont val="Arial"/>
        <family val="0"/>
        <charset val="1"/>
      </rPr>
      <t xml:space="preserve">· R_fatal = p_d × R_P · IR = R_fatal ÷ </t>
    </r>
    <r>
      <rPr>
        <sz val="9"/>
        <color rgb="FF4B5563"/>
        <rFont val="WenQuanYi Zen Hei"/>
        <family val="2"/>
      </rPr>
      <t xml:space="preserve">건물 재실자 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참고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영국 </t>
    </r>
    <r>
      <rPr>
        <sz val="9"/>
        <color rgb="FF4B5563"/>
        <rFont val="Arial"/>
        <family val="0"/>
        <charset val="1"/>
      </rPr>
      <t xml:space="preserve">HSE R2P2 </t>
    </r>
    <r>
      <rPr>
        <sz val="9"/>
        <color rgb="FF4B5563"/>
        <rFont val="WenQuanYi Zen Hei"/>
        <family val="2"/>
      </rPr>
      <t xml:space="preserve">개인위험도 </t>
    </r>
    <r>
      <rPr>
        <sz val="9"/>
        <color rgb="FF4B5563"/>
        <rFont val="Arial"/>
        <family val="0"/>
        <charset val="1"/>
      </rPr>
      <t xml:space="preserve">10⁻⁶/</t>
    </r>
    <r>
      <rPr>
        <sz val="9"/>
        <color rgb="FF4B5563"/>
        <rFont val="WenQuanYi Zen Hei"/>
        <family val="2"/>
      </rPr>
      <t xml:space="preserve">년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일반적으로 허용</t>
    </r>
    <r>
      <rPr>
        <sz val="9"/>
        <color rgb="FF4B5563"/>
        <rFont val="Arial"/>
        <family val="0"/>
        <charset val="1"/>
      </rPr>
      <t xml:space="preserve">', 10⁻⁴/</t>
    </r>
    <r>
      <rPr>
        <sz val="9"/>
        <color rgb="FF4B5563"/>
        <rFont val="WenQuanYi Zen Hei"/>
        <family val="2"/>
      </rPr>
      <t xml:space="preserve">년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허용 한계</t>
    </r>
    <r>
      <rPr>
        <sz val="9"/>
        <color rgb="FF4B5563"/>
        <rFont val="Arial"/>
        <family val="0"/>
        <charset val="1"/>
      </rPr>
      <t xml:space="preserve">').</t>
    </r>
  </si>
  <si>
    <r>
      <rPr>
        <b val="true"/>
        <sz val="11"/>
        <rFont val="WenQuanYi Zen Hei"/>
        <family val="2"/>
      </rPr>
      <t xml:space="preserve">초과빈도 </t>
    </r>
    <r>
      <rPr>
        <b val="true"/>
        <sz val="11"/>
        <rFont val="Arial"/>
        <family val="0"/>
        <charset val="1"/>
      </rPr>
      <t xml:space="preserve">F(</t>
    </r>
    <r>
      <rPr>
        <b val="true"/>
        <sz val="11"/>
        <rFont val="WenQuanYi Zen Hei"/>
        <family val="2"/>
      </rPr>
      <t xml:space="preserve">발화층 위 확산 ≥ </t>
    </r>
    <r>
      <rPr>
        <b val="true"/>
        <sz val="11"/>
        <rFont val="Arial"/>
        <family val="0"/>
        <charset val="1"/>
      </rPr>
      <t xml:space="preserve">n) — </t>
    </r>
    <r>
      <rPr>
        <b val="true"/>
        <sz val="11"/>
        <rFont val="WenQuanYi Zen Hei"/>
        <family val="2"/>
      </rPr>
      <t xml:space="preserve">스프링클러 설치 건물</t>
    </r>
    <r>
      <rPr>
        <b val="true"/>
        <sz val="11"/>
        <rFont val="Arial"/>
        <family val="0"/>
        <charset val="1"/>
      </rPr>
      <t xml:space="preserve">(B1), </t>
    </r>
    <r>
      <rPr>
        <b val="true"/>
        <sz val="11"/>
        <rFont val="WenQuanYi Zen Hei"/>
        <family val="2"/>
      </rPr>
      <t xml:space="preserve">점추정</t>
    </r>
  </si>
  <si>
    <t xml:space="preserve">n = 1</t>
  </si>
  <si>
    <t xml:space="preserve">n = 2</t>
  </si>
  <si>
    <t xml:space="preserve">n = 3</t>
  </si>
  <si>
    <t xml:space="preserve">n = 4</t>
  </si>
  <si>
    <t xml:space="preserve">n = 5</t>
  </si>
  <si>
    <t xml:space="preserve">n = 6</t>
  </si>
  <si>
    <t xml:space="preserve">n = 7</t>
  </si>
  <si>
    <t xml:space="preserve">n = 8</t>
  </si>
  <si>
    <t xml:space="preserve">n = 9</t>
  </si>
  <si>
    <t xml:space="preserve">n = 10</t>
  </si>
  <si>
    <t xml:space="preserve">n = 11</t>
  </si>
  <si>
    <t xml:space="preserve">n = 12</t>
  </si>
  <si>
    <t xml:space="preserve">n = 13</t>
  </si>
  <si>
    <t xml:space="preserve">n = 14</t>
  </si>
  <si>
    <t xml:space="preserve">n = 15</t>
  </si>
  <si>
    <t xml:space="preserve">n = 16</t>
  </si>
  <si>
    <t xml:space="preserve">n = 17</t>
  </si>
  <si>
    <t xml:space="preserve">n = 18</t>
  </si>
  <si>
    <t xml:space="preserve">n = 19</t>
  </si>
  <si>
    <t xml:space="preserve">n = 20</t>
  </si>
  <si>
    <r>
      <rPr>
        <b val="true"/>
        <sz val="14"/>
        <rFont val="WenQuanYi Zen Hei"/>
        <family val="2"/>
      </rPr>
      <t xml:space="preserve">⑤ 불확실성 — </t>
    </r>
    <r>
      <rPr>
        <b val="true"/>
        <sz val="14"/>
        <rFont val="Arial"/>
        <family val="0"/>
        <charset val="1"/>
      </rPr>
      <t xml:space="preserve">2</t>
    </r>
    <r>
      <rPr>
        <b val="true"/>
        <sz val="14"/>
        <rFont val="WenQuanYi Zen Hei"/>
        <family val="2"/>
      </rPr>
      <t xml:space="preserve">중 몬테카를로 결과 </t>
    </r>
    <r>
      <rPr>
        <b val="true"/>
        <sz val="14"/>
        <rFont val="Arial"/>
        <family val="0"/>
        <charset val="1"/>
      </rPr>
      <t xml:space="preserve">(qfra.py, </t>
    </r>
    <r>
      <rPr>
        <b val="true"/>
        <sz val="14"/>
        <rFont val="WenQuanYi Zen Hei"/>
        <family val="2"/>
      </rPr>
      <t xml:space="preserve">값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</si>
  <si>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WenQuanYi Zen Hei"/>
        <family val="2"/>
      </rPr>
      <t xml:space="preserve">바깥 루프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인식론적 불확실성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모르는 값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빈도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분기확률</t>
    </r>
    <r>
      <rPr>
        <sz val="9"/>
        <color rgb="FF4B5563"/>
        <rFont val="Arial"/>
        <family val="0"/>
        <charset val="1"/>
      </rPr>
      <t xml:space="preserve">·s·</t>
    </r>
    <r>
      <rPr>
        <sz val="9"/>
        <color rgb="FF4B5563"/>
        <rFont val="WenQuanYi Zen Hei"/>
        <family val="2"/>
      </rPr>
      <t xml:space="preserve">중앙값</t>
    </r>
    <r>
      <rPr>
        <sz val="9"/>
        <color rgb="FF4B5563"/>
        <rFont val="Arial"/>
        <family val="0"/>
        <charset val="1"/>
      </rPr>
      <t xml:space="preserve">·p_B) 2,000</t>
    </r>
    <r>
      <rPr>
        <sz val="9"/>
        <color rgb="FF4B5563"/>
        <rFont val="WenQuanYi Zen Hei"/>
        <family val="2"/>
      </rPr>
      <t xml:space="preserve">개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안쪽 루프 </t>
    </r>
    <r>
      <rPr>
        <sz val="9"/>
        <color rgb="FF4B5563"/>
        <rFont val="Arial"/>
        <family val="0"/>
        <charset val="1"/>
      </rPr>
      <t xml:space="preserve">= </t>
    </r>
    <r>
      <rPr>
        <sz val="9"/>
        <color rgb="FF4B5563"/>
        <rFont val="WenQuanYi Zen Hei"/>
        <family val="2"/>
      </rPr>
      <t xml:space="preserve">우연적 변동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사건마다 다른 값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진압</t>
    </r>
    <r>
      <rPr>
        <sz val="9"/>
        <color rgb="FF4B5563"/>
        <rFont val="Arial"/>
        <family val="0"/>
        <charset val="1"/>
      </rPr>
      <t xml:space="preserve">·</t>
    </r>
    <r>
      <rPr>
        <sz val="9"/>
        <color rgb="FF4B5563"/>
        <rFont val="WenQuanYi Zen Hei"/>
        <family val="2"/>
      </rPr>
      <t xml:space="preserve">피난 시각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도약 시간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분출 지속</t>
    </r>
    <r>
      <rPr>
        <sz val="9"/>
        <color rgb="FF4B5563"/>
        <rFont val="Arial"/>
        <family val="0"/>
        <charset val="1"/>
      </rPr>
      <t xml:space="preserve">, </t>
    </r>
    <r>
      <rPr>
        <sz val="9"/>
        <color rgb="FF4B5563"/>
        <rFont val="WenQuanYi Zen Hei"/>
        <family val="2"/>
      </rPr>
      <t xml:space="preserve">반복시험</t>
    </r>
    <r>
      <rPr>
        <sz val="9"/>
        <color rgb="FF4B5563"/>
        <rFont val="Arial"/>
        <family val="0"/>
        <charset val="1"/>
      </rPr>
      <t xml:space="preserve">, B) 400</t>
    </r>
    <r>
      <rPr>
        <sz val="9"/>
        <color rgb="FF4B5563"/>
        <rFont val="WenQuanYi Zen Hei"/>
        <family val="2"/>
      </rPr>
      <t xml:space="preserve">개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라틴 하이퍼큐브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입력을 바꾸면 </t>
    </r>
    <r>
      <rPr>
        <sz val="9"/>
        <color rgb="FF4B5563"/>
        <rFont val="Arial"/>
        <family val="0"/>
        <charset val="1"/>
      </rPr>
      <t xml:space="preserve">qfra.py</t>
    </r>
    <r>
      <rPr>
        <sz val="9"/>
        <color rgb="FF4B5563"/>
        <rFont val="WenQuanYi Zen Hei"/>
        <family val="2"/>
      </rPr>
      <t xml:space="preserve">를 다시 실행해야 이 시트가 바뀝니다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</si>
  <si>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</si>
  <si>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R_S 5 %</t>
  </si>
  <si>
    <t xml:space="preserve">R_S 50 %</t>
  </si>
  <si>
    <t xml:space="preserve">R_S 95 %</t>
  </si>
  <si>
    <r>
      <rPr>
        <b val="true"/>
        <sz val="10"/>
        <color rgb="FFFFFFFF"/>
        <rFont val="Arial"/>
        <family val="0"/>
        <charset val="1"/>
      </rPr>
      <t xml:space="preserve">R_P </t>
    </r>
    <r>
      <rPr>
        <b val="true"/>
        <sz val="10"/>
        <color rgb="FFFFFFFF"/>
        <rFont val="WenQuanYi Zen Hei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</si>
  <si>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F(n≥2) </t>
    </r>
    <r>
      <rPr>
        <b val="true"/>
        <sz val="10"/>
        <color rgb="FFFFFFFF"/>
        <rFont val="WenQuanYi Zen Hei"/>
        <family val="2"/>
      </rPr>
      <t xml:space="preserve">평균</t>
    </r>
  </si>
  <si>
    <t xml:space="preserve">F(n≥2) 50 %</t>
  </si>
  <si>
    <t xml:space="preserve">F(n≥2) 95 %</t>
  </si>
  <si>
    <t xml:space="preserve">RR_S 50 %</t>
  </si>
  <si>
    <t xml:space="preserve">RR_S 5–95 %</t>
  </si>
  <si>
    <t xml:space="preserve">기준 충족 비율</t>
  </si>
  <si>
    <r>
      <rPr>
        <b val="true"/>
        <sz val="10"/>
        <color rgb="FFFFFFFF"/>
        <rFont val="WenQuanYi Zen Hei"/>
        <family val="2"/>
      </rPr>
      <t xml:space="preserve">판정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신뢰수준 </t>
    </r>
    <r>
      <rPr>
        <b val="true"/>
        <sz val="10"/>
        <color rgb="FFFFFFFF"/>
        <rFont val="Arial"/>
        <family val="0"/>
        <charset val="1"/>
      </rPr>
      <t xml:space="preserve">90 %)</t>
    </r>
  </si>
  <si>
    <t xml:space="preserve">1.0 – 1</t>
  </si>
  <si>
    <t xml:space="preserve">충족</t>
  </si>
  <si>
    <t xml:space="preserve">6.1 – 224</t>
  </si>
  <si>
    <t xml:space="preserve">판단 유보</t>
  </si>
  <si>
    <t xml:space="preserve">134.7 – 4289</t>
  </si>
  <si>
    <t xml:space="preserve">불충족</t>
  </si>
  <si>
    <t xml:space="preserve">6.9 – 286</t>
  </si>
  <si>
    <t xml:space="preserve">8.1 – 359</t>
  </si>
  <si>
    <t xml:space="preserve">30.0 – 941</t>
  </si>
  <si>
    <t xml:space="preserve">1.4 – 20</t>
  </si>
  <si>
    <t xml:space="preserve">1.5 – 27</t>
  </si>
  <si>
    <t xml:space="preserve">1.5 – 29</t>
  </si>
  <si>
    <t xml:space="preserve">2.2 – 52</t>
  </si>
  <si>
    <t xml:space="preserve">3.4 – 37</t>
  </si>
  <si>
    <t xml:space="preserve">48.8 – 479</t>
  </si>
  <si>
    <t xml:space="preserve">3.7 – 49</t>
  </si>
  <si>
    <t xml:space="preserve">3.6 – 52</t>
  </si>
  <si>
    <t xml:space="preserve">13.2 – 136</t>
  </si>
  <si>
    <t xml:space="preserve">1.2 – 4</t>
  </si>
  <si>
    <t xml:space="preserve">1.2 – 5</t>
  </si>
  <si>
    <t xml:space="preserve">1.5 – 8</t>
  </si>
  <si>
    <r>
      <rPr>
        <sz val="9"/>
        <color rgb="FF4B5563"/>
        <rFont val="WenQuanYi Zen Hei"/>
        <family val="2"/>
      </rPr>
      <t xml:space="preserve">판정</t>
    </r>
    <r>
      <rPr>
        <sz val="9"/>
        <color rgb="FF4B5563"/>
        <rFont val="Arial"/>
        <family val="0"/>
        <charset val="1"/>
      </rPr>
      <t xml:space="preserve">: </t>
    </r>
    <r>
      <rPr>
        <sz val="9"/>
        <color rgb="FF4B5563"/>
        <rFont val="WenQuanYi Zen Hei"/>
        <family val="2"/>
      </rPr>
      <t xml:space="preserve">인식론적 표본 중 </t>
    </r>
    <r>
      <rPr>
        <sz val="9"/>
        <color rgb="FF4B5563"/>
        <rFont val="Arial"/>
        <family val="0"/>
        <charset val="1"/>
      </rPr>
      <t xml:space="preserve">F(n≥2) ≤ F₂*</t>
    </r>
    <r>
      <rPr>
        <sz val="9"/>
        <color rgb="FF4B5563"/>
        <rFont val="WenQuanYi Zen Hei"/>
        <family val="2"/>
      </rPr>
      <t xml:space="preserve">를 만족하는 비율이 </t>
    </r>
    <r>
      <rPr>
        <sz val="9"/>
        <color rgb="FF4B5563"/>
        <rFont val="Arial"/>
        <family val="0"/>
        <charset val="1"/>
      </rPr>
      <t xml:space="preserve">90 % </t>
    </r>
    <r>
      <rPr>
        <sz val="9"/>
        <color rgb="FF4B5563"/>
        <rFont val="WenQuanYi Zen Hei"/>
        <family val="2"/>
      </rPr>
      <t xml:space="preserve">이상이면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충족</t>
    </r>
    <r>
      <rPr>
        <sz val="9"/>
        <color rgb="FF4B5563"/>
        <rFont val="Arial"/>
        <family val="0"/>
        <charset val="1"/>
      </rPr>
      <t xml:space="preserve">', 10 % </t>
    </r>
    <r>
      <rPr>
        <sz val="9"/>
        <color rgb="FF4B5563"/>
        <rFont val="WenQuanYi Zen Hei"/>
        <family val="2"/>
      </rPr>
      <t xml:space="preserve">이하면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불충족</t>
    </r>
    <r>
      <rPr>
        <sz val="9"/>
        <color rgb="FF4B5563"/>
        <rFont val="Arial"/>
        <family val="0"/>
        <charset val="1"/>
      </rPr>
      <t xml:space="preserve">', </t>
    </r>
    <r>
      <rPr>
        <sz val="9"/>
        <color rgb="FF4B5563"/>
        <rFont val="WenQuanYi Zen Hei"/>
        <family val="2"/>
      </rPr>
      <t xml:space="preserve">그 사이는 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판단 유보</t>
    </r>
    <r>
      <rPr>
        <sz val="9"/>
        <color rgb="FF4B5563"/>
        <rFont val="Arial"/>
        <family val="0"/>
        <charset val="1"/>
      </rPr>
      <t xml:space="preserve">'(</t>
    </r>
    <r>
      <rPr>
        <sz val="9"/>
        <color rgb="FF4B5563"/>
        <rFont val="WenQuanYi Zen Hei"/>
        <family val="2"/>
      </rPr>
      <t xml:space="preserve">자료를 더 모아야 결론이 나는 상태</t>
    </r>
    <r>
      <rPr>
        <sz val="9"/>
        <color rgb="FF4B5563"/>
        <rFont val="Arial"/>
        <family val="0"/>
        <charset val="1"/>
      </rPr>
      <t xml:space="preserve">). </t>
    </r>
    <r>
      <rPr>
        <sz val="9"/>
        <color rgb="FF4B5563"/>
        <rFont val="WenQuanYi Zen Hei"/>
        <family val="2"/>
      </rPr>
      <t xml:space="preserve">기준값과 신뢰수준은 예시입니다</t>
    </r>
    <r>
      <rPr>
        <sz val="9"/>
        <color rgb="FF4B5563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</si>
  <si>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민감도 — </t>
    </r>
    <r>
      <rPr>
        <b val="true"/>
        <sz val="11"/>
        <rFont val="Arial"/>
        <family val="0"/>
        <charset val="1"/>
      </rPr>
      <t xml:space="preserve">log R_S</t>
    </r>
    <r>
      <rPr>
        <b val="true"/>
        <sz val="11"/>
        <rFont val="WenQuanYi Zen Hei"/>
        <family val="2"/>
      </rPr>
      <t xml:space="preserve">와 인식론적 입력의 순위상관 </t>
    </r>
    <r>
      <rPr>
        <b val="true"/>
        <sz val="11"/>
        <rFont val="Arial"/>
        <family val="0"/>
        <charset val="1"/>
      </rPr>
      <t xml:space="preserve">ρ (B1). </t>
    </r>
    <r>
      <rPr>
        <b val="true"/>
        <sz val="11"/>
        <rFont val="WenQuanYi Zen Hei"/>
        <family val="2"/>
      </rPr>
      <t xml:space="preserve">절댓값이 큰 입력부터 자료를 보강하면 판정이 가장 빨리 확정됩니다</t>
    </r>
    <r>
      <rPr>
        <b val="true"/>
        <sz val="11"/>
        <rFont val="Arial"/>
        <family val="0"/>
        <charset val="1"/>
      </rPr>
      <t xml:space="preserve">.</t>
    </r>
  </si>
  <si>
    <t xml:space="preserve">입력</t>
  </si>
  <si>
    <r>
      <rPr>
        <b val="true"/>
        <sz val="10"/>
        <color rgb="FFFFFFFF"/>
        <rFont val="Arial"/>
        <family val="0"/>
        <charset val="1"/>
      </rPr>
      <t xml:space="preserve">EPS </t>
    </r>
    <r>
      <rPr>
        <b val="true"/>
        <sz val="10"/>
        <color rgb="FFFFFFFF"/>
        <rFont val="WenQuanYi Zen Hei"/>
        <family val="2"/>
      </rPr>
      <t xml:space="preserve">준불연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</si>
  <si>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가연성</t>
    </r>
  </si>
  <si>
    <r>
      <rPr>
        <b val="true"/>
        <sz val="10"/>
        <color rgb="FFFFFFFF"/>
        <rFont val="Arial"/>
        <family val="0"/>
        <charset val="1"/>
      </rPr>
      <t xml:space="preserve">PIR(PUR) </t>
    </r>
    <r>
      <rPr>
        <b val="true"/>
        <sz val="10"/>
        <color rgb="FFFFFFFF"/>
        <rFont val="WenQuanYi Zen Hei"/>
        <family val="2"/>
      </rPr>
      <t xml:space="preserve">준불연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</si>
  <si>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외부용</t>
    </r>
  </si>
  <si>
    <r>
      <rPr>
        <b val="true"/>
        <sz val="10"/>
        <color rgb="FFFFFFFF"/>
        <rFont val="Arial"/>
        <family val="0"/>
        <charset val="1"/>
      </rPr>
      <t xml:space="preserve">PF </t>
    </r>
    <r>
      <rPr>
        <b val="true"/>
        <sz val="10"/>
        <color rgb="FFFFFFFF"/>
        <rFont val="WenQuanYi Zen Hei"/>
        <family val="2"/>
      </rPr>
      <t xml:space="preserve">준불연 내부용</t>
    </r>
  </si>
  <si>
    <r>
      <rPr>
        <sz val="10"/>
        <rFont val="WenQuanYi Zen Hei"/>
        <family val="2"/>
      </rPr>
      <t xml:space="preserve">자립 연소 확률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플래그 </t>
    </r>
    <r>
      <rPr>
        <sz val="10"/>
        <rFont val="Arial"/>
        <family val="0"/>
        <charset val="1"/>
      </rPr>
      <t xml:space="preserve">B)</t>
    </r>
  </si>
  <si>
    <r>
      <rPr>
        <sz val="9"/>
        <color rgb="FF4B5563"/>
        <rFont val="WenQuanYi Zen Hei"/>
        <family val="2"/>
      </rPr>
      <t xml:space="preserve">노란 바탕</t>
    </r>
    <r>
      <rPr>
        <sz val="9"/>
        <color rgb="FF4B5563"/>
        <rFont val="Arial"/>
        <family val="0"/>
        <charset val="1"/>
      </rPr>
      <t xml:space="preserve">: |ρ| ≥ 0.3 (</t>
    </r>
    <r>
      <rPr>
        <sz val="9"/>
        <color rgb="FF4B5563"/>
        <rFont val="WenQuanYi Zen Hei"/>
        <family val="2"/>
      </rPr>
      <t xml:space="preserve">주요 불확실성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</si>
  <si>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초과빈도 평균 곡선 </t>
    </r>
    <r>
      <rPr>
        <b val="true"/>
        <sz val="11"/>
        <rFont val="Arial"/>
        <family val="0"/>
        <charset val="1"/>
      </rPr>
      <t xml:space="preserve">F(n) — B1, M0 (MC </t>
    </r>
    <r>
      <rPr>
        <b val="true"/>
        <sz val="11"/>
        <rFont val="WenQuanYi Zen Hei"/>
        <family val="2"/>
      </rPr>
      <t xml:space="preserve">평균</t>
    </r>
    <r>
      <rPr>
        <b val="true"/>
        <sz val="11"/>
        <rFont val="Arial"/>
        <family val="0"/>
        <charset val="1"/>
      </rPr>
      <t xml:space="preserve">)</t>
    </r>
  </si>
  <si>
    <t xml:space="preserve">n</t>
  </si>
  <si>
    <r>
      <rPr>
        <b val="true"/>
        <sz val="10"/>
        <color rgb="FFFFFFFF"/>
        <rFont val="WenQuanYi Zen Hei"/>
        <family val="2"/>
      </rPr>
      <t xml:space="preserve">불연 단열재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</si>
  <si>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⑥ 검증 — 대체 계산에 의한 재현 </t>
    </r>
    <r>
      <rPr>
        <b val="true"/>
        <sz val="14"/>
        <rFont val="Arial"/>
        <family val="0"/>
        <charset val="1"/>
      </rPr>
      <t xml:space="preserve">(NFPA 551 8.2.1.1)</t>
    </r>
  </si>
  <si>
    <r>
      <rPr>
        <sz val="9"/>
        <color rgb="FF4B5563"/>
        <rFont val="WenQuanYi Zen Hei"/>
        <family val="2"/>
      </rPr>
      <t xml:space="preserve">파이썬 </t>
    </r>
    <r>
      <rPr>
        <sz val="9"/>
        <color rgb="FF4B5563"/>
        <rFont val="Arial"/>
        <family val="0"/>
        <charset val="1"/>
      </rPr>
      <t xml:space="preserve">qfra.py</t>
    </r>
    <r>
      <rPr>
        <sz val="9"/>
        <color rgb="FF4B5563"/>
        <rFont val="WenQuanYi Zen Hei"/>
        <family val="2"/>
      </rPr>
      <t xml:space="preserve">의 점추정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값</t>
    </r>
    <r>
      <rPr>
        <sz val="9"/>
        <color rgb="FF4B5563"/>
        <rFont val="Arial"/>
        <family val="0"/>
        <charset val="1"/>
      </rPr>
      <t xml:space="preserve">)</t>
    </r>
    <r>
      <rPr>
        <sz val="9"/>
        <color rgb="FF4B5563"/>
        <rFont val="WenQuanYi Zen Hei"/>
        <family val="2"/>
      </rPr>
      <t xml:space="preserve">과 이 계산서의 수식 결과를 비교합니다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두 구현이 독립적으로 같은 값을 내면 계산 단계의 오류가 없다는 근거가 됩니다</t>
    </r>
    <r>
      <rPr>
        <sz val="9"/>
        <color rgb="FF4B5563"/>
        <rFont val="Arial"/>
        <family val="0"/>
        <charset val="1"/>
      </rPr>
      <t xml:space="preserve">. 1_</t>
    </r>
    <r>
      <rPr>
        <sz val="9"/>
        <color rgb="FF4B5563"/>
        <rFont val="WenQuanYi Zen Hei"/>
        <family val="2"/>
      </rPr>
      <t xml:space="preserve">입력을 바꾸면 파이썬 값과 달라지는 것이 정상입니다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그때는 </t>
    </r>
    <r>
      <rPr>
        <sz val="9"/>
        <color rgb="FF4B5563"/>
        <rFont val="Arial"/>
        <family val="0"/>
        <charset val="1"/>
      </rPr>
      <t xml:space="preserve">qfra.py</t>
    </r>
    <r>
      <rPr>
        <sz val="9"/>
        <color rgb="FF4B5563"/>
        <rFont val="WenQuanYi Zen Hei"/>
        <family val="2"/>
      </rPr>
      <t xml:space="preserve">의 </t>
    </r>
    <r>
      <rPr>
        <sz val="9"/>
        <color rgb="FF4B5563"/>
        <rFont val="Arial"/>
        <family val="0"/>
        <charset val="1"/>
      </rPr>
      <t xml:space="preserve">PARAMS</t>
    </r>
    <r>
      <rPr>
        <sz val="9"/>
        <color rgb="FF4B5563"/>
        <rFont val="WenQuanYi Zen Hei"/>
        <family val="2"/>
      </rPr>
      <t xml:space="preserve">도 같이 바꾸고 다시 실행</t>
    </r>
    <r>
      <rPr>
        <sz val="9"/>
        <color rgb="FF4B5563"/>
        <rFont val="Arial"/>
        <family val="0"/>
        <charset val="1"/>
      </rPr>
      <t xml:space="preserve">).</t>
    </r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</si>
  <si>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파이썬</t>
    </r>
  </si>
  <si>
    <r>
      <rPr>
        <b val="true"/>
        <sz val="10"/>
        <color rgb="FFFFFFFF"/>
        <rFont val="Arial"/>
        <family val="0"/>
        <charset val="1"/>
      </rPr>
      <t xml:space="preserve">R_S </t>
    </r>
    <r>
      <rPr>
        <b val="true"/>
        <sz val="10"/>
        <color rgb="FFFFFFFF"/>
        <rFont val="WenQuanYi Zen Hei"/>
        <family val="2"/>
      </rPr>
      <t xml:space="preserve">계산서</t>
    </r>
  </si>
  <si>
    <t xml:space="preserve">상대차</t>
  </si>
  <si>
    <r>
      <rPr>
        <b val="true"/>
        <sz val="10"/>
        <color rgb="FFFFFFFF"/>
        <rFont val="Arial"/>
        <family val="0"/>
        <charset val="1"/>
      </rPr>
      <t xml:space="preserve">R_P </t>
    </r>
    <r>
      <rPr>
        <b val="true"/>
        <sz val="10"/>
        <color rgb="FFFFFFFF"/>
        <rFont val="WenQuanYi Zen Hei"/>
        <family val="2"/>
      </rPr>
      <t xml:space="preserve">파이썬</t>
    </r>
  </si>
  <si>
    <r>
      <rPr>
        <b val="true"/>
        <sz val="10"/>
        <color rgb="FFFFFFFF"/>
        <rFont val="Arial"/>
        <family val="0"/>
        <charset val="1"/>
      </rPr>
      <t xml:space="preserve">R_P </t>
    </r>
    <r>
      <rPr>
        <b val="true"/>
        <sz val="10"/>
        <color rgb="FFFFFFFF"/>
        <rFont val="WenQuanYi Zen Hei"/>
        <family val="2"/>
      </rPr>
      <t xml:space="preserve">계산서</t>
    </r>
  </si>
  <si>
    <r>
      <rPr>
        <b val="true"/>
        <sz val="10"/>
        <color rgb="FFFFFFFF"/>
        <rFont val="Arial"/>
        <family val="0"/>
        <charset val="1"/>
      </rPr>
      <t xml:space="preserve">F(n≥2) </t>
    </r>
    <r>
      <rPr>
        <b val="true"/>
        <sz val="10"/>
        <color rgb="FFFFFFFF"/>
        <rFont val="WenQuanYi Zen Hei"/>
        <family val="2"/>
      </rPr>
      <t xml:space="preserve">파이썬</t>
    </r>
  </si>
  <si>
    <r>
      <rPr>
        <b val="true"/>
        <sz val="10"/>
        <color rgb="FFFFFFFF"/>
        <rFont val="Arial"/>
        <family val="0"/>
        <charset val="1"/>
      </rPr>
      <t xml:space="preserve">F(n≥2) </t>
    </r>
    <r>
      <rPr>
        <b val="true"/>
        <sz val="10"/>
        <color rgb="FFFFFFFF"/>
        <rFont val="WenQuanYi Zen Hei"/>
        <family val="2"/>
      </rPr>
      <t xml:space="preserve">계산서</t>
    </r>
  </si>
  <si>
    <t xml:space="preserve">최대 상대차</t>
  </si>
  <si>
    <r>
      <rPr>
        <b val="true"/>
        <sz val="14"/>
        <rFont val="WenQuanYi Zen Hei"/>
        <family val="2"/>
      </rPr>
      <t xml:space="preserve">⑦ 문서화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검토 점검표 — </t>
    </r>
    <r>
      <rPr>
        <b val="true"/>
        <sz val="14"/>
        <rFont val="Arial"/>
        <family val="0"/>
        <charset val="1"/>
      </rPr>
      <t xml:space="preserve">NFPA 551 7.2(</t>
    </r>
    <r>
      <rPr>
        <b val="true"/>
        <sz val="14"/>
        <rFont val="WenQuanYi Zen Hei"/>
        <family val="2"/>
      </rPr>
      <t xml:space="preserve">개념보고서</t>
    </r>
    <r>
      <rPr>
        <b val="true"/>
        <sz val="14"/>
        <rFont val="Arial"/>
        <family val="0"/>
        <charset val="1"/>
      </rPr>
      <t xml:space="preserve">), 7.3.3.4(</t>
    </r>
    <r>
      <rPr>
        <b val="true"/>
        <sz val="14"/>
        <rFont val="WenQuanYi Zen Hei"/>
        <family val="2"/>
      </rPr>
      <t xml:space="preserve">정량 모델 문서</t>
    </r>
    <r>
      <rPr>
        <b val="true"/>
        <sz val="14"/>
        <rFont val="Arial"/>
        <family val="0"/>
        <charset val="1"/>
      </rPr>
      <t xml:space="preserve">), 7.4(</t>
    </r>
    <r>
      <rPr>
        <b val="true"/>
        <sz val="14"/>
        <rFont val="WenQuanYi Zen Hei"/>
        <family val="2"/>
      </rPr>
      <t xml:space="preserve">운영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유지관리</t>
    </r>
    <r>
      <rPr>
        <b val="true"/>
        <sz val="14"/>
        <rFont val="Arial"/>
        <family val="0"/>
        <charset val="1"/>
      </rPr>
      <t xml:space="preserve">), 8.3(</t>
    </r>
    <r>
      <rPr>
        <b val="true"/>
        <sz val="14"/>
        <rFont val="WenQuanYi Zen Hei"/>
        <family val="2"/>
      </rPr>
      <t xml:space="preserve">검토 질문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</si>
  <si>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위치</t>
    </r>
    <r>
      <rPr>
        <sz val="9"/>
        <color rgb="FF4B5563"/>
        <rFont val="Arial"/>
        <family val="0"/>
        <charset val="1"/>
      </rPr>
      <t xml:space="preserve">'</t>
    </r>
    <r>
      <rPr>
        <sz val="9"/>
        <color rgb="FF4B5563"/>
        <rFont val="WenQuanYi Zen Hei"/>
        <family val="2"/>
      </rPr>
      <t xml:space="preserve">는 이 계산서의 시트와 함께 드리는 서술 양식</t>
    </r>
    <r>
      <rPr>
        <sz val="9"/>
        <color rgb="FF4B5563"/>
        <rFont val="Arial"/>
        <family val="0"/>
        <charset val="1"/>
      </rPr>
      <t xml:space="preserve">(</t>
    </r>
    <r>
      <rPr>
        <sz val="9"/>
        <color rgb="FF4B5563"/>
        <rFont val="WenQuanYi Zen Hei"/>
        <family val="2"/>
      </rPr>
      <t xml:space="preserve">외벽</t>
    </r>
    <r>
      <rPr>
        <sz val="9"/>
        <color rgb="FF4B5563"/>
        <rFont val="Arial"/>
        <family val="0"/>
        <charset val="1"/>
      </rPr>
      <t xml:space="preserve">_QFRA_</t>
    </r>
    <r>
      <rPr>
        <sz val="9"/>
        <color rgb="FF4B5563"/>
        <rFont val="WenQuanYi Zen Hei"/>
        <family val="2"/>
      </rPr>
      <t xml:space="preserve">서술양식</t>
    </r>
    <r>
      <rPr>
        <sz val="9"/>
        <color rgb="FF4B5563"/>
        <rFont val="Arial"/>
        <family val="0"/>
        <charset val="1"/>
      </rPr>
      <t xml:space="preserve">.docx)</t>
    </r>
    <r>
      <rPr>
        <sz val="9"/>
        <color rgb="FF4B5563"/>
        <rFont val="WenQuanYi Zen Hei"/>
        <family val="2"/>
      </rPr>
      <t xml:space="preserve">의 절 번호입니다</t>
    </r>
    <r>
      <rPr>
        <sz val="9"/>
        <color rgb="FF4B5563"/>
        <rFont val="Arial"/>
        <family val="0"/>
        <charset val="1"/>
      </rPr>
      <t xml:space="preserve">. </t>
    </r>
    <r>
      <rPr>
        <sz val="9"/>
        <color rgb="FF4B5563"/>
        <rFont val="WenQuanYi Zen Hei"/>
        <family val="2"/>
      </rPr>
      <t xml:space="preserve">상태 칸은 목록에서 고릅니다</t>
    </r>
    <r>
      <rPr>
        <sz val="9"/>
        <color rgb="FF4B5563"/>
        <rFont val="Arial"/>
        <family val="0"/>
        <charset val="1"/>
      </rPr>
      <t xml:space="preserve">.</t>
    </r>
  </si>
  <si>
    <t xml:space="preserve">구분</t>
  </si>
  <si>
    <t xml:space="preserve">조항</t>
  </si>
  <si>
    <t xml:space="preserve">확인 내용</t>
  </si>
  <si>
    <t xml:space="preserve">위치</t>
  </si>
  <si>
    <t xml:space="preserve">상태</t>
  </si>
  <si>
    <t xml:space="preserve">메모</t>
  </si>
  <si>
    <t xml:space="preserve">개념보고서</t>
  </si>
  <si>
    <t xml:space="preserve">7.2.2.1</t>
  </si>
  <si>
    <r>
      <rPr>
        <sz val="10"/>
        <rFont val="WenQuanYi Zen Hei"/>
        <family val="2"/>
      </rPr>
      <t xml:space="preserve">참여자와 자격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학력</t>
    </r>
    <r>
      <rPr>
        <sz val="10"/>
        <rFont val="Arial"/>
        <family val="0"/>
        <charset val="1"/>
      </rPr>
      <t xml:space="preserve">·FRA </t>
    </r>
    <r>
      <rPr>
        <sz val="10"/>
        <rFont val="WenQuanYi Zen Hei"/>
        <family val="2"/>
      </rPr>
      <t xml:space="preserve">경력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자격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목록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</si>
  <si>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1.1</t>
    </r>
  </si>
  <si>
    <t xml:space="preserve">미작성</t>
  </si>
  <si>
    <t xml:space="preserve">7.2.2.2</t>
  </si>
  <si>
    <r>
      <rPr>
        <sz val="10"/>
        <rFont val="WenQuanYi Zen Hei"/>
        <family val="2"/>
      </rPr>
      <t xml:space="preserve">범위와 목적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평가 목적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대상 건물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외벽 시스템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평가 한계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사용 단계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외벽 경로만</t>
    </r>
    <r>
      <rPr>
        <sz val="10"/>
        <rFont val="Arial"/>
        <family val="0"/>
        <charset val="1"/>
      </rPr>
      <t xml:space="preserve">) — A.7.2.2.2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</si>
  <si>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1.2 · 1_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건물</t>
    </r>
    <r>
      <rPr>
        <sz val="10"/>
        <rFont val="Arial"/>
        <family val="0"/>
        <charset val="1"/>
      </rPr>
      <t xml:space="preserve">)</t>
    </r>
  </si>
  <si>
    <t xml:space="preserve">7.2.2.3</t>
  </si>
  <si>
    <r>
      <rPr>
        <sz val="10"/>
        <rFont val="WenQuanYi Zen Hei"/>
        <family val="2"/>
      </rPr>
      <t xml:space="preserve">목표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인명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발화층 위 재실자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소방대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재산 중 무엇을 지키는가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</si>
  <si>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1.3</t>
    </r>
  </si>
  <si>
    <t xml:space="preserve">7.2.2.4</t>
  </si>
  <si>
    <r>
      <rPr>
        <sz val="10"/>
        <rFont val="WenQuanYi Zen Hei"/>
        <family val="2"/>
      </rPr>
      <t xml:space="preserve">허용기준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지표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기준값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신뢰수준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사전협의 결과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</si>
  <si>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1_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허용기준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1.4</t>
    </r>
  </si>
  <si>
    <t xml:space="preserve">7.2.2.5</t>
  </si>
  <si>
    <r>
      <rPr>
        <sz val="10"/>
        <rFont val="WenQuanYi Zen Hei"/>
        <family val="2"/>
      </rPr>
      <t xml:space="preserve">위험요소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노출 대상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화재 자극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전달 현상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대상의 반응</t>
    </r>
    <r>
      <rPr>
        <sz val="10"/>
        <rFont val="Arial"/>
        <family val="0"/>
        <charset val="1"/>
      </rPr>
      <t xml:space="preserve">(4.4.2)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</si>
  <si>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1.5</t>
    </r>
  </si>
  <si>
    <t xml:space="preserve">7.2.2.6</t>
  </si>
  <si>
    <r>
      <rPr>
        <sz val="10"/>
        <rFont val="WenQuanYi Zen Hei"/>
        <family val="2"/>
      </rPr>
      <t xml:space="preserve">시나리오와 군집</t>
    </r>
    <r>
      <rPr>
        <sz val="10"/>
        <rFont val="Arial"/>
        <family val="0"/>
        <charset val="1"/>
      </rPr>
      <t xml:space="preserve">: IE1·IE2, </t>
    </r>
    <r>
      <rPr>
        <sz val="10"/>
        <rFont val="WenQuanYi Zen Hei"/>
        <family val="2"/>
      </rPr>
      <t xml:space="preserve">군집 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제외한 시나리오와 이유</t>
    </r>
  </si>
  <si>
    <r>
      <rPr>
        <sz val="10"/>
        <rFont val="Arial"/>
        <family val="0"/>
        <charset val="1"/>
      </rPr>
      <t xml:space="preserve">3_</t>
    </r>
    <r>
      <rPr>
        <sz val="10"/>
        <rFont val="WenQuanYi Zen Hei"/>
        <family val="2"/>
      </rPr>
      <t xml:space="preserve">사건수목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1.6</t>
    </r>
  </si>
  <si>
    <t xml:space="preserve">7.2.2.7</t>
  </si>
  <si>
    <r>
      <rPr>
        <sz val="10"/>
        <rFont val="WenQuanYi Zen Hei"/>
        <family val="2"/>
      </rPr>
      <t xml:space="preserve">방법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사건수목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층간 확산 결과 모델 </t>
    </r>
    <r>
      <rPr>
        <sz val="10"/>
        <rFont val="Arial"/>
        <family val="0"/>
        <charset val="1"/>
      </rPr>
      <t xml:space="preserve">+ 2</t>
    </r>
    <r>
      <rPr>
        <sz val="10"/>
        <rFont val="WenQuanYi Zen Hei"/>
        <family val="2"/>
      </rPr>
      <t xml:space="preserve">중 </t>
    </r>
    <r>
      <rPr>
        <sz val="10"/>
        <rFont val="Arial"/>
        <family val="0"/>
        <charset val="1"/>
      </rPr>
      <t xml:space="preserve">MC, </t>
    </r>
    <r>
      <rPr>
        <sz val="10"/>
        <rFont val="WenQuanYi Zen Hei"/>
        <family val="2"/>
      </rPr>
      <t xml:space="preserve">적합성 근거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</si>
  <si>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1.7</t>
    </r>
  </si>
  <si>
    <t xml:space="preserve">7.2.2.8</t>
  </si>
  <si>
    <r>
      <rPr>
        <sz val="10"/>
        <rFont val="WenQuanYi Zen Hei"/>
        <family val="2"/>
      </rPr>
      <t xml:space="preserve">자료 출처와 가정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예시값 표시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</si>
  <si>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1_</t>
    </r>
    <r>
      <rPr>
        <sz val="10"/>
        <rFont val="WenQuanYi Zen Hei"/>
        <family val="2"/>
      </rPr>
      <t xml:space="preserve">입력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근거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 </t>
    </r>
    <r>
      <rPr>
        <sz val="10"/>
        <rFont val="Arial"/>
        <family val="0"/>
        <charset val="1"/>
      </rPr>
      <t xml:space="preserve">· 2_</t>
    </r>
    <r>
      <rPr>
        <sz val="10"/>
        <rFont val="WenQuanYi Zen Hei"/>
        <family val="2"/>
      </rPr>
      <t xml:space="preserve">시험자료</t>
    </r>
  </si>
  <si>
    <t xml:space="preserve">정량 결과</t>
  </si>
  <si>
    <t xml:space="preserve">7.3.3.4.1</t>
  </si>
  <si>
    <r>
      <rPr>
        <sz val="10"/>
        <rFont val="WenQuanYi Zen Hei"/>
        <family val="2"/>
      </rPr>
      <t xml:space="preserve">빈도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확률 결과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기간 단위 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년 명시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</si>
  <si>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3_</t>
    </r>
    <r>
      <rPr>
        <sz val="10"/>
        <rFont val="WenQuanYi Zen Hei"/>
        <family val="2"/>
      </rPr>
      <t xml:space="preserve">사건수목</t>
    </r>
  </si>
  <si>
    <t xml:space="preserve">7.3.3.4.2</t>
  </si>
  <si>
    <r>
      <rPr>
        <sz val="10"/>
        <rFont val="WenQuanYi Zen Hei"/>
        <family val="2"/>
      </rPr>
      <t xml:space="preserve">결과 분석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군집별 결과와 대표성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반복시험 가중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발화층 균등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</si>
  <si>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4_</t>
    </r>
    <r>
      <rPr>
        <sz val="10"/>
        <rFont val="WenQuanYi Zen Hei"/>
        <family val="2"/>
      </rPr>
      <t xml:space="preserve">결과모델</t>
    </r>
  </si>
  <si>
    <t xml:space="preserve">7.3.3.4.3</t>
  </si>
  <si>
    <r>
      <rPr>
        <sz val="10"/>
        <rFont val="WenQuanYi Zen Hei"/>
        <family val="2"/>
      </rPr>
      <t xml:space="preserve">위험도 </t>
    </r>
    <r>
      <rPr>
        <sz val="10"/>
        <rFont val="Arial"/>
        <family val="0"/>
        <charset val="1"/>
      </rPr>
      <t xml:space="preserve">= Σ F·C, </t>
    </r>
    <r>
      <rPr>
        <sz val="10"/>
        <rFont val="WenQuanYi Zen Hei"/>
        <family val="2"/>
      </rPr>
      <t xml:space="preserve">시나리오가 전체 스펙트럼을 대표하는 이유</t>
    </r>
  </si>
  <si>
    <r>
      <rPr>
        <sz val="10"/>
        <rFont val="Arial"/>
        <family val="0"/>
        <charset val="1"/>
      </rPr>
      <t xml:space="preserve">5_</t>
    </r>
    <r>
      <rPr>
        <sz val="10"/>
        <rFont val="WenQuanYi Zen Hei"/>
        <family val="2"/>
      </rPr>
      <t xml:space="preserve">위험도</t>
    </r>
  </si>
  <si>
    <t xml:space="preserve">7.3.3.4.4</t>
  </si>
  <si>
    <r>
      <rPr>
        <sz val="10"/>
        <rFont val="WenQuanYi Zen Hei"/>
        <family val="2"/>
      </rPr>
      <t xml:space="preserve">불확실성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인식론적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우연적 구분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전파 방법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민감도</t>
    </r>
  </si>
  <si>
    <r>
      <rPr>
        <sz val="10"/>
        <rFont val="Arial"/>
        <family val="0"/>
        <charset val="1"/>
      </rPr>
      <t xml:space="preserve">6_</t>
    </r>
    <r>
      <rPr>
        <sz val="10"/>
        <rFont val="WenQuanYi Zen Hei"/>
        <family val="2"/>
      </rPr>
      <t xml:space="preserve">불확실성</t>
    </r>
    <r>
      <rPr>
        <sz val="10"/>
        <rFont val="Arial"/>
        <family val="0"/>
        <charset val="1"/>
      </rPr>
      <t xml:space="preserve">(MC)</t>
    </r>
  </si>
  <si>
    <t xml:space="preserve">7.3.3.4.5</t>
  </si>
  <si>
    <r>
      <rPr>
        <sz val="10"/>
        <rFont val="WenQuanYi Zen Hei"/>
        <family val="2"/>
      </rPr>
      <t xml:space="preserve">소프트웨어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모델 평가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버전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검증</t>
    </r>
    <r>
      <rPr>
        <sz val="10"/>
        <rFont val="Arial"/>
        <family val="0"/>
        <charset val="1"/>
      </rPr>
      <t xml:space="preserve">(V&amp;V), </t>
    </r>
    <r>
      <rPr>
        <sz val="10"/>
        <rFont val="WenQuanYi Zen Hei"/>
        <family val="2"/>
      </rPr>
      <t xml:space="preserve">적용 범위</t>
    </r>
  </si>
  <si>
    <r>
      <rPr>
        <sz val="10"/>
        <rFont val="Arial"/>
        <family val="0"/>
        <charset val="1"/>
      </rPr>
      <t xml:space="preserve">7_</t>
    </r>
    <r>
      <rPr>
        <sz val="10"/>
        <rFont val="WenQuanYi Zen Hei"/>
        <family val="2"/>
      </rPr>
      <t xml:space="preserve">검증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2.5</t>
    </r>
  </si>
  <si>
    <t xml:space="preserve">7.3.3.4.6</t>
  </si>
  <si>
    <r>
      <rPr>
        <sz val="10"/>
        <rFont val="WenQuanYi Zen Hei"/>
        <family val="2"/>
      </rPr>
      <t xml:space="preserve">한계</t>
    </r>
    <r>
      <rPr>
        <sz val="10"/>
        <rFont val="Arial"/>
        <family val="0"/>
        <charset val="1"/>
      </rPr>
      <t xml:space="preserve">: 3 m </t>
    </r>
    <r>
      <rPr>
        <sz val="10"/>
        <rFont val="WenQuanYi Zen Hei"/>
        <family val="2"/>
      </rPr>
      <t xml:space="preserve">시험 → 실물 외삽</t>
    </r>
    <r>
      <rPr>
        <sz val="10"/>
        <rFont val="Arial"/>
        <family val="0"/>
        <charset val="1"/>
      </rPr>
      <t xml:space="preserve">(s), </t>
    </r>
    <r>
      <rPr>
        <sz val="10"/>
        <rFont val="WenQuanYi Zen Hei"/>
        <family val="2"/>
      </rPr>
      <t xml:space="preserve">통계 부족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독립 가정 등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</si>
  <si>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2.6</t>
    </r>
  </si>
  <si>
    <t xml:space="preserve">7.3.3.4.7</t>
  </si>
  <si>
    <r>
      <rPr>
        <sz val="10"/>
        <rFont val="WenQuanYi Zen Hei"/>
        <family val="2"/>
      </rPr>
      <t xml:space="preserve">결론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허용기준과 비교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판정과 신뢰수준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</si>
  <si>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5_</t>
    </r>
    <r>
      <rPr>
        <sz val="10"/>
        <rFont val="WenQuanYi Zen Hei"/>
        <family val="2"/>
      </rPr>
      <t xml:space="preserve">위험도 </t>
    </r>
    <r>
      <rPr>
        <sz val="10"/>
        <rFont val="Arial"/>
        <family val="0"/>
        <charset val="1"/>
      </rPr>
      <t xml:space="preserve">· 6_</t>
    </r>
    <r>
      <rPr>
        <sz val="10"/>
        <rFont val="WenQuanYi Zen Hei"/>
        <family val="2"/>
      </rPr>
      <t xml:space="preserve">불확실성</t>
    </r>
    <r>
      <rPr>
        <sz val="10"/>
        <rFont val="Arial"/>
        <family val="0"/>
        <charset val="1"/>
      </rPr>
      <t xml:space="preserve">(MC)</t>
    </r>
  </si>
  <si>
    <t xml:space="preserve">7.3.3.4.8</t>
  </si>
  <si>
    <r>
      <rPr>
        <sz val="10"/>
        <rFont val="WenQuanYi Zen Hei"/>
        <family val="2"/>
      </rPr>
      <t xml:space="preserve">참고문헌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도면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시험성적서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통계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기준의 판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연도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</si>
  <si>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2.8</t>
    </r>
  </si>
  <si>
    <r>
      <rPr>
        <b val="true"/>
        <sz val="10"/>
        <rFont val="WenQuanYi Zen Hei"/>
        <family val="2"/>
      </rPr>
      <t xml:space="preserve">운영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유지관리</t>
    </r>
  </si>
  <si>
    <t xml:space="preserve">7.4.2</t>
  </si>
  <si>
    <r>
      <rPr>
        <sz val="10"/>
        <rFont val="WenQuanYi Zen Hei"/>
        <family val="2"/>
      </rPr>
      <t xml:space="preserve">한계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가정 목록과 이를 지키는 관리 대책</t>
    </r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</si>
  <si>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3</t>
    </r>
  </si>
  <si>
    <t xml:space="preserve">7.4.3</t>
  </si>
  <si>
    <r>
      <rPr>
        <sz val="10"/>
        <rFont val="WenQuanYi Zen Hei"/>
        <family val="2"/>
      </rPr>
      <t xml:space="preserve">변경 관리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외장 교체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리모델링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차단재 훼손 시 재평가</t>
    </r>
  </si>
  <si>
    <t xml:space="preserve">7.4.4</t>
  </si>
  <si>
    <r>
      <rPr>
        <sz val="10"/>
        <rFont val="WenQuanYi Zen Hei"/>
        <family val="2"/>
      </rPr>
      <t xml:space="preserve">점검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유지관리</t>
    </r>
    <r>
      <rPr>
        <sz val="10"/>
        <rFont val="Arial"/>
        <family val="0"/>
        <charset val="1"/>
      </rPr>
      <t xml:space="preserve">(ITM): </t>
    </r>
    <r>
      <rPr>
        <sz val="10"/>
        <rFont val="WenQuanYi Zen Hei"/>
        <family val="2"/>
      </rPr>
      <t xml:space="preserve">스프링클러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배리어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차단재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필로티 가연물</t>
    </r>
  </si>
  <si>
    <t xml:space="preserve">검토 질문</t>
  </si>
  <si>
    <t xml:space="preserve">8.3 (1)</t>
  </si>
  <si>
    <t xml:space="preserve">평가 목적이 명시되었는가</t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</si>
  <si>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1.2</t>
    </r>
  </si>
  <si>
    <t xml:space="preserve">8.3 (2)</t>
  </si>
  <si>
    <t xml:space="preserve">평가 범위가 명시되었는가</t>
  </si>
  <si>
    <t xml:space="preserve">8.3 (3)</t>
  </si>
  <si>
    <t xml:space="preserve">방법과 그 적합성 근거가 있는가</t>
  </si>
  <si>
    <t xml:space="preserve">8.3 (4)</t>
  </si>
  <si>
    <t xml:space="preserve">한계가 명시되었는가</t>
  </si>
  <si>
    <t xml:space="preserve">8.3 (5)</t>
  </si>
  <si>
    <t xml:space="preserve">분석 결과가 포함되었는가</t>
  </si>
  <si>
    <t xml:space="preserve">8.3 (6)</t>
  </si>
  <si>
    <t xml:space="preserve">결론이 포함되었는가</t>
  </si>
  <si>
    <r>
      <rPr>
        <sz val="10"/>
        <rFont val="WenQuanYi Zen Hei"/>
        <family val="2"/>
      </rPr>
      <t xml:space="preserve">보고서 </t>
    </r>
    <r>
      <rPr>
        <sz val="10"/>
        <rFont val="Arial"/>
        <family val="0"/>
        <charset val="1"/>
      </rPr>
      <t xml:space="preserve">2.7</t>
    </r>
  </si>
  <si>
    <t xml:space="preserve">8.3 (7)</t>
  </si>
  <si>
    <r>
      <rPr>
        <sz val="10"/>
        <rFont val="WenQuanYi Zen Hei"/>
        <family val="2"/>
      </rPr>
      <t xml:space="preserve">운영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유지관리 매뉴얼이 있는가</t>
    </r>
  </si>
  <si>
    <t xml:space="preserve">8.3 (8)</t>
  </si>
  <si>
    <t xml:space="preserve">변경 관리 지침이 있는가</t>
  </si>
  <si>
    <t xml:space="preserve">8.3 (9)</t>
  </si>
  <si>
    <r>
      <rPr>
        <sz val="10"/>
        <rFont val="WenQuanYi Zen Hei"/>
        <family val="2"/>
      </rPr>
      <t xml:space="preserve">점검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유지관리 프로그램이 있는가</t>
    </r>
  </si>
  <si>
    <t xml:space="preserve">완료 항목 수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</si>
</sst>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0"/>
    <numFmt numFmtId="167" formatCode="0.00E+00"/>
    <numFmt numFmtId="168" formatCode="0.0"/>
    <numFmt numFmtId="169" formatCode="[&gt;=100000000]&quot;확산 없음&quot;;0.0"/>
    <numFmt numFmtId="170" formatCode="0.000"/>
    <numFmt numFmtId="171" formatCode="[&gt;=100000000]&quot;자립(∞)&quot;;0"/>
    <numFmt numFmtId="172" formatCode="0.0000"/>
    <numFmt numFmtId="173" formatCode="0%"/>
    <numFmt numFmtId="174" formatCode="0.0%"/>
    <numFmt numFmtId="175" formatCode="\+0.00;\-0.00;0.00"/>
    <numFmt numFmtId="176" formatCode="0.0E+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sz val="9"/>
      <color rgb="FF4B5563"/>
      <name val="WenQuanYi Zen Hei"/>
      <family val="2"/>
    </font>
    <font>
      <sz val="9"/>
      <color rgb="FF4B5563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1"/>
      <name val="WenQuanYi Zen Hei"/>
      <family val="2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23303D"/>
        <bgColor rgb="FF333300"/>
      </patternFill>
    </fill>
    <fill>
      <patternFill patternType="solid">
        <fgColor rgb="FFF3F4F6"/>
        <bgColor rgb="FFFFFFFF"/>
      </patternFill>
    </fill>
    <fill>
      <patternFill patternType="solid">
        <fgColor rgb="FFFFF2CC"/>
        <bgColor rgb="FFF3F4F6"/>
      </patternFill>
    </fill>
    <fill>
      <patternFill patternType="solid">
        <fgColor rgb="FFE2F3E2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300"/>
      <rgbColor rgb="FFD9D9D9"/>
      <rgbColor rgb="FF878787"/>
      <rgbColor rgb="FF9CA3AF"/>
      <rgbColor rgb="FF993366"/>
      <rgbColor rgb="FFFFF2CC"/>
      <rgbColor rgb="FFF3F4F6"/>
      <rgbColor rgb="FF660066"/>
      <rgbColor rgb="FFE87BA4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3E2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34948"/>
      <rgbColor rgb="FF6250D6"/>
      <rgbColor rgb="FF8A8F98"/>
      <rgbColor rgb="FF003366"/>
      <rgbColor rgb="FF339966"/>
      <rgbColor rgb="FF003300"/>
      <rgbColor rgb="FF333300"/>
      <rgbColor rgb="FF993300"/>
      <rgbColor rgb="FF993366"/>
      <rgbColor rgb="FF4B5563"/>
      <rgbColor rgb="FF2330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외벽 확산 위험도 R_S (층/동·년, 점추정, B1)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5_위험도!U4</c:f>
              <c:strCache>
                <c:ptCount val="1"/>
                <c:pt idx="0">
                  <c:v>M0 대책 없음</c:v>
                </c:pt>
              </c:strCache>
            </c:strRef>
          </c:tx>
          <c:spPr>
            <a:solidFill>
              <a:srgbClr val="23303d"/>
            </a:solidFill>
            <a:ln w="0">
              <a:solidFill>
                <a:srgbClr val="23303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5_위험도!$T$5:$T$10</c:f>
              <c:strCache>
                <c:ptCount val="6"/>
                <c:pt idx="0">
                  <c:v>불연 단열재(기준안)</c:v>
                </c:pt>
                <c:pt idx="1">
                  <c:v>EPS 준불연</c:v>
                </c:pt>
                <c:pt idx="2">
                  <c:v>PIR(PUR) 가연성</c:v>
                </c:pt>
                <c:pt idx="3">
                  <c:v>PIR(PUR) 준불연</c:v>
                </c:pt>
                <c:pt idx="4">
                  <c:v>PF 준불연 외부용</c:v>
                </c:pt>
                <c:pt idx="5">
                  <c:v>PF 준불연 내부용</c:v>
                </c:pt>
              </c:strCache>
            </c:strRef>
          </c:cat>
          <c:val>
            <c:numRef>
              <c:f>5_위험도!$U$5:$U$10</c:f>
              <c:numCache>
                <c:formatCode>0.00E+00</c:formatCode>
                <c:ptCount val="6"/>
                <c:pt idx="0">
                  <c:v>1.764E-005</c:v>
                </c:pt>
                <c:pt idx="1">
                  <c:v>0.000437616</c:v>
                </c:pt>
                <c:pt idx="2">
                  <c:v>0.008355564</c:v>
                </c:pt>
                <c:pt idx="3">
                  <c:v>0.000647604</c:v>
                </c:pt>
                <c:pt idx="4">
                  <c:v>0.000647604</c:v>
                </c:pt>
                <c:pt idx="5">
                  <c:v>0.001781604</c:v>
                </c:pt>
              </c:numCache>
            </c:numRef>
          </c:val>
        </c:ser>
        <c:ser>
          <c:idx val="1"/>
          <c:order val="1"/>
          <c:tx>
            <c:strRef>
              <c:f>5_위험도!V4</c:f>
              <c:strCache>
                <c:ptCount val="1"/>
                <c:pt idx="0">
                  <c:v>M1 차단재 + 배리어</c:v>
                </c:pt>
              </c:strCache>
            </c:strRef>
          </c:tx>
          <c:spPr>
            <a:solidFill>
              <a:srgbClr val="9ca3af"/>
            </a:solidFill>
            <a:ln w="0">
              <a:solidFill>
                <a:srgbClr val="9ca3a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5_위험도!$T$5:$T$10</c:f>
              <c:strCache>
                <c:ptCount val="6"/>
                <c:pt idx="0">
                  <c:v>불연 단열재(기준안)</c:v>
                </c:pt>
                <c:pt idx="1">
                  <c:v>EPS 준불연</c:v>
                </c:pt>
                <c:pt idx="2">
                  <c:v>PIR(PUR) 가연성</c:v>
                </c:pt>
                <c:pt idx="3">
                  <c:v>PIR(PUR) 준불연</c:v>
                </c:pt>
                <c:pt idx="4">
                  <c:v>PF 준불연 외부용</c:v>
                </c:pt>
                <c:pt idx="5">
                  <c:v>PF 준불연 내부용</c:v>
                </c:pt>
              </c:strCache>
            </c:strRef>
          </c:cat>
          <c:val>
            <c:numRef>
              <c:f>5_위험도!$V$5:$V$10</c:f>
              <c:numCache>
                <c:formatCode>0.00E+00</c:formatCode>
                <c:ptCount val="6"/>
                <c:pt idx="0">
                  <c:v>1.764E-005</c:v>
                </c:pt>
                <c:pt idx="1">
                  <c:v>5.96376E-005</c:v>
                </c:pt>
                <c:pt idx="2">
                  <c:v>0.008355564</c:v>
                </c:pt>
                <c:pt idx="3">
                  <c:v>8.06364E-005</c:v>
                </c:pt>
                <c:pt idx="4">
                  <c:v>8.06364E-005</c:v>
                </c:pt>
                <c:pt idx="5">
                  <c:v>0.00010424628</c:v>
                </c:pt>
              </c:numCache>
            </c:numRef>
          </c:val>
        </c:ser>
        <c:gapWidth val="150"/>
        <c:overlap val="0"/>
        <c:axId val="54780219"/>
        <c:axId val="99922230"/>
      </c:barChart>
      <c:catAx>
        <c:axId val="547802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22230"/>
        <c:crosses val="autoZero"/>
        <c:auto val="1"/>
        <c:lblAlgn val="ctr"/>
        <c:lblOffset val="100"/>
        <c:noMultiLvlLbl val="0"/>
      </c:catAx>
      <c:valAx>
        <c:axId val="99922230"/>
        <c:scaling>
          <c:logBase val="10"/>
          <c:orientation val="minMax"/>
          <c:min val="1E-006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R_S (log)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802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초과빈도 F(확산 층 수 ≥ n), B1·M0, MC 평균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'6_불확실성(MC)'!B66</c:f>
              <c:strCache>
                <c:ptCount val="1"/>
                <c:pt idx="0">
                  <c:v>불연 단열재(기준안)</c:v>
                </c:pt>
              </c:strCache>
            </c:strRef>
          </c:tx>
          <c:spPr>
            <a:solidFill>
              <a:srgbClr val="8a8f98"/>
            </a:solidFill>
            <a:ln w="21960">
              <a:solidFill>
                <a:srgbClr val="8a8f9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'6_불확실성(MC)'!$A$67:$A$80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'6_불확실성(MC)'!$B$67:$B$80</c:f>
              <c:numCache>
                <c:formatCode>0.00E+00</c:formatCode>
                <c:ptCount val="14"/>
                <c:pt idx="0">
                  <c:v>1.64992826812644E-005</c:v>
                </c:pt>
                <c:pt idx="1">
                  <c:v>1.06246460461051E-006</c:v>
                </c:pt>
                <c:pt idx="2">
                  <c:v>8.15052815906617E-008</c:v>
                </c:pt>
                <c:pt idx="3">
                  <c:v>7.26357751934569E-009</c:v>
                </c:pt>
                <c:pt idx="4">
                  <c:v>7.35227480980324E-010</c:v>
                </c:pt>
                <c:pt idx="5">
                  <c:v>8.31904015580665E-011</c:v>
                </c:pt>
                <c:pt idx="6">
                  <c:v>1.03584784527005E-011</c:v>
                </c:pt>
                <c:pt idx="7">
                  <c:v>1.35912001378291E-012</c:v>
                </c:pt>
                <c:pt idx="8">
                  <c:v>1E-012</c:v>
                </c:pt>
                <c:pt idx="9">
                  <c:v>1E-012</c:v>
                </c:pt>
                <c:pt idx="10">
                  <c:v>1E-012</c:v>
                </c:pt>
                <c:pt idx="11">
                  <c:v>1E-012</c:v>
                </c:pt>
                <c:pt idx="12">
                  <c:v>1E-012</c:v>
                </c:pt>
                <c:pt idx="13">
                  <c:v>1E-012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'6_불확실성(MC)'!C66</c:f>
              <c:strCache>
                <c:ptCount val="1"/>
                <c:pt idx="0">
                  <c:v>EPS 준불연</c:v>
                </c:pt>
              </c:strCache>
            </c:strRef>
          </c:tx>
          <c:spPr>
            <a:solidFill>
              <a:srgbClr val="e87ba4"/>
            </a:solidFill>
            <a:ln w="21960">
              <a:solidFill>
                <a:srgbClr val="e87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'6_불확실성(MC)'!$A$67:$A$80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'6_불확실성(MC)'!$C$67:$C$80</c:f>
              <c:numCache>
                <c:formatCode>0.00E+00</c:formatCode>
                <c:ptCount val="14"/>
                <c:pt idx="0">
                  <c:v>0.0004197742616497</c:v>
                </c:pt>
                <c:pt idx="1">
                  <c:v>0.0001616955679071</c:v>
                </c:pt>
                <c:pt idx="2">
                  <c:v>5.91447110299336E-005</c:v>
                </c:pt>
                <c:pt idx="3">
                  <c:v>2.07789996559653E-005</c:v>
                </c:pt>
                <c:pt idx="4">
                  <c:v>7.84911411877018E-006</c:v>
                </c:pt>
                <c:pt idx="5">
                  <c:v>4.12686183661284E-006</c:v>
                </c:pt>
                <c:pt idx="6">
                  <c:v>2.31096707724605E-006</c:v>
                </c:pt>
                <c:pt idx="7">
                  <c:v>1.40183392087193E-006</c:v>
                </c:pt>
                <c:pt idx="8">
                  <c:v>8.7754119458553E-007</c:v>
                </c:pt>
                <c:pt idx="9">
                  <c:v>5.7038452948129E-007</c:v>
                </c:pt>
                <c:pt idx="10">
                  <c:v>3.84947706307726E-007</c:v>
                </c:pt>
                <c:pt idx="11">
                  <c:v>2.66919211440749E-007</c:v>
                </c:pt>
                <c:pt idx="12">
                  <c:v>1.96688037025539E-007</c:v>
                </c:pt>
                <c:pt idx="13">
                  <c:v>1.46721198217261E-007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'6_불확실성(MC)'!D66</c:f>
              <c:strCache>
                <c:ptCount val="1"/>
                <c:pt idx="0">
                  <c:v>PIR(PUR) 가연성</c:v>
                </c:pt>
              </c:strCache>
            </c:strRef>
          </c:tx>
          <c:spPr>
            <a:solidFill>
              <a:srgbClr val="6250d6"/>
            </a:solidFill>
            <a:ln w="21960">
              <a:solidFill>
                <a:srgbClr val="6250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'6_불확실성(MC)'!$A$67:$A$80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'6_불확실성(MC)'!$D$67:$D$80</c:f>
              <c:numCache>
                <c:formatCode>0.00E+00</c:formatCode>
                <c:ptCount val="14"/>
                <c:pt idx="0">
                  <c:v>0.0008889406297638</c:v>
                </c:pt>
                <c:pt idx="1">
                  <c:v>0.0008772746489777</c:v>
                </c:pt>
                <c:pt idx="2">
                  <c:v>0.0008675316154312</c:v>
                </c:pt>
                <c:pt idx="3">
                  <c:v>0.0008579080711458</c:v>
                </c:pt>
                <c:pt idx="4">
                  <c:v>0.0008482933246615</c:v>
                </c:pt>
                <c:pt idx="5">
                  <c:v>0.0008386594955068</c:v>
                </c:pt>
                <c:pt idx="6">
                  <c:v>0.0008289539393736</c:v>
                </c:pt>
                <c:pt idx="7">
                  <c:v>0.0008191067090715</c:v>
                </c:pt>
                <c:pt idx="8">
                  <c:v>0.0008090463731503</c:v>
                </c:pt>
                <c:pt idx="9">
                  <c:v>0.0007986941256716</c:v>
                </c:pt>
                <c:pt idx="10">
                  <c:v>0.0007871487220508</c:v>
                </c:pt>
                <c:pt idx="11">
                  <c:v>0.0007737720067604</c:v>
                </c:pt>
                <c:pt idx="12">
                  <c:v>0.0007590237129804</c:v>
                </c:pt>
                <c:pt idx="13">
                  <c:v>0.0007431232361064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'6_불확실성(MC)'!E66</c:f>
              <c:strCache>
                <c:ptCount val="1"/>
                <c:pt idx="0">
                  <c:v>PIR(PUR) 준불연</c:v>
                </c:pt>
              </c:strCache>
            </c:strRef>
          </c:tx>
          <c:spPr>
            <a:solidFill>
              <a:srgbClr val="008300"/>
            </a:solidFill>
            <a:ln w="21960">
              <a:solidFill>
                <a:srgbClr val="0083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'6_불확실성(MC)'!$A$67:$A$80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'6_불확실성(MC)'!$E$67:$E$80</c:f>
              <c:numCache>
                <c:formatCode>0.00E+00</c:formatCode>
                <c:ptCount val="14"/>
                <c:pt idx="0">
                  <c:v>0.000570205866415</c:v>
                </c:pt>
                <c:pt idx="1">
                  <c:v>0.0002011212297624</c:v>
                </c:pt>
                <c:pt idx="2">
                  <c:v>6.72087301903609E-005</c:v>
                </c:pt>
                <c:pt idx="3">
                  <c:v>2.17582841427754E-005</c:v>
                </c:pt>
                <c:pt idx="4">
                  <c:v>9.63062414561308E-006</c:v>
                </c:pt>
                <c:pt idx="5">
                  <c:v>4.96236593490578E-006</c:v>
                </c:pt>
                <c:pt idx="6">
                  <c:v>2.80928241480052E-006</c:v>
                </c:pt>
                <c:pt idx="7">
                  <c:v>1.67987212750757E-006</c:v>
                </c:pt>
                <c:pt idx="8">
                  <c:v>1.04158826142939E-006</c:v>
                </c:pt>
                <c:pt idx="9">
                  <c:v>6.75247335005994E-007</c:v>
                </c:pt>
                <c:pt idx="10">
                  <c:v>4.60812422662222E-007</c:v>
                </c:pt>
                <c:pt idx="11">
                  <c:v>3.25590051338107E-007</c:v>
                </c:pt>
                <c:pt idx="12">
                  <c:v>2.42753285592788E-007</c:v>
                </c:pt>
                <c:pt idx="13">
                  <c:v>1.99578067465279E-007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'6_불확실성(MC)'!F66</c:f>
              <c:strCache>
                <c:ptCount val="1"/>
                <c:pt idx="0">
                  <c:v>PF 준불연 외부용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'6_불확실성(MC)'!$A$67:$A$80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'6_불확실성(MC)'!$F$67:$F$80</c:f>
              <c:numCache>
                <c:formatCode>0.00E+00</c:formatCode>
                <c:ptCount val="14"/>
                <c:pt idx="0">
                  <c:v>0.0005890822709759</c:v>
                </c:pt>
                <c:pt idx="1">
                  <c:v>0.0002479691944834</c:v>
                </c:pt>
                <c:pt idx="2">
                  <c:v>0.0001062070174638</c:v>
                </c:pt>
                <c:pt idx="3">
                  <c:v>4.86753758445567E-005</c:v>
                </c:pt>
                <c:pt idx="4">
                  <c:v>2.37792679480564E-005</c:v>
                </c:pt>
                <c:pt idx="5">
                  <c:v>1.22830165755199E-005</c:v>
                </c:pt>
                <c:pt idx="6">
                  <c:v>6.74019566359011E-006</c:v>
                </c:pt>
                <c:pt idx="7">
                  <c:v>3.92837648891838E-006</c:v>
                </c:pt>
                <c:pt idx="8">
                  <c:v>2.44820966188808E-006</c:v>
                </c:pt>
                <c:pt idx="9">
                  <c:v>1.6711680947707E-006</c:v>
                </c:pt>
                <c:pt idx="10">
                  <c:v>1.20389395405419E-006</c:v>
                </c:pt>
                <c:pt idx="11">
                  <c:v>9.34594821832631E-007</c:v>
                </c:pt>
                <c:pt idx="12">
                  <c:v>7.42050478261719E-007</c:v>
                </c:pt>
                <c:pt idx="13">
                  <c:v>6.06957767610081E-007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'6_불확실성(MC)'!G66</c:f>
              <c:strCache>
                <c:ptCount val="1"/>
                <c:pt idx="0">
                  <c:v>PF 준불연 내부용</c:v>
                </c:pt>
              </c:strCache>
            </c:strRef>
          </c:tx>
          <c:spPr>
            <a:solidFill>
              <a:srgbClr val="e34948"/>
            </a:solidFill>
            <a:ln w="21960">
              <a:solidFill>
                <a:srgbClr val="e349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'6_불확실성(MC)'!$A$67:$A$80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'6_불확실성(MC)'!$G$67:$G$80</c:f>
              <c:numCache>
                <c:formatCode>0.00E+00</c:formatCode>
                <c:ptCount val="14"/>
                <c:pt idx="0">
                  <c:v>0.0008507036451294</c:v>
                </c:pt>
                <c:pt idx="1">
                  <c:v>0.0006417295335991</c:v>
                </c:pt>
                <c:pt idx="2">
                  <c:v>0.000438141920026</c:v>
                </c:pt>
                <c:pt idx="3">
                  <c:v>0.0002949873205447</c:v>
                </c:pt>
                <c:pt idx="4">
                  <c:v>0.0001975013857189</c:v>
                </c:pt>
                <c:pt idx="5">
                  <c:v>0.0001324374428955</c:v>
                </c:pt>
                <c:pt idx="6">
                  <c:v>8.95004755444827E-005</c:v>
                </c:pt>
                <c:pt idx="7">
                  <c:v>6.11762533836362E-005</c:v>
                </c:pt>
                <c:pt idx="8">
                  <c:v>4.28620635783108E-005</c:v>
                </c:pt>
                <c:pt idx="9">
                  <c:v>3.08980020856878E-005</c:v>
                </c:pt>
                <c:pt idx="10">
                  <c:v>2.28844139554469E-005</c:v>
                </c:pt>
                <c:pt idx="11">
                  <c:v>1.7120106533308E-005</c:v>
                </c:pt>
                <c:pt idx="12">
                  <c:v>1.29405137143356E-005</c:v>
                </c:pt>
                <c:pt idx="13">
                  <c:v>9.88179973620992E-006</c:v>
                </c:pt>
              </c:numCache>
            </c:numRef>
          </c:yVal>
          <c:smooth val="1"/>
        </c:ser>
        <c:axId val="21729357"/>
        <c:axId val="27216532"/>
      </c:scatterChart>
      <c:valAx>
        <c:axId val="217293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발화층 위 확산 층 수 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16532"/>
        <c:crosses val="autoZero"/>
        <c:crossBetween val="midCat"/>
      </c:valAx>
      <c:valAx>
        <c:axId val="27216532"/>
        <c:scaling>
          <c:logBase val="10"/>
          <c:orientation val="minMax"/>
          <c:max val="0.01"/>
          <c:min val="1E-00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 (/동·년, log)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293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9</xdr:row>
      <xdr:rowOff>174600</xdr:rowOff>
    </xdr:from>
    <xdr:to>
      <xdr:col>26</xdr:col>
      <xdr:colOff>345600</xdr:colOff>
      <xdr:row>25</xdr:row>
      <xdr:rowOff>6480</xdr:rowOff>
    </xdr:to>
    <xdr:graphicFrame>
      <xdr:nvGraphicFramePr>
        <xdr:cNvPr id="0" name="Chart 1"/>
        <xdr:cNvGraphicFramePr/>
      </xdr:nvGraphicFramePr>
      <xdr:xfrm>
        <a:off x="15929640" y="2095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47</xdr:row>
      <xdr:rowOff>339120</xdr:rowOff>
    </xdr:from>
    <xdr:to>
      <xdr:col>15</xdr:col>
      <xdr:colOff>136080</xdr:colOff>
      <xdr:row>56</xdr:row>
      <xdr:rowOff>195480</xdr:rowOff>
    </xdr:to>
    <xdr:graphicFrame>
      <xdr:nvGraphicFramePr>
        <xdr:cNvPr id="1" name="Chart 1"/>
        <xdr:cNvGraphicFramePr/>
      </xdr:nvGraphicFramePr>
      <xdr:xfrm>
        <a:off x="6132240" y="12382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2"/>
  </cols>
  <sheetData>
    <row r="1" customFormat="false" ht="19.4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2" t="s">
        <v>5</v>
      </c>
      <c r="B5" s="4" t="s">
        <v>6</v>
      </c>
    </row>
    <row r="6" customFormat="false" ht="48" hidden="false" customHeight="true" outlineLevel="0" collapsed="false">
      <c r="A6" s="2" t="s">
        <v>7</v>
      </c>
      <c r="B6" s="4" t="s">
        <v>8</v>
      </c>
    </row>
    <row r="7" customFormat="false" ht="48" hidden="false" customHeight="true" outlineLevel="0" collapsed="false">
      <c r="A7" s="2" t="s">
        <v>9</v>
      </c>
      <c r="B7" s="4" t="s">
        <v>10</v>
      </c>
    </row>
    <row r="8" customFormat="false" ht="48" hidden="false" customHeight="true" outlineLevel="0" collapsed="false">
      <c r="A8" s="2" t="s">
        <v>11</v>
      </c>
      <c r="B8" s="4" t="s">
        <v>12</v>
      </c>
    </row>
    <row r="9" customFormat="false" ht="48" hidden="false" customHeight="true" outlineLevel="0" collapsed="false">
      <c r="A9" s="2" t="s">
        <v>13</v>
      </c>
      <c r="B9" s="3" t="s">
        <v>14</v>
      </c>
    </row>
    <row r="10" customFormat="false" ht="48" hidden="false" customHeight="true" outlineLevel="0" collapsed="false">
      <c r="A10" s="2" t="s">
        <v>15</v>
      </c>
      <c r="B10" s="3" t="s">
        <v>16</v>
      </c>
    </row>
    <row r="11" customFormat="false" ht="48" hidden="false" customHeight="true" outlineLevel="0" collapsed="false">
      <c r="A11" s="2" t="s">
        <v>17</v>
      </c>
      <c r="B1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0"/>
  </cols>
  <sheetData>
    <row r="1" customFormat="false" ht="19.4" hidden="false" customHeight="false" outlineLevel="0" collapsed="false">
      <c r="A1" s="1" t="s">
        <v>19</v>
      </c>
    </row>
    <row r="2" customFormat="false" ht="15" hidden="false" customHeight="false" outlineLevel="0" collapsed="false">
      <c r="A2" s="5" t="s">
        <v>20</v>
      </c>
    </row>
    <row r="4" customFormat="false" ht="26.85" hidden="false" customHeight="false" outlineLevel="0" collapsed="false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7" t="s">
        <v>29</v>
      </c>
      <c r="J4" s="6" t="s">
        <v>30</v>
      </c>
    </row>
    <row r="5" customFormat="false" ht="15" hidden="false" customHeight="true" outlineLevel="0" collapsed="false">
      <c r="A5" s="8" t="s">
        <v>31</v>
      </c>
      <c r="B5" s="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9" t="s">
        <v>32</v>
      </c>
      <c r="B6" s="4" t="s">
        <v>33</v>
      </c>
      <c r="C6" s="10" t="s">
        <v>34</v>
      </c>
      <c r="D6" s="11" t="n">
        <v>15</v>
      </c>
      <c r="E6" s="12"/>
      <c r="F6" s="12"/>
      <c r="G6" s="10" t="s">
        <v>35</v>
      </c>
      <c r="H6" s="13" t="n">
        <f aca="false">D6</f>
        <v>15</v>
      </c>
      <c r="I6" s="14" t="s">
        <v>36</v>
      </c>
      <c r="J6" s="4" t="s">
        <v>37</v>
      </c>
    </row>
    <row r="7" customFormat="false" ht="15" hidden="false" customHeight="false" outlineLevel="0" collapsed="false">
      <c r="A7" s="9" t="s">
        <v>38</v>
      </c>
      <c r="B7" s="4" t="s">
        <v>39</v>
      </c>
      <c r="C7" s="14" t="s">
        <v>40</v>
      </c>
      <c r="D7" s="15" t="n">
        <v>3</v>
      </c>
      <c r="E7" s="16"/>
      <c r="F7" s="16"/>
      <c r="G7" s="10" t="s">
        <v>35</v>
      </c>
      <c r="H7" s="17" t="n">
        <f aca="false">D7</f>
        <v>3</v>
      </c>
      <c r="I7" s="14" t="s">
        <v>36</v>
      </c>
      <c r="J7" s="4" t="s">
        <v>41</v>
      </c>
    </row>
    <row r="8" customFormat="false" ht="15" hidden="false" customHeight="false" outlineLevel="0" collapsed="false">
      <c r="A8" s="9" t="s">
        <v>42</v>
      </c>
      <c r="B8" s="4" t="s">
        <v>43</v>
      </c>
      <c r="C8" s="10" t="s">
        <v>44</v>
      </c>
      <c r="D8" s="11" t="n">
        <v>4</v>
      </c>
      <c r="E8" s="12"/>
      <c r="F8" s="12"/>
      <c r="G8" s="10" t="s">
        <v>35</v>
      </c>
      <c r="H8" s="13" t="n">
        <f aca="false">D8</f>
        <v>4</v>
      </c>
      <c r="I8" s="14" t="s">
        <v>45</v>
      </c>
      <c r="J8" s="4" t="s">
        <v>46</v>
      </c>
    </row>
    <row r="9" customFormat="false" ht="15" hidden="false" customHeight="false" outlineLevel="0" collapsed="false">
      <c r="A9" s="9" t="s">
        <v>47</v>
      </c>
      <c r="B9" s="4" t="s">
        <v>48</v>
      </c>
      <c r="C9" s="10" t="s">
        <v>49</v>
      </c>
      <c r="D9" s="15" t="n">
        <v>2.5</v>
      </c>
      <c r="E9" s="16"/>
      <c r="F9" s="16"/>
      <c r="G9" s="10" t="s">
        <v>35</v>
      </c>
      <c r="H9" s="17" t="n">
        <f aca="false">D9</f>
        <v>2.5</v>
      </c>
      <c r="I9" s="14" t="s">
        <v>45</v>
      </c>
      <c r="J9" s="4" t="s">
        <v>50</v>
      </c>
    </row>
    <row r="10" customFormat="false" ht="15" hidden="false" customHeight="false" outlineLevel="0" collapsed="false">
      <c r="A10" s="9" t="s">
        <v>51</v>
      </c>
      <c r="B10" s="4" t="s">
        <v>52</v>
      </c>
      <c r="C10" s="10" t="s">
        <v>44</v>
      </c>
      <c r="D10" s="11" t="n">
        <v>2</v>
      </c>
      <c r="E10" s="12"/>
      <c r="F10" s="12"/>
      <c r="G10" s="10" t="s">
        <v>35</v>
      </c>
      <c r="H10" s="13" t="n">
        <f aca="false">D10</f>
        <v>2</v>
      </c>
      <c r="I10" s="14" t="s">
        <v>53</v>
      </c>
      <c r="J10" s="4" t="s">
        <v>54</v>
      </c>
    </row>
    <row r="11" customFormat="false" ht="15" hidden="false" customHeight="true" outlineLevel="0" collapsed="false">
      <c r="A11" s="8" t="s">
        <v>55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9" t="s">
        <v>56</v>
      </c>
      <c r="B12" s="4" t="s">
        <v>57</v>
      </c>
      <c r="C12" s="14" t="s">
        <v>58</v>
      </c>
      <c r="D12" s="18" t="n">
        <v>0.0002</v>
      </c>
      <c r="E12" s="19" t="n">
        <v>0.0001</v>
      </c>
      <c r="F12" s="19" t="n">
        <v>0.0004</v>
      </c>
      <c r="G12" s="10" t="s">
        <v>59</v>
      </c>
      <c r="H12" s="20" t="n">
        <f aca="false">D12</f>
        <v>0.0002</v>
      </c>
      <c r="I12" s="14" t="s">
        <v>60</v>
      </c>
      <c r="J12" s="4" t="s">
        <v>61</v>
      </c>
    </row>
    <row r="13" customFormat="false" ht="15" hidden="false" customHeight="false" outlineLevel="0" collapsed="false">
      <c r="A13" s="9" t="s">
        <v>62</v>
      </c>
      <c r="B13" s="4" t="s">
        <v>63</v>
      </c>
      <c r="C13" s="14" t="s">
        <v>64</v>
      </c>
      <c r="D13" s="18" t="n">
        <v>0.002</v>
      </c>
      <c r="E13" s="19" t="n">
        <v>0.0005</v>
      </c>
      <c r="F13" s="19" t="n">
        <v>0.008</v>
      </c>
      <c r="G13" s="10" t="s">
        <v>59</v>
      </c>
      <c r="H13" s="20" t="n">
        <f aca="false">D13</f>
        <v>0.002</v>
      </c>
      <c r="I13" s="14" t="s">
        <v>65</v>
      </c>
      <c r="J13" s="4" t="s">
        <v>66</v>
      </c>
    </row>
    <row r="14" customFormat="false" ht="15" hidden="false" customHeight="true" outlineLevel="0" collapsed="false">
      <c r="A14" s="8" t="s">
        <v>67</v>
      </c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9" t="s">
        <v>68</v>
      </c>
      <c r="B15" s="4" t="s">
        <v>69</v>
      </c>
      <c r="C15" s="14" t="s">
        <v>70</v>
      </c>
      <c r="D15" s="15" t="n">
        <v>0.9</v>
      </c>
      <c r="E15" s="16" t="n">
        <v>0.8</v>
      </c>
      <c r="F15" s="16" t="n">
        <v>0.97</v>
      </c>
      <c r="G15" s="10" t="s">
        <v>71</v>
      </c>
      <c r="H15" s="17" t="n">
        <f aca="false">D15</f>
        <v>0.9</v>
      </c>
      <c r="I15" s="14" t="s">
        <v>72</v>
      </c>
      <c r="J15" s="4" t="s">
        <v>73</v>
      </c>
    </row>
    <row r="16" customFormat="false" ht="15" hidden="false" customHeight="false" outlineLevel="0" collapsed="false">
      <c r="A16" s="9" t="s">
        <v>74</v>
      </c>
      <c r="B16" s="4" t="s">
        <v>75</v>
      </c>
      <c r="C16" s="14" t="s">
        <v>70</v>
      </c>
      <c r="D16" s="15" t="n">
        <v>0.15</v>
      </c>
      <c r="E16" s="16" t="n">
        <v>0.05</v>
      </c>
      <c r="F16" s="16" t="n">
        <v>0.3</v>
      </c>
      <c r="G16" s="10" t="s">
        <v>71</v>
      </c>
      <c r="H16" s="17" t="n">
        <f aca="false">D16</f>
        <v>0.15</v>
      </c>
      <c r="I16" s="14" t="s">
        <v>76</v>
      </c>
      <c r="J16" s="4" t="s">
        <v>77</v>
      </c>
    </row>
    <row r="17" customFormat="false" ht="15" hidden="false" customHeight="false" outlineLevel="0" collapsed="false">
      <c r="A17" s="9" t="s">
        <v>78</v>
      </c>
      <c r="B17" s="4" t="s">
        <v>79</v>
      </c>
      <c r="C17" s="14" t="s">
        <v>70</v>
      </c>
      <c r="D17" s="15" t="n">
        <v>0.7</v>
      </c>
      <c r="E17" s="16" t="n">
        <v>0.5</v>
      </c>
      <c r="F17" s="16" t="n">
        <v>0.9</v>
      </c>
      <c r="G17" s="10" t="s">
        <v>71</v>
      </c>
      <c r="H17" s="17" t="n">
        <f aca="false">D17</f>
        <v>0.7</v>
      </c>
      <c r="I17" s="14" t="s">
        <v>53</v>
      </c>
      <c r="J17" s="4" t="s">
        <v>80</v>
      </c>
    </row>
    <row r="18" customFormat="false" ht="15" hidden="false" customHeight="false" outlineLevel="0" collapsed="false">
      <c r="A18" s="9" t="s">
        <v>81</v>
      </c>
      <c r="B18" s="4" t="s">
        <v>82</v>
      </c>
      <c r="C18" s="14" t="s">
        <v>70</v>
      </c>
      <c r="D18" s="15" t="n">
        <v>0.3</v>
      </c>
      <c r="E18" s="16" t="n">
        <v>0.1</v>
      </c>
      <c r="F18" s="16" t="n">
        <v>0.6</v>
      </c>
      <c r="G18" s="10" t="s">
        <v>71</v>
      </c>
      <c r="H18" s="17" t="n">
        <f aca="false">D18</f>
        <v>0.3</v>
      </c>
      <c r="I18" s="14" t="s">
        <v>53</v>
      </c>
      <c r="J18" s="4" t="s">
        <v>83</v>
      </c>
    </row>
    <row r="19" customFormat="false" ht="15" hidden="false" customHeight="false" outlineLevel="0" collapsed="false">
      <c r="A19" s="9" t="s">
        <v>84</v>
      </c>
      <c r="B19" s="4" t="s">
        <v>85</v>
      </c>
      <c r="C19" s="14" t="s">
        <v>70</v>
      </c>
      <c r="D19" s="15" t="n">
        <v>0.9</v>
      </c>
      <c r="E19" s="16" t="n">
        <v>0.7</v>
      </c>
      <c r="F19" s="16" t="n">
        <v>1</v>
      </c>
      <c r="G19" s="10" t="s">
        <v>71</v>
      </c>
      <c r="H19" s="17" t="n">
        <f aca="false">D19</f>
        <v>0.9</v>
      </c>
      <c r="I19" s="14" t="s">
        <v>53</v>
      </c>
      <c r="J19" s="4" t="s">
        <v>86</v>
      </c>
    </row>
    <row r="20" customFormat="false" ht="15" hidden="false" customHeight="false" outlineLevel="0" collapsed="false">
      <c r="A20" s="9" t="s">
        <v>87</v>
      </c>
      <c r="B20" s="4" t="s">
        <v>88</v>
      </c>
      <c r="C20" s="14" t="s">
        <v>70</v>
      </c>
      <c r="D20" s="15" t="n">
        <v>0.3</v>
      </c>
      <c r="E20" s="16" t="n">
        <v>0.1</v>
      </c>
      <c r="F20" s="16" t="n">
        <v>0.5</v>
      </c>
      <c r="G20" s="10" t="s">
        <v>71</v>
      </c>
      <c r="H20" s="17" t="n">
        <f aca="false">D20</f>
        <v>0.3</v>
      </c>
      <c r="I20" s="14" t="s">
        <v>72</v>
      </c>
      <c r="J20" s="4" t="s">
        <v>89</v>
      </c>
    </row>
    <row r="21" customFormat="false" ht="15" hidden="false" customHeight="false" outlineLevel="0" collapsed="false">
      <c r="A21" s="9" t="s">
        <v>90</v>
      </c>
      <c r="B21" s="4" t="s">
        <v>91</v>
      </c>
      <c r="C21" s="14" t="s">
        <v>70</v>
      </c>
      <c r="D21" s="15" t="n">
        <v>0.7</v>
      </c>
      <c r="E21" s="16" t="n">
        <v>0.4</v>
      </c>
      <c r="F21" s="16" t="n">
        <v>0.9</v>
      </c>
      <c r="G21" s="10" t="s">
        <v>71</v>
      </c>
      <c r="H21" s="17" t="n">
        <f aca="false">D21</f>
        <v>0.7</v>
      </c>
      <c r="I21" s="14" t="s">
        <v>72</v>
      </c>
      <c r="J21" s="4" t="s">
        <v>92</v>
      </c>
    </row>
    <row r="22" customFormat="false" ht="15" hidden="false" customHeight="false" outlineLevel="0" collapsed="false">
      <c r="A22" s="9" t="s">
        <v>93</v>
      </c>
      <c r="B22" s="4" t="s">
        <v>94</v>
      </c>
      <c r="C22" s="14" t="s">
        <v>70</v>
      </c>
      <c r="D22" s="15" t="n">
        <v>0.15</v>
      </c>
      <c r="E22" s="16" t="n">
        <v>0.05</v>
      </c>
      <c r="F22" s="16" t="n">
        <v>0.3</v>
      </c>
      <c r="G22" s="10" t="s">
        <v>71</v>
      </c>
      <c r="H22" s="17" t="n">
        <f aca="false">D22</f>
        <v>0.15</v>
      </c>
      <c r="I22" s="14" t="s">
        <v>53</v>
      </c>
      <c r="J22" s="4" t="s">
        <v>95</v>
      </c>
    </row>
    <row r="23" customFormat="false" ht="15" hidden="false" customHeight="true" outlineLevel="0" collapsed="false">
      <c r="A23" s="8" t="s">
        <v>96</v>
      </c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9" t="s">
        <v>97</v>
      </c>
      <c r="B24" s="4" t="s">
        <v>98</v>
      </c>
      <c r="C24" s="10" t="s">
        <v>99</v>
      </c>
      <c r="D24" s="11" t="n">
        <v>12</v>
      </c>
      <c r="E24" s="12" t="n">
        <v>8</v>
      </c>
      <c r="F24" s="12" t="n">
        <v>20</v>
      </c>
      <c r="G24" s="10" t="s">
        <v>71</v>
      </c>
      <c r="H24" s="13" t="n">
        <f aca="false">D24*60</f>
        <v>720</v>
      </c>
      <c r="I24" s="14" t="s">
        <v>100</v>
      </c>
      <c r="J24" s="4" t="s">
        <v>101</v>
      </c>
    </row>
    <row r="25" customFormat="false" ht="15" hidden="false" customHeight="false" outlineLevel="0" collapsed="false">
      <c r="A25" s="9" t="s">
        <v>102</v>
      </c>
      <c r="B25" s="4" t="s">
        <v>103</v>
      </c>
      <c r="C25" s="10" t="s">
        <v>99</v>
      </c>
      <c r="D25" s="11" t="n">
        <v>15</v>
      </c>
      <c r="E25" s="12" t="n">
        <v>10</v>
      </c>
      <c r="F25" s="12" t="n">
        <v>25</v>
      </c>
      <c r="G25" s="10" t="s">
        <v>71</v>
      </c>
      <c r="H25" s="13" t="n">
        <f aca="false">D25*60</f>
        <v>900</v>
      </c>
      <c r="I25" s="14" t="s">
        <v>76</v>
      </c>
      <c r="J25" s="4" t="s">
        <v>104</v>
      </c>
    </row>
    <row r="26" customFormat="false" ht="15" hidden="false" customHeight="false" outlineLevel="0" collapsed="false">
      <c r="A26" s="9" t="s">
        <v>105</v>
      </c>
      <c r="B26" s="4" t="s">
        <v>106</v>
      </c>
      <c r="C26" s="10" t="s">
        <v>99</v>
      </c>
      <c r="D26" s="11" t="n">
        <v>15</v>
      </c>
      <c r="E26" s="12" t="n">
        <v>10</v>
      </c>
      <c r="F26" s="12" t="n">
        <v>25</v>
      </c>
      <c r="G26" s="10" t="s">
        <v>71</v>
      </c>
      <c r="H26" s="13" t="n">
        <f aca="false">D26*60</f>
        <v>900</v>
      </c>
      <c r="I26" s="14" t="s">
        <v>107</v>
      </c>
      <c r="J26" s="4" t="s">
        <v>108</v>
      </c>
    </row>
    <row r="27" customFormat="false" ht="15" hidden="false" customHeight="true" outlineLevel="0" collapsed="false">
      <c r="A27" s="8" t="s">
        <v>109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26.85" hidden="false" customHeight="false" outlineLevel="0" collapsed="false">
      <c r="A28" s="9" t="s">
        <v>110</v>
      </c>
      <c r="B28" s="4" t="s">
        <v>111</v>
      </c>
      <c r="C28" s="14" t="s">
        <v>70</v>
      </c>
      <c r="D28" s="15" t="n">
        <v>0.5</v>
      </c>
      <c r="E28" s="16" t="n">
        <v>0.25</v>
      </c>
      <c r="F28" s="16" t="n">
        <v>1</v>
      </c>
      <c r="G28" s="10" t="s">
        <v>59</v>
      </c>
      <c r="H28" s="17" t="n">
        <f aca="false">D28</f>
        <v>0.5</v>
      </c>
      <c r="I28" s="14" t="s">
        <v>112</v>
      </c>
      <c r="J28" s="4" t="s">
        <v>113</v>
      </c>
    </row>
    <row r="29" customFormat="false" ht="15" hidden="false" customHeight="true" outlineLevel="0" collapsed="false">
      <c r="A29" s="8" t="s">
        <v>114</v>
      </c>
      <c r="B29" s="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9" t="s">
        <v>115</v>
      </c>
      <c r="B30" s="4" t="s">
        <v>116</v>
      </c>
      <c r="C30" s="14" t="s">
        <v>70</v>
      </c>
      <c r="D30" s="15" t="n">
        <v>0.05</v>
      </c>
      <c r="E30" s="16" t="n">
        <v>0.01</v>
      </c>
      <c r="F30" s="16" t="n">
        <v>0.2</v>
      </c>
      <c r="G30" s="10" t="s">
        <v>71</v>
      </c>
      <c r="H30" s="17" t="n">
        <f aca="false">D30</f>
        <v>0.05</v>
      </c>
      <c r="I30" s="14" t="s">
        <v>117</v>
      </c>
      <c r="J30" s="4" t="s">
        <v>118</v>
      </c>
    </row>
    <row r="31" customFormat="false" ht="15" hidden="false" customHeight="true" outlineLevel="0" collapsed="false">
      <c r="A31" s="8" t="s">
        <v>119</v>
      </c>
      <c r="B31" s="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9" t="s">
        <v>120</v>
      </c>
      <c r="B32" s="4" t="s">
        <v>121</v>
      </c>
      <c r="C32" s="14" t="s">
        <v>70</v>
      </c>
      <c r="D32" s="15" t="n">
        <v>0.5</v>
      </c>
      <c r="E32" s="16"/>
      <c r="F32" s="16"/>
      <c r="G32" s="10" t="s">
        <v>35</v>
      </c>
      <c r="H32" s="17" t="n">
        <f aca="false">D32</f>
        <v>0.5</v>
      </c>
      <c r="I32" s="14" t="s">
        <v>122</v>
      </c>
      <c r="J32" s="4" t="s">
        <v>123</v>
      </c>
    </row>
    <row r="33" customFormat="false" ht="15" hidden="false" customHeight="false" outlineLevel="0" collapsed="false">
      <c r="A33" s="9" t="s">
        <v>124</v>
      </c>
      <c r="B33" s="4" t="s">
        <v>125</v>
      </c>
      <c r="C33" s="14" t="s">
        <v>70</v>
      </c>
      <c r="D33" s="15" t="n">
        <v>0.5</v>
      </c>
      <c r="E33" s="16"/>
      <c r="F33" s="16"/>
      <c r="G33" s="10" t="s">
        <v>35</v>
      </c>
      <c r="H33" s="17" t="n">
        <f aca="false">D33</f>
        <v>0.5</v>
      </c>
      <c r="I33" s="14" t="s">
        <v>122</v>
      </c>
      <c r="J33" s="4" t="s">
        <v>123</v>
      </c>
    </row>
    <row r="34" customFormat="false" ht="15" hidden="false" customHeight="false" outlineLevel="0" collapsed="false">
      <c r="A34" s="9" t="s">
        <v>126</v>
      </c>
      <c r="B34" s="4" t="s">
        <v>127</v>
      </c>
      <c r="C34" s="14" t="s">
        <v>70</v>
      </c>
      <c r="D34" s="15" t="n">
        <v>0.3</v>
      </c>
      <c r="E34" s="16"/>
      <c r="F34" s="16"/>
      <c r="G34" s="10" t="s">
        <v>35</v>
      </c>
      <c r="H34" s="17" t="n">
        <f aca="false">D34</f>
        <v>0.3</v>
      </c>
      <c r="I34" s="14" t="s">
        <v>122</v>
      </c>
      <c r="J34" s="4" t="s">
        <v>123</v>
      </c>
    </row>
    <row r="35" customFormat="false" ht="15" hidden="false" customHeight="false" outlineLevel="0" collapsed="false">
      <c r="A35" s="9" t="s">
        <v>128</v>
      </c>
      <c r="B35" s="4" t="s">
        <v>129</v>
      </c>
      <c r="C35" s="10" t="s">
        <v>99</v>
      </c>
      <c r="D35" s="11" t="n">
        <v>10</v>
      </c>
      <c r="E35" s="12"/>
      <c r="F35" s="12"/>
      <c r="G35" s="10" t="s">
        <v>35</v>
      </c>
      <c r="H35" s="13" t="n">
        <f aca="false">D35*60</f>
        <v>600</v>
      </c>
      <c r="I35" s="14" t="s">
        <v>122</v>
      </c>
      <c r="J35" s="4" t="s">
        <v>130</v>
      </c>
    </row>
    <row r="36" customFormat="false" ht="15" hidden="false" customHeight="false" outlineLevel="0" collapsed="false">
      <c r="A36" s="9" t="s">
        <v>128</v>
      </c>
      <c r="B36" s="4" t="s">
        <v>131</v>
      </c>
      <c r="C36" s="10" t="s">
        <v>99</v>
      </c>
      <c r="D36" s="11" t="n">
        <v>30</v>
      </c>
      <c r="E36" s="12"/>
      <c r="F36" s="12"/>
      <c r="G36" s="10" t="s">
        <v>35</v>
      </c>
      <c r="H36" s="13" t="n">
        <f aca="false">D36*60</f>
        <v>1800</v>
      </c>
      <c r="I36" s="14" t="s">
        <v>122</v>
      </c>
      <c r="J36" s="4" t="s">
        <v>132</v>
      </c>
    </row>
    <row r="37" customFormat="false" ht="15" hidden="false" customHeight="false" outlineLevel="0" collapsed="false">
      <c r="A37" s="9" t="s">
        <v>133</v>
      </c>
      <c r="B37" s="4" t="s">
        <v>134</v>
      </c>
      <c r="C37" s="10" t="s">
        <v>99</v>
      </c>
      <c r="D37" s="11" t="n">
        <v>5</v>
      </c>
      <c r="E37" s="12"/>
      <c r="F37" s="12"/>
      <c r="G37" s="10" t="s">
        <v>35</v>
      </c>
      <c r="H37" s="13" t="n">
        <f aca="false">D37*60</f>
        <v>300</v>
      </c>
      <c r="I37" s="14" t="s">
        <v>122</v>
      </c>
      <c r="J37" s="4" t="s">
        <v>130</v>
      </c>
    </row>
    <row r="38" customFormat="false" ht="15" hidden="false" customHeight="false" outlineLevel="0" collapsed="false">
      <c r="A38" s="9" t="s">
        <v>133</v>
      </c>
      <c r="B38" s="4" t="s">
        <v>135</v>
      </c>
      <c r="C38" s="10" t="s">
        <v>99</v>
      </c>
      <c r="D38" s="11" t="n">
        <v>20</v>
      </c>
      <c r="E38" s="12"/>
      <c r="F38" s="12"/>
      <c r="G38" s="10" t="s">
        <v>35</v>
      </c>
      <c r="H38" s="13" t="n">
        <f aca="false">D38*60</f>
        <v>1200</v>
      </c>
      <c r="I38" s="14" t="s">
        <v>122</v>
      </c>
      <c r="J38" s="4" t="s">
        <v>132</v>
      </c>
    </row>
    <row r="39" customFormat="false" ht="15" hidden="false" customHeight="true" outlineLevel="0" collapsed="false">
      <c r="A39" s="8" t="s">
        <v>136</v>
      </c>
      <c r="B39" s="8"/>
      <c r="C39" s="8"/>
      <c r="D39" s="8"/>
      <c r="E39" s="8"/>
      <c r="F39" s="8"/>
      <c r="G39" s="8"/>
      <c r="H39" s="8"/>
      <c r="I39" s="8"/>
      <c r="J39" s="8"/>
    </row>
    <row r="40" customFormat="false" ht="26.85" hidden="false" customHeight="false" outlineLevel="0" collapsed="false">
      <c r="A40" s="9" t="s">
        <v>137</v>
      </c>
      <c r="B40" s="4" t="s">
        <v>138</v>
      </c>
      <c r="C40" s="14" t="s">
        <v>64</v>
      </c>
      <c r="D40" s="18" t="n">
        <v>0.0001</v>
      </c>
      <c r="E40" s="19"/>
      <c r="F40" s="19"/>
      <c r="G40" s="10" t="s">
        <v>35</v>
      </c>
      <c r="H40" s="20" t="n">
        <f aca="false">D40</f>
        <v>0.0001</v>
      </c>
      <c r="I40" s="14" t="s">
        <v>139</v>
      </c>
      <c r="J40" s="4" t="s">
        <v>140</v>
      </c>
    </row>
    <row r="41" customFormat="false" ht="15" hidden="false" customHeight="false" outlineLevel="0" collapsed="false">
      <c r="A41" s="9" t="s">
        <v>141</v>
      </c>
      <c r="B41" s="4" t="s">
        <v>142</v>
      </c>
      <c r="C41" s="14" t="s">
        <v>70</v>
      </c>
      <c r="D41" s="15" t="n">
        <v>0.9</v>
      </c>
      <c r="E41" s="16"/>
      <c r="F41" s="16"/>
      <c r="G41" s="10" t="s">
        <v>35</v>
      </c>
      <c r="H41" s="17" t="n">
        <f aca="false">D41</f>
        <v>0.9</v>
      </c>
      <c r="I41" s="14" t="s">
        <v>143</v>
      </c>
      <c r="J41" s="4" t="s">
        <v>144</v>
      </c>
    </row>
    <row r="43" customFormat="false" ht="15" hidden="false" customHeight="true" outlineLevel="0" collapsed="false">
      <c r="A43" s="8" t="s">
        <v>145</v>
      </c>
      <c r="B43" s="8"/>
      <c r="C43" s="8"/>
      <c r="D43" s="8"/>
      <c r="E43" s="8"/>
      <c r="F43" s="8"/>
      <c r="G43" s="8"/>
      <c r="H43" s="8"/>
      <c r="I43" s="8"/>
      <c r="J43" s="8"/>
    </row>
    <row r="44" customFormat="false" ht="26.85" hidden="false" customHeight="false" outlineLevel="0" collapsed="false">
      <c r="A44" s="9" t="s">
        <v>128</v>
      </c>
      <c r="B44" s="4" t="s">
        <v>146</v>
      </c>
      <c r="C44" s="14" t="s">
        <v>110</v>
      </c>
      <c r="H44" s="13" t="n">
        <f aca="false">(texp1_lo_s+texp1_hi_s)/2</f>
        <v>1200</v>
      </c>
    </row>
    <row r="45" customFormat="false" ht="15" hidden="false" customHeight="false" outlineLevel="0" collapsed="false">
      <c r="A45" s="9" t="s">
        <v>133</v>
      </c>
      <c r="B45" s="4" t="s">
        <v>147</v>
      </c>
      <c r="C45" s="14" t="s">
        <v>110</v>
      </c>
      <c r="H45" s="13" t="n">
        <f aca="false">(texp2_lo_s+texp2_hi_s)/2</f>
        <v>750</v>
      </c>
    </row>
    <row r="46" customFormat="false" ht="15" hidden="false" customHeight="false" outlineLevel="0" collapsed="false">
      <c r="A46" s="9" t="s">
        <v>148</v>
      </c>
      <c r="B46" s="4" t="s">
        <v>149</v>
      </c>
      <c r="C46" s="10" t="s">
        <v>49</v>
      </c>
      <c r="H46" s="21" t="n">
        <f aca="false">n_aff*occ</f>
        <v>5</v>
      </c>
    </row>
    <row r="47" customFormat="false" ht="15" hidden="false" customHeight="false" outlineLevel="0" collapsed="false">
      <c r="A47" s="9" t="s">
        <v>150</v>
      </c>
      <c r="B47" s="4" t="s">
        <v>151</v>
      </c>
      <c r="C47" s="10" t="s">
        <v>49</v>
      </c>
      <c r="H47" s="13" t="n">
        <f aca="false">N_st*units*occ</f>
        <v>150</v>
      </c>
    </row>
    <row r="48" customFormat="false" ht="15" hidden="false" customHeight="false" outlineLevel="0" collapsed="false">
      <c r="A48" s="9" t="s">
        <v>152</v>
      </c>
      <c r="B48" s="4" t="s">
        <v>153</v>
      </c>
      <c r="C48" s="10" t="s">
        <v>44</v>
      </c>
      <c r="H48" s="13" t="n">
        <f aca="false">N_st*units</f>
        <v>60</v>
      </c>
    </row>
  </sheetData>
  <mergeCells count="9">
    <mergeCell ref="A5:J5"/>
    <mergeCell ref="A11:J11"/>
    <mergeCell ref="A14:J14"/>
    <mergeCell ref="A23:J23"/>
    <mergeCell ref="A27:J27"/>
    <mergeCell ref="A29:J29"/>
    <mergeCell ref="A31:J31"/>
    <mergeCell ref="A39:J39"/>
    <mergeCell ref="A43:J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7"/>
    <col collapsed="false" customWidth="true" hidden="false" outlineLevel="0" max="8" min="8" style="0" width="62"/>
  </cols>
  <sheetData>
    <row r="1" customFormat="false" ht="19.4" hidden="false" customHeight="false" outlineLevel="0" collapsed="false">
      <c r="A1" s="22" t="s">
        <v>154</v>
      </c>
    </row>
    <row r="2" customFormat="false" ht="15" hidden="false" customHeight="false" outlineLevel="0" collapsed="false">
      <c r="A2" s="23" t="s">
        <v>155</v>
      </c>
    </row>
    <row r="4" customFormat="false" ht="26.85" hidden="false" customHeight="false" outlineLevel="0" collapsed="false">
      <c r="A4" s="6" t="s">
        <v>156</v>
      </c>
      <c r="B4" s="6" t="s">
        <v>157</v>
      </c>
      <c r="C4" s="6" t="s">
        <v>158</v>
      </c>
      <c r="D4" s="7" t="s">
        <v>159</v>
      </c>
      <c r="E4" s="6" t="s">
        <v>160</v>
      </c>
      <c r="F4" s="6" t="s">
        <v>161</v>
      </c>
      <c r="G4" s="7" t="s">
        <v>162</v>
      </c>
      <c r="H4" s="6" t="s">
        <v>163</v>
      </c>
    </row>
    <row r="5" customFormat="false" ht="15" hidden="false" customHeight="false" outlineLevel="0" collapsed="false">
      <c r="A5" s="24" t="s">
        <v>164</v>
      </c>
      <c r="B5" s="3" t="s">
        <v>165</v>
      </c>
      <c r="C5" s="14" t="s">
        <v>166</v>
      </c>
      <c r="D5" s="12"/>
      <c r="E5" s="25" t="n">
        <v>0</v>
      </c>
      <c r="F5" s="26" t="s">
        <v>167</v>
      </c>
      <c r="G5" s="27" t="n">
        <f aca="false">IF(OR(F5="아니오",D5=""),1000000000,s_scale*D5*h_st/3)</f>
        <v>1000000000</v>
      </c>
      <c r="H5" s="4" t="s">
        <v>168</v>
      </c>
    </row>
    <row r="6" customFormat="false" ht="15" hidden="false" customHeight="false" outlineLevel="0" collapsed="false">
      <c r="A6" s="24" t="s">
        <v>169</v>
      </c>
      <c r="B6" s="3" t="s">
        <v>165</v>
      </c>
      <c r="C6" s="14" t="s">
        <v>166</v>
      </c>
      <c r="D6" s="12"/>
      <c r="E6" s="25" t="n">
        <v>0</v>
      </c>
      <c r="F6" s="26" t="s">
        <v>167</v>
      </c>
      <c r="G6" s="27" t="n">
        <f aca="false">IF(OR(F6="아니오",D6=""),1000000000,s_scale*D6*h_st/3)</f>
        <v>1000000000</v>
      </c>
      <c r="H6" s="4" t="s">
        <v>170</v>
      </c>
    </row>
    <row r="7" customFormat="false" ht="15" hidden="false" customHeight="false" outlineLevel="0" collapsed="false">
      <c r="A7" s="24" t="s">
        <v>171</v>
      </c>
      <c r="B7" s="3" t="s">
        <v>172</v>
      </c>
      <c r="C7" s="14" t="s">
        <v>173</v>
      </c>
      <c r="D7" s="12" t="n">
        <v>962</v>
      </c>
      <c r="E7" s="25" t="n">
        <v>0</v>
      </c>
      <c r="F7" s="26" t="s">
        <v>174</v>
      </c>
      <c r="G7" s="27" t="n">
        <f aca="false">IF(OR(F7="아니오",D7=""),1000000000,s_scale*D7*h_st/3)</f>
        <v>481</v>
      </c>
      <c r="H7" s="3"/>
    </row>
    <row r="8" customFormat="false" ht="15" hidden="false" customHeight="false" outlineLevel="0" collapsed="false">
      <c r="A8" s="24" t="s">
        <v>175</v>
      </c>
      <c r="B8" s="3" t="s">
        <v>172</v>
      </c>
      <c r="C8" s="14" t="s">
        <v>173</v>
      </c>
      <c r="D8" s="12"/>
      <c r="E8" s="25" t="n">
        <v>0</v>
      </c>
      <c r="F8" s="26" t="s">
        <v>174</v>
      </c>
      <c r="G8" s="27" t="n">
        <f aca="false">IF(OR(F8="아니오",D8=""),1000000000,s_scale*D8*h_st/3)</f>
        <v>1000000000</v>
      </c>
      <c r="H8" s="3" t="s">
        <v>176</v>
      </c>
    </row>
    <row r="9" customFormat="false" ht="15" hidden="false" customHeight="false" outlineLevel="0" collapsed="false">
      <c r="A9" s="24" t="s">
        <v>177</v>
      </c>
      <c r="B9" s="3" t="s">
        <v>172</v>
      </c>
      <c r="C9" s="14" t="s">
        <v>173</v>
      </c>
      <c r="D9" s="12" t="n">
        <v>975</v>
      </c>
      <c r="E9" s="25" t="n">
        <v>0</v>
      </c>
      <c r="F9" s="26" t="s">
        <v>174</v>
      </c>
      <c r="G9" s="27" t="n">
        <f aca="false">IF(OR(F9="아니오",D9=""),1000000000,s_scale*D9*h_st/3)</f>
        <v>487.5</v>
      </c>
      <c r="H9" s="3"/>
    </row>
    <row r="10" customFormat="false" ht="15" hidden="false" customHeight="false" outlineLevel="0" collapsed="false">
      <c r="A10" s="24" t="s">
        <v>178</v>
      </c>
      <c r="B10" s="3" t="s">
        <v>179</v>
      </c>
      <c r="C10" s="14" t="s">
        <v>166</v>
      </c>
      <c r="D10" s="12" t="n">
        <v>31</v>
      </c>
      <c r="E10" s="25" t="n">
        <v>0</v>
      </c>
      <c r="F10" s="26" t="s">
        <v>174</v>
      </c>
      <c r="G10" s="27" t="n">
        <f aca="false">IF(OR(F10="아니오",D10=""),1000000000,s_scale*D10*h_st/3)</f>
        <v>15.5</v>
      </c>
      <c r="H10" s="4" t="s">
        <v>180</v>
      </c>
    </row>
    <row r="11" customFormat="false" ht="15" hidden="false" customHeight="false" outlineLevel="0" collapsed="false">
      <c r="A11" s="24" t="s">
        <v>181</v>
      </c>
      <c r="B11" s="3" t="s">
        <v>179</v>
      </c>
      <c r="C11" s="14" t="s">
        <v>166</v>
      </c>
      <c r="D11" s="12" t="n">
        <v>29</v>
      </c>
      <c r="E11" s="25" t="n">
        <v>0</v>
      </c>
      <c r="F11" s="26" t="s">
        <v>174</v>
      </c>
      <c r="G11" s="27" t="n">
        <f aca="false">IF(OR(F11="아니오",D11=""),1000000000,s_scale*D11*h_st/3)</f>
        <v>14.5</v>
      </c>
      <c r="H11" s="4" t="s">
        <v>180</v>
      </c>
    </row>
    <row r="12" customFormat="false" ht="15" hidden="false" customHeight="false" outlineLevel="0" collapsed="false">
      <c r="A12" s="24" t="s">
        <v>182</v>
      </c>
      <c r="B12" s="3" t="s">
        <v>183</v>
      </c>
      <c r="C12" s="14" t="s">
        <v>173</v>
      </c>
      <c r="D12" s="12" t="n">
        <v>1068</v>
      </c>
      <c r="E12" s="25" t="n">
        <v>0</v>
      </c>
      <c r="F12" s="26" t="s">
        <v>174</v>
      </c>
      <c r="G12" s="27" t="n">
        <f aca="false">IF(OR(F12="아니오",D12=""),1000000000,s_scale*D12*h_st/3)</f>
        <v>534</v>
      </c>
      <c r="H12" s="3"/>
    </row>
    <row r="13" customFormat="false" ht="15" hidden="false" customHeight="false" outlineLevel="0" collapsed="false">
      <c r="A13" s="24" t="s">
        <v>184</v>
      </c>
      <c r="B13" s="3" t="s">
        <v>183</v>
      </c>
      <c r="C13" s="14" t="s">
        <v>173</v>
      </c>
      <c r="D13" s="12" t="n">
        <v>1091</v>
      </c>
      <c r="E13" s="25" t="n">
        <v>0</v>
      </c>
      <c r="F13" s="26" t="s">
        <v>174</v>
      </c>
      <c r="G13" s="27" t="n">
        <f aca="false">IF(OR(F13="아니오",D13=""),1000000000,s_scale*D13*h_st/3)</f>
        <v>545.5</v>
      </c>
      <c r="H13" s="3"/>
    </row>
    <row r="14" customFormat="false" ht="15" hidden="false" customHeight="false" outlineLevel="0" collapsed="false">
      <c r="A14" s="24" t="s">
        <v>185</v>
      </c>
      <c r="B14" s="3" t="s">
        <v>186</v>
      </c>
      <c r="C14" s="14" t="s">
        <v>173</v>
      </c>
      <c r="D14" s="12" t="n">
        <v>1245</v>
      </c>
      <c r="E14" s="25" t="n">
        <v>1</v>
      </c>
      <c r="F14" s="26" t="s">
        <v>174</v>
      </c>
      <c r="G14" s="27" t="n">
        <f aca="false">IF(OR(F14="아니오",D14=""),1000000000,s_scale*D14*h_st/3)</f>
        <v>622.5</v>
      </c>
      <c r="H14" s="3"/>
    </row>
    <row r="15" customFormat="false" ht="15" hidden="false" customHeight="false" outlineLevel="0" collapsed="false">
      <c r="A15" s="24" t="s">
        <v>187</v>
      </c>
      <c r="B15" s="3" t="s">
        <v>186</v>
      </c>
      <c r="C15" s="14" t="s">
        <v>173</v>
      </c>
      <c r="D15" s="12" t="n">
        <v>1455</v>
      </c>
      <c r="E15" s="25" t="n">
        <v>1</v>
      </c>
      <c r="F15" s="26" t="s">
        <v>174</v>
      </c>
      <c r="G15" s="27" t="n">
        <f aca="false">IF(OR(F15="아니오",D15=""),1000000000,s_scale*D15*h_st/3)</f>
        <v>727.5</v>
      </c>
      <c r="H15" s="3"/>
    </row>
    <row r="16" customFormat="false" ht="15" hidden="false" customHeight="false" outlineLevel="0" collapsed="false">
      <c r="A16" s="24" t="s">
        <v>188</v>
      </c>
      <c r="B16" s="3" t="s">
        <v>189</v>
      </c>
      <c r="C16" s="14" t="s">
        <v>173</v>
      </c>
      <c r="D16" s="12" t="n">
        <v>556</v>
      </c>
      <c r="E16" s="25" t="n">
        <v>0</v>
      </c>
      <c r="F16" s="26" t="s">
        <v>174</v>
      </c>
      <c r="G16" s="27" t="n">
        <f aca="false">IF(OR(F16="아니오",D16=""),1000000000,s_scale*D16*h_st/3)</f>
        <v>278</v>
      </c>
      <c r="H16" s="3"/>
    </row>
    <row r="17" customFormat="false" ht="15" hidden="false" customHeight="false" outlineLevel="0" collapsed="false">
      <c r="A17" s="24" t="s">
        <v>190</v>
      </c>
      <c r="B17" s="3" t="s">
        <v>189</v>
      </c>
      <c r="C17" s="14" t="s">
        <v>173</v>
      </c>
      <c r="D17" s="12" t="n">
        <v>472</v>
      </c>
      <c r="E17" s="25" t="n">
        <v>1</v>
      </c>
      <c r="F17" s="26" t="s">
        <v>174</v>
      </c>
      <c r="G17" s="27" t="n">
        <f aca="false">IF(OR(F17="아니오",D17=""),1000000000,s_scale*D17*h_st/3)</f>
        <v>236</v>
      </c>
      <c r="H17" s="3"/>
    </row>
    <row r="18" customFormat="false" ht="15" hidden="false" customHeight="false" outlineLevel="0" collapsed="false">
      <c r="A18" s="23" t="s">
        <v>191</v>
      </c>
    </row>
    <row r="19" customFormat="false" ht="15" hidden="false" customHeight="false" outlineLevel="0" collapsed="false">
      <c r="A19" s="28" t="s">
        <v>192</v>
      </c>
    </row>
    <row r="20" customFormat="false" ht="15" hidden="false" customHeight="false" outlineLevel="0" collapsed="false">
      <c r="A20" s="6" t="s">
        <v>157</v>
      </c>
      <c r="B20" s="6" t="s">
        <v>193</v>
      </c>
      <c r="C20" s="6" t="s">
        <v>158</v>
      </c>
      <c r="D20" s="6" t="s">
        <v>194</v>
      </c>
      <c r="E20" s="7" t="s">
        <v>195</v>
      </c>
      <c r="F20" s="7" t="s">
        <v>196</v>
      </c>
      <c r="G20" s="7" t="s">
        <v>197</v>
      </c>
      <c r="H20" s="6" t="s">
        <v>198</v>
      </c>
    </row>
    <row r="21" customFormat="false" ht="15" hidden="false" customHeight="false" outlineLevel="0" collapsed="false">
      <c r="A21" s="24" t="s">
        <v>199</v>
      </c>
      <c r="B21" s="3" t="s">
        <v>172</v>
      </c>
      <c r="C21" s="14" t="s">
        <v>173</v>
      </c>
      <c r="D21" s="14" t="n">
        <f aca="false">COUNTIFS($B$5:$B$17,B21,$F$5:$F$17,"예")</f>
        <v>3</v>
      </c>
      <c r="E21" s="14" t="n">
        <f aca="false">SUMIFS($E$5:$E$17,$B$5:$B$17,B21,$F$5:$F$17,"예")</f>
        <v>0</v>
      </c>
      <c r="F21" s="29" t="n">
        <f aca="false">(E21+0.5)/(D21+1)</f>
        <v>0.125</v>
      </c>
      <c r="G21" s="13" t="n">
        <f aca="false">IFERROR(AVERAGEIFS($D$5:$D$17,$B$5:$B$17,B21,$F$5:$F$17,"예"),"")</f>
        <v>968.5</v>
      </c>
      <c r="H21" s="4" t="s">
        <v>200</v>
      </c>
    </row>
    <row r="22" customFormat="false" ht="15" hidden="false" customHeight="false" outlineLevel="0" collapsed="false">
      <c r="A22" s="24" t="s">
        <v>201</v>
      </c>
      <c r="B22" s="3" t="s">
        <v>179</v>
      </c>
      <c r="C22" s="14" t="s">
        <v>166</v>
      </c>
      <c r="D22" s="14" t="n">
        <f aca="false">COUNTIFS($B$5:$B$17,B22,$F$5:$F$17,"예")</f>
        <v>2</v>
      </c>
      <c r="E22" s="14" t="n">
        <f aca="false">SUMIFS($E$5:$E$17,$B$5:$B$17,B22,$F$5:$F$17,"예")</f>
        <v>0</v>
      </c>
      <c r="F22" s="29" t="n">
        <f aca="false">(E22+0.5)/(D22+1)</f>
        <v>0.166666666666667</v>
      </c>
      <c r="G22" s="13" t="n">
        <f aca="false">IFERROR(AVERAGEIFS($D$5:$D$17,$B$5:$B$17,B22,$F$5:$F$17,"예"),"")</f>
        <v>30</v>
      </c>
      <c r="H22" s="4" t="s">
        <v>202</v>
      </c>
    </row>
    <row r="23" customFormat="false" ht="15" hidden="false" customHeight="false" outlineLevel="0" collapsed="false">
      <c r="A23" s="24" t="s">
        <v>203</v>
      </c>
      <c r="B23" s="3" t="s">
        <v>183</v>
      </c>
      <c r="C23" s="14" t="s">
        <v>173</v>
      </c>
      <c r="D23" s="14" t="n">
        <f aca="false">COUNTIFS($B$5:$B$17,B23,$F$5:$F$17,"예")</f>
        <v>2</v>
      </c>
      <c r="E23" s="14" t="n">
        <f aca="false">SUMIFS($E$5:$E$17,$B$5:$B$17,B23,$F$5:$F$17,"예")</f>
        <v>0</v>
      </c>
      <c r="F23" s="29" t="n">
        <f aca="false">(E23+0.5)/(D23+1)</f>
        <v>0.166666666666667</v>
      </c>
      <c r="G23" s="13" t="n">
        <f aca="false">IFERROR(AVERAGEIFS($D$5:$D$17,$B$5:$B$17,B23,$F$5:$F$17,"예"),"")</f>
        <v>1079.5</v>
      </c>
      <c r="H23" s="4" t="s">
        <v>204</v>
      </c>
    </row>
    <row r="24" customFormat="false" ht="15" hidden="false" customHeight="false" outlineLevel="0" collapsed="false">
      <c r="A24" s="24" t="s">
        <v>205</v>
      </c>
      <c r="B24" s="3" t="s">
        <v>186</v>
      </c>
      <c r="C24" s="14" t="s">
        <v>173</v>
      </c>
      <c r="D24" s="14" t="n">
        <f aca="false">COUNTIFS($B$5:$B$17,B24,$F$5:$F$17,"예")</f>
        <v>2</v>
      </c>
      <c r="E24" s="14" t="n">
        <f aca="false">SUMIFS($E$5:$E$17,$B$5:$B$17,B24,$F$5:$F$17,"예")</f>
        <v>2</v>
      </c>
      <c r="F24" s="29" t="n">
        <f aca="false">(E24+0.5)/(D24+1)</f>
        <v>0.833333333333333</v>
      </c>
      <c r="G24" s="13" t="n">
        <f aca="false">IFERROR(AVERAGEIFS($D$5:$D$17,$B$5:$B$17,B24,$F$5:$F$17,"예"),"")</f>
        <v>1350</v>
      </c>
      <c r="H24" s="4" t="s">
        <v>206</v>
      </c>
    </row>
    <row r="25" customFormat="false" ht="15" hidden="false" customHeight="false" outlineLevel="0" collapsed="false">
      <c r="A25" s="24" t="s">
        <v>207</v>
      </c>
      <c r="B25" s="3" t="s">
        <v>189</v>
      </c>
      <c r="C25" s="14" t="s">
        <v>173</v>
      </c>
      <c r="D25" s="14" t="n">
        <f aca="false">COUNTIFS($B$5:$B$17,B25,$F$5:$F$17,"예")</f>
        <v>2</v>
      </c>
      <c r="E25" s="14" t="n">
        <f aca="false">SUMIFS($E$5:$E$17,$B$5:$B$17,B25,$F$5:$F$17,"예")</f>
        <v>1</v>
      </c>
      <c r="F25" s="29" t="n">
        <f aca="false">(E25+0.5)/(D25+1)</f>
        <v>0.5</v>
      </c>
      <c r="G25" s="13" t="n">
        <f aca="false">IFERROR(AVERAGEIFS($D$5:$D$17,$B$5:$B$17,B25,$F$5:$F$17,"예"),"")</f>
        <v>514</v>
      </c>
      <c r="H25" s="4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60"/>
  </cols>
  <sheetData>
    <row r="1" customFormat="false" ht="19.4" hidden="false" customHeight="false" outlineLevel="0" collapsed="false">
      <c r="A1" s="1" t="s">
        <v>209</v>
      </c>
    </row>
    <row r="2" customFormat="false" ht="15" hidden="false" customHeight="false" outlineLevel="0" collapsed="false">
      <c r="A2" s="5" t="s">
        <v>210</v>
      </c>
    </row>
    <row r="4" customFormat="false" ht="15" hidden="false" customHeight="false" outlineLevel="0" collapsed="false">
      <c r="A4" s="6" t="s">
        <v>211</v>
      </c>
      <c r="B4" s="6" t="s">
        <v>212</v>
      </c>
      <c r="C4" s="6" t="s">
        <v>213</v>
      </c>
      <c r="D4" s="7" t="s">
        <v>214</v>
      </c>
      <c r="E4" s="7" t="s">
        <v>215</v>
      </c>
      <c r="F4" s="6" t="s">
        <v>216</v>
      </c>
    </row>
    <row r="5" customFormat="false" ht="15" hidden="false" customHeight="false" outlineLevel="0" collapsed="false">
      <c r="A5" s="9" t="s">
        <v>217</v>
      </c>
      <c r="B5" s="4" t="s">
        <v>218</v>
      </c>
      <c r="C5" s="14" t="s">
        <v>219</v>
      </c>
      <c r="D5" s="20" t="n">
        <f aca="false">lam_1*n_units</f>
        <v>0.012</v>
      </c>
      <c r="E5" s="20" t="n">
        <f aca="false">lam_1*n_units</f>
        <v>0.012</v>
      </c>
      <c r="F5" s="4" t="s">
        <v>220</v>
      </c>
    </row>
    <row r="6" customFormat="false" ht="15" hidden="false" customHeight="false" outlineLevel="0" collapsed="false">
      <c r="A6" s="9"/>
      <c r="B6" s="4" t="s">
        <v>221</v>
      </c>
      <c r="C6" s="14" t="s">
        <v>222</v>
      </c>
      <c r="D6" s="20" t="n">
        <f aca="false">D5*(1-p_spr)</f>
        <v>0.0012</v>
      </c>
      <c r="E6" s="20" t="n">
        <f aca="false">E5</f>
        <v>0.012</v>
      </c>
      <c r="F6" s="4" t="s">
        <v>223</v>
      </c>
    </row>
    <row r="7" customFormat="false" ht="15" hidden="false" customHeight="false" outlineLevel="0" collapsed="false">
      <c r="A7" s="9"/>
      <c r="B7" s="4" t="s">
        <v>224</v>
      </c>
      <c r="C7" s="14" t="s">
        <v>74</v>
      </c>
      <c r="D7" s="20" t="n">
        <f aca="false">D6*p_fo</f>
        <v>0.00018</v>
      </c>
      <c r="E7" s="20" t="n">
        <f aca="false">E6*p_fo</f>
        <v>0.0018</v>
      </c>
      <c r="F7" s="3"/>
    </row>
    <row r="8" customFormat="false" ht="15" hidden="false" customHeight="false" outlineLevel="0" collapsed="false">
      <c r="A8" s="9"/>
      <c r="B8" s="2" t="s">
        <v>225</v>
      </c>
      <c r="C8" s="14" t="s">
        <v>78</v>
      </c>
      <c r="D8" s="30" t="n">
        <f aca="false">D7*p_vent</f>
        <v>0.000126</v>
      </c>
      <c r="E8" s="30" t="n">
        <f aca="false">E7*p_vent</f>
        <v>0.00126</v>
      </c>
      <c r="F8" s="4" t="s">
        <v>226</v>
      </c>
    </row>
    <row r="9" customFormat="false" ht="15" hidden="false" customHeight="false" outlineLevel="0" collapsed="false">
      <c r="A9" s="9"/>
      <c r="B9" s="4" t="s">
        <v>227</v>
      </c>
      <c r="C9" s="14" t="s">
        <v>84</v>
      </c>
      <c r="D9" s="20" t="n">
        <f aca="false">D8*p_exp0</f>
        <v>0.0001134</v>
      </c>
      <c r="E9" s="20" t="n">
        <f aca="false">E8*p_exp0</f>
        <v>0.001134</v>
      </c>
      <c r="F9" s="4" t="s">
        <v>228</v>
      </c>
    </row>
    <row r="10" customFormat="false" ht="15" hidden="false" customHeight="false" outlineLevel="0" collapsed="false">
      <c r="A10" s="9"/>
      <c r="B10" s="4" t="s">
        <v>229</v>
      </c>
      <c r="C10" s="14" t="s">
        <v>230</v>
      </c>
      <c r="D10" s="20" t="n">
        <f aca="false">D8*(1-p_exp0)</f>
        <v>1.26E-005</v>
      </c>
      <c r="E10" s="20" t="n">
        <f aca="false">E8*(1-p_exp0)</f>
        <v>0.000126</v>
      </c>
      <c r="F10" s="4" t="s">
        <v>231</v>
      </c>
    </row>
    <row r="11" customFormat="false" ht="15" hidden="false" customHeight="false" outlineLevel="0" collapsed="false">
      <c r="A11" s="9"/>
      <c r="B11" s="4" t="s">
        <v>232</v>
      </c>
      <c r="C11" s="14" t="s">
        <v>87</v>
      </c>
      <c r="D11" s="20" t="n">
        <f aca="false">D8*p_exp1</f>
        <v>3.78E-005</v>
      </c>
      <c r="E11" s="20" t="n">
        <f aca="false">E8*p_exp1</f>
        <v>0.000378</v>
      </c>
      <c r="F11" s="4" t="s">
        <v>233</v>
      </c>
    </row>
    <row r="12" customFormat="false" ht="15" hidden="false" customHeight="false" outlineLevel="0" collapsed="false">
      <c r="A12" s="9"/>
      <c r="B12" s="4" t="s">
        <v>234</v>
      </c>
      <c r="C12" s="14" t="s">
        <v>235</v>
      </c>
      <c r="D12" s="20" t="n">
        <f aca="false">D8*(1-p_exp1)</f>
        <v>8.82E-005</v>
      </c>
      <c r="E12" s="20" t="n">
        <f aca="false">E8*(1-p_exp1)</f>
        <v>0.000882</v>
      </c>
      <c r="F12" s="3"/>
    </row>
    <row r="13" customFormat="false" ht="15" hidden="false" customHeight="false" outlineLevel="0" collapsed="false">
      <c r="A13" s="9" t="s">
        <v>236</v>
      </c>
      <c r="B13" s="4" t="s">
        <v>237</v>
      </c>
      <c r="C13" s="14" t="s">
        <v>62</v>
      </c>
      <c r="D13" s="20" t="n">
        <f aca="false">lam_2</f>
        <v>0.002</v>
      </c>
      <c r="E13" s="20" t="n">
        <f aca="false">lam_2</f>
        <v>0.002</v>
      </c>
      <c r="F13" s="4" t="s">
        <v>238</v>
      </c>
    </row>
    <row r="14" customFormat="false" ht="15" hidden="false" customHeight="false" outlineLevel="0" collapsed="false">
      <c r="A14" s="9"/>
      <c r="B14" s="2" t="s">
        <v>239</v>
      </c>
      <c r="C14" s="14" t="s">
        <v>81</v>
      </c>
      <c r="D14" s="30" t="n">
        <f aca="false">D13*p_x2</f>
        <v>0.0006</v>
      </c>
      <c r="E14" s="30" t="n">
        <f aca="false">E13*p_x2</f>
        <v>0.0006</v>
      </c>
      <c r="F14" s="4" t="s">
        <v>240</v>
      </c>
    </row>
    <row r="15" customFormat="false" ht="15" hidden="false" customHeight="false" outlineLevel="0" collapsed="false">
      <c r="A15" s="9"/>
      <c r="B15" s="4" t="s">
        <v>227</v>
      </c>
      <c r="C15" s="14" t="s">
        <v>84</v>
      </c>
      <c r="D15" s="20" t="n">
        <f aca="false">D14*p_exp0</f>
        <v>0.00054</v>
      </c>
      <c r="E15" s="20" t="n">
        <f aca="false">E14*p_exp0</f>
        <v>0.00054</v>
      </c>
      <c r="F15" s="4" t="s">
        <v>241</v>
      </c>
    </row>
    <row r="16" customFormat="false" ht="15" hidden="false" customHeight="false" outlineLevel="0" collapsed="false">
      <c r="A16" s="9"/>
      <c r="B16" s="4" t="s">
        <v>229</v>
      </c>
      <c r="C16" s="14" t="s">
        <v>230</v>
      </c>
      <c r="D16" s="20" t="n">
        <f aca="false">D14*(1-p_exp0)</f>
        <v>6E-005</v>
      </c>
      <c r="E16" s="20" t="n">
        <f aca="false">E14*(1-p_exp0)</f>
        <v>6E-005</v>
      </c>
      <c r="F16" s="4" t="s">
        <v>242</v>
      </c>
    </row>
    <row r="17" customFormat="false" ht="15" hidden="false" customHeight="false" outlineLevel="0" collapsed="false">
      <c r="A17" s="9"/>
      <c r="B17" s="4" t="s">
        <v>232</v>
      </c>
      <c r="C17" s="14" t="s">
        <v>87</v>
      </c>
      <c r="D17" s="20" t="n">
        <f aca="false">D14*p_exp1</f>
        <v>0.00018</v>
      </c>
      <c r="E17" s="20" t="n">
        <f aca="false">E14*p_exp1</f>
        <v>0.00018</v>
      </c>
      <c r="F17" s="3"/>
    </row>
    <row r="18" customFormat="false" ht="15" hidden="false" customHeight="false" outlineLevel="0" collapsed="false">
      <c r="A18" s="9"/>
      <c r="B18" s="4" t="s">
        <v>234</v>
      </c>
      <c r="C18" s="14" t="s">
        <v>235</v>
      </c>
      <c r="D18" s="20" t="n">
        <f aca="false">D14*(1-p_exp1)</f>
        <v>0.00042</v>
      </c>
      <c r="E18" s="20" t="n">
        <f aca="false">E14*(1-p_exp1)</f>
        <v>0.00042</v>
      </c>
      <c r="F18" s="3"/>
    </row>
    <row r="20" customFormat="false" ht="15" hidden="false" customHeight="false" outlineLevel="0" collapsed="false">
      <c r="A20" s="5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6" min="3" style="0" width="9"/>
    <col collapsed="false" customWidth="true" hidden="false" outlineLevel="0" max="8" min="7" style="0" width="10"/>
    <col collapsed="false" customWidth="true" hidden="false" outlineLevel="0" max="12" min="9" style="0" width="9"/>
    <col collapsed="false" customWidth="true" hidden="false" outlineLevel="0" max="14" min="13" style="0" width="12"/>
    <col collapsed="false" customWidth="true" hidden="false" outlineLevel="0" max="60" min="15" style="0" width="9"/>
  </cols>
  <sheetData>
    <row r="1" customFormat="false" ht="19.4" hidden="false" customHeight="false" outlineLevel="0" collapsed="false">
      <c r="A1" s="22" t="s">
        <v>244</v>
      </c>
    </row>
    <row r="2" customFormat="false" ht="15" hidden="false" customHeight="false" outlineLevel="0" collapsed="false">
      <c r="A2" s="23" t="s">
        <v>245</v>
      </c>
    </row>
    <row r="4" customFormat="false" ht="26.85" hidden="false" customHeight="false" outlineLevel="0" collapsed="false">
      <c r="A4" s="24" t="s">
        <v>246</v>
      </c>
      <c r="B4" s="25" t="n">
        <v>1</v>
      </c>
      <c r="C4" s="25" t="n">
        <v>2</v>
      </c>
      <c r="D4" s="25" t="n">
        <v>3</v>
      </c>
      <c r="E4" s="25" t="n">
        <v>4</v>
      </c>
      <c r="F4" s="25" t="n">
        <v>5</v>
      </c>
      <c r="G4" s="25" t="n">
        <v>6</v>
      </c>
      <c r="H4" s="25" t="n">
        <v>7</v>
      </c>
      <c r="I4" s="25" t="n">
        <v>8</v>
      </c>
      <c r="J4" s="25" t="n">
        <v>9</v>
      </c>
      <c r="K4" s="25" t="n">
        <v>10</v>
      </c>
      <c r="L4" s="25" t="n">
        <v>11</v>
      </c>
      <c r="M4" s="25" t="n">
        <v>12</v>
      </c>
      <c r="N4" s="25" t="n">
        <v>13</v>
      </c>
      <c r="O4" s="25" t="n">
        <v>14</v>
      </c>
      <c r="P4" s="25" t="n">
        <v>15</v>
      </c>
      <c r="Q4" s="25" t="n">
        <v>16</v>
      </c>
      <c r="R4" s="25" t="n">
        <v>17</v>
      </c>
      <c r="S4" s="25" t="n">
        <v>18</v>
      </c>
      <c r="T4" s="25" t="n">
        <v>19</v>
      </c>
      <c r="U4" s="25" t="n">
        <v>20</v>
      </c>
      <c r="V4" s="25" t="n">
        <v>21</v>
      </c>
      <c r="W4" s="25" t="n">
        <v>22</v>
      </c>
      <c r="X4" s="25" t="n">
        <v>23</v>
      </c>
      <c r="Y4" s="25" t="n">
        <v>24</v>
      </c>
      <c r="Z4" s="25" t="n">
        <v>25</v>
      </c>
      <c r="AA4" s="25" t="n">
        <v>26</v>
      </c>
      <c r="AB4" s="25" t="n">
        <v>27</v>
      </c>
      <c r="AC4" s="25" t="n">
        <v>28</v>
      </c>
      <c r="AD4" s="25" t="n">
        <v>29</v>
      </c>
      <c r="AE4" s="25" t="n">
        <v>30</v>
      </c>
      <c r="AF4" s="25" t="n">
        <v>31</v>
      </c>
      <c r="AG4" s="25" t="n">
        <v>32</v>
      </c>
      <c r="AH4" s="25" t="n">
        <v>33</v>
      </c>
      <c r="AI4" s="25" t="n">
        <v>34</v>
      </c>
      <c r="AJ4" s="25" t="n">
        <v>35</v>
      </c>
      <c r="AK4" s="25" t="n">
        <v>36</v>
      </c>
      <c r="AL4" s="25" t="n">
        <v>37</v>
      </c>
      <c r="AM4" s="25" t="n">
        <v>38</v>
      </c>
      <c r="AN4" s="25" t="n">
        <v>39</v>
      </c>
      <c r="AO4" s="25" t="n">
        <v>40</v>
      </c>
      <c r="AP4" s="25" t="n">
        <v>41</v>
      </c>
      <c r="AQ4" s="25" t="n">
        <v>42</v>
      </c>
      <c r="AR4" s="25" t="n">
        <v>43</v>
      </c>
      <c r="AS4" s="25" t="n">
        <v>44</v>
      </c>
      <c r="AT4" s="25" t="n">
        <v>45</v>
      </c>
      <c r="AU4" s="25" t="n">
        <v>46</v>
      </c>
      <c r="AV4" s="25" t="n">
        <v>47</v>
      </c>
      <c r="AW4" s="25" t="n">
        <v>48</v>
      </c>
      <c r="AX4" s="25" t="n">
        <v>49</v>
      </c>
      <c r="AY4" s="25" t="n">
        <v>50</v>
      </c>
      <c r="AZ4" s="25" t="n">
        <v>51</v>
      </c>
      <c r="BA4" s="25" t="n">
        <v>52</v>
      </c>
      <c r="BB4" s="25" t="n">
        <v>53</v>
      </c>
      <c r="BC4" s="25" t="n">
        <v>54</v>
      </c>
      <c r="BD4" s="25" t="n">
        <v>55</v>
      </c>
      <c r="BE4" s="25" t="n">
        <v>56</v>
      </c>
      <c r="BF4" s="25" t="n">
        <v>57</v>
      </c>
      <c r="BG4" s="25" t="n">
        <v>58</v>
      </c>
      <c r="BH4" s="25" t="n">
        <v>59</v>
      </c>
    </row>
    <row r="5" customFormat="false" ht="15" hidden="false" customHeight="false" outlineLevel="0" collapsed="false">
      <c r="A5" s="24" t="s">
        <v>247</v>
      </c>
      <c r="B5" s="31" t="n">
        <f aca="false">IF(B4&lt;N_st,(N_st-B4)/N_st,0)</f>
        <v>0.933333333333333</v>
      </c>
      <c r="C5" s="31" t="n">
        <f aca="false">IF(C4&lt;N_st,(N_st-C4)/N_st,0)</f>
        <v>0.866666666666667</v>
      </c>
      <c r="D5" s="31" t="n">
        <f aca="false">IF(D4&lt;N_st,(N_st-D4)/N_st,0)</f>
        <v>0.8</v>
      </c>
      <c r="E5" s="31" t="n">
        <f aca="false">IF(E4&lt;N_st,(N_st-E4)/N_st,0)</f>
        <v>0.733333333333333</v>
      </c>
      <c r="F5" s="31" t="n">
        <f aca="false">IF(F4&lt;N_st,(N_st-F4)/N_st,0)</f>
        <v>0.666666666666667</v>
      </c>
      <c r="G5" s="31" t="n">
        <f aca="false">IF(G4&lt;N_st,(N_st-G4)/N_st,0)</f>
        <v>0.6</v>
      </c>
      <c r="H5" s="31" t="n">
        <f aca="false">IF(H4&lt;N_st,(N_st-H4)/N_st,0)</f>
        <v>0.533333333333333</v>
      </c>
      <c r="I5" s="31" t="n">
        <f aca="false">IF(I4&lt;N_st,(N_st-I4)/N_st,0)</f>
        <v>0.466666666666667</v>
      </c>
      <c r="J5" s="31" t="n">
        <f aca="false">IF(J4&lt;N_st,(N_st-J4)/N_st,0)</f>
        <v>0.4</v>
      </c>
      <c r="K5" s="31" t="n">
        <f aca="false">IF(K4&lt;N_st,(N_st-K4)/N_st,0)</f>
        <v>0.333333333333333</v>
      </c>
      <c r="L5" s="31" t="n">
        <f aca="false">IF(L4&lt;N_st,(N_st-L4)/N_st,0)</f>
        <v>0.266666666666667</v>
      </c>
      <c r="M5" s="31" t="n">
        <f aca="false">IF(M4&lt;N_st,(N_st-M4)/N_st,0)</f>
        <v>0.2</v>
      </c>
      <c r="N5" s="31" t="n">
        <f aca="false">IF(N4&lt;N_st,(N_st-N4)/N_st,0)</f>
        <v>0.133333333333333</v>
      </c>
      <c r="O5" s="31" t="n">
        <f aca="false">IF(O4&lt;N_st,(N_st-O4)/N_st,0)</f>
        <v>0.0666666666666667</v>
      </c>
      <c r="P5" s="31" t="n">
        <f aca="false">IF(P4&lt;N_st,(N_st-P4)/N_st,0)</f>
        <v>0</v>
      </c>
      <c r="Q5" s="31" t="n">
        <f aca="false">IF(Q4&lt;N_st,(N_st-Q4)/N_st,0)</f>
        <v>0</v>
      </c>
      <c r="R5" s="31" t="n">
        <f aca="false">IF(R4&lt;N_st,(N_st-R4)/N_st,0)</f>
        <v>0</v>
      </c>
      <c r="S5" s="31" t="n">
        <f aca="false">IF(S4&lt;N_st,(N_st-S4)/N_st,0)</f>
        <v>0</v>
      </c>
      <c r="T5" s="31" t="n">
        <f aca="false">IF(T4&lt;N_st,(N_st-T4)/N_st,0)</f>
        <v>0</v>
      </c>
      <c r="U5" s="31" t="n">
        <f aca="false">IF(U4&lt;N_st,(N_st-U4)/N_st,0)</f>
        <v>0</v>
      </c>
      <c r="V5" s="31" t="n">
        <f aca="false">IF(V4&lt;N_st,(N_st-V4)/N_st,0)</f>
        <v>0</v>
      </c>
      <c r="W5" s="31" t="n">
        <f aca="false">IF(W4&lt;N_st,(N_st-W4)/N_st,0)</f>
        <v>0</v>
      </c>
      <c r="X5" s="31" t="n">
        <f aca="false">IF(X4&lt;N_st,(N_st-X4)/N_st,0)</f>
        <v>0</v>
      </c>
      <c r="Y5" s="31" t="n">
        <f aca="false">IF(Y4&lt;N_st,(N_st-Y4)/N_st,0)</f>
        <v>0</v>
      </c>
      <c r="Z5" s="31" t="n">
        <f aca="false">IF(Z4&lt;N_st,(N_st-Z4)/N_st,0)</f>
        <v>0</v>
      </c>
      <c r="AA5" s="31" t="n">
        <f aca="false">IF(AA4&lt;N_st,(N_st-AA4)/N_st,0)</f>
        <v>0</v>
      </c>
      <c r="AB5" s="31" t="n">
        <f aca="false">IF(AB4&lt;N_st,(N_st-AB4)/N_st,0)</f>
        <v>0</v>
      </c>
      <c r="AC5" s="31" t="n">
        <f aca="false">IF(AC4&lt;N_st,(N_st-AC4)/N_st,0)</f>
        <v>0</v>
      </c>
      <c r="AD5" s="31" t="n">
        <f aca="false">IF(AD4&lt;N_st,(N_st-AD4)/N_st,0)</f>
        <v>0</v>
      </c>
      <c r="AE5" s="31" t="n">
        <f aca="false">IF(AE4&lt;N_st,(N_st-AE4)/N_st,0)</f>
        <v>0</v>
      </c>
      <c r="AF5" s="31" t="n">
        <f aca="false">IF(AF4&lt;N_st,(N_st-AF4)/N_st,0)</f>
        <v>0</v>
      </c>
      <c r="AG5" s="31" t="n">
        <f aca="false">IF(AG4&lt;N_st,(N_st-AG4)/N_st,0)</f>
        <v>0</v>
      </c>
      <c r="AH5" s="31" t="n">
        <f aca="false">IF(AH4&lt;N_st,(N_st-AH4)/N_st,0)</f>
        <v>0</v>
      </c>
      <c r="AI5" s="31" t="n">
        <f aca="false">IF(AI4&lt;N_st,(N_st-AI4)/N_st,0)</f>
        <v>0</v>
      </c>
      <c r="AJ5" s="31" t="n">
        <f aca="false">IF(AJ4&lt;N_st,(N_st-AJ4)/N_st,0)</f>
        <v>0</v>
      </c>
      <c r="AK5" s="31" t="n">
        <f aca="false">IF(AK4&lt;N_st,(N_st-AK4)/N_st,0)</f>
        <v>0</v>
      </c>
      <c r="AL5" s="31" t="n">
        <f aca="false">IF(AL4&lt;N_st,(N_st-AL4)/N_st,0)</f>
        <v>0</v>
      </c>
      <c r="AM5" s="31" t="n">
        <f aca="false">IF(AM4&lt;N_st,(N_st-AM4)/N_st,0)</f>
        <v>0</v>
      </c>
      <c r="AN5" s="31" t="n">
        <f aca="false">IF(AN4&lt;N_st,(N_st-AN4)/N_st,0)</f>
        <v>0</v>
      </c>
      <c r="AO5" s="31" t="n">
        <f aca="false">IF(AO4&lt;N_st,(N_st-AO4)/N_st,0)</f>
        <v>0</v>
      </c>
      <c r="AP5" s="31" t="n">
        <f aca="false">IF(AP4&lt;N_st,(N_st-AP4)/N_st,0)</f>
        <v>0</v>
      </c>
      <c r="AQ5" s="31" t="n">
        <f aca="false">IF(AQ4&lt;N_st,(N_st-AQ4)/N_st,0)</f>
        <v>0</v>
      </c>
      <c r="AR5" s="31" t="n">
        <f aca="false">IF(AR4&lt;N_st,(N_st-AR4)/N_st,0)</f>
        <v>0</v>
      </c>
      <c r="AS5" s="31" t="n">
        <f aca="false">IF(AS4&lt;N_st,(N_st-AS4)/N_st,0)</f>
        <v>0</v>
      </c>
      <c r="AT5" s="31" t="n">
        <f aca="false">IF(AT4&lt;N_st,(N_st-AT4)/N_st,0)</f>
        <v>0</v>
      </c>
      <c r="AU5" s="31" t="n">
        <f aca="false">IF(AU4&lt;N_st,(N_st-AU4)/N_st,0)</f>
        <v>0</v>
      </c>
      <c r="AV5" s="31" t="n">
        <f aca="false">IF(AV4&lt;N_st,(N_st-AV4)/N_st,0)</f>
        <v>0</v>
      </c>
      <c r="AW5" s="31" t="n">
        <f aca="false">IF(AW4&lt;N_st,(N_st-AW4)/N_st,0)</f>
        <v>0</v>
      </c>
      <c r="AX5" s="31" t="n">
        <f aca="false">IF(AX4&lt;N_st,(N_st-AX4)/N_st,0)</f>
        <v>0</v>
      </c>
      <c r="AY5" s="31" t="n">
        <f aca="false">IF(AY4&lt;N_st,(N_st-AY4)/N_st,0)</f>
        <v>0</v>
      </c>
      <c r="AZ5" s="31" t="n">
        <f aca="false">IF(AZ4&lt;N_st,(N_st-AZ4)/N_st,0)</f>
        <v>0</v>
      </c>
      <c r="BA5" s="31" t="n">
        <f aca="false">IF(BA4&lt;N_st,(N_st-BA4)/N_st,0)</f>
        <v>0</v>
      </c>
      <c r="BB5" s="31" t="n">
        <f aca="false">IF(BB4&lt;N_st,(N_st-BB4)/N_st,0)</f>
        <v>0</v>
      </c>
      <c r="BC5" s="31" t="n">
        <f aca="false">IF(BC4&lt;N_st,(N_st-BC4)/N_st,0)</f>
        <v>0</v>
      </c>
      <c r="BD5" s="31" t="n">
        <f aca="false">IF(BD4&lt;N_st,(N_st-BD4)/N_st,0)</f>
        <v>0</v>
      </c>
      <c r="BE5" s="31" t="n">
        <f aca="false">IF(BE4&lt;N_st,(N_st-BE4)/N_st,0)</f>
        <v>0</v>
      </c>
      <c r="BF5" s="31" t="n">
        <f aca="false">IF(BF4&lt;N_st,(N_st-BF4)/N_st,0)</f>
        <v>0</v>
      </c>
      <c r="BG5" s="31" t="n">
        <f aca="false">IF(BG4&lt;N_st,(N_st-BG4)/N_st,0)</f>
        <v>0</v>
      </c>
      <c r="BH5" s="31" t="n">
        <f aca="false">IF(BH4&lt;N_st,(N_st-BH4)/N_st,0)</f>
        <v>0</v>
      </c>
    </row>
    <row r="6" customFormat="false" ht="15" hidden="false" customHeight="false" outlineLevel="0" collapsed="false">
      <c r="A6" s="24" t="s">
        <v>248</v>
      </c>
      <c r="B6" s="14" t="n">
        <f aca="false">IF(B4&lt;N_st,1,0)</f>
        <v>1</v>
      </c>
      <c r="C6" s="14" t="n">
        <f aca="false">IF(C4&lt;N_st,1,0)</f>
        <v>1</v>
      </c>
      <c r="D6" s="14" t="n">
        <f aca="false">IF(D4&lt;N_st,1,0)</f>
        <v>1</v>
      </c>
      <c r="E6" s="14" t="n">
        <f aca="false">IF(E4&lt;N_st,1,0)</f>
        <v>1</v>
      </c>
      <c r="F6" s="14" t="n">
        <f aca="false">IF(F4&lt;N_st,1,0)</f>
        <v>1</v>
      </c>
      <c r="G6" s="14" t="n">
        <f aca="false">IF(G4&lt;N_st,1,0)</f>
        <v>1</v>
      </c>
      <c r="H6" s="14" t="n">
        <f aca="false">IF(H4&lt;N_st,1,0)</f>
        <v>1</v>
      </c>
      <c r="I6" s="14" t="n">
        <f aca="false">IF(I4&lt;N_st,1,0)</f>
        <v>1</v>
      </c>
      <c r="J6" s="14" t="n">
        <f aca="false">IF(J4&lt;N_st,1,0)</f>
        <v>1</v>
      </c>
      <c r="K6" s="14" t="n">
        <f aca="false">IF(K4&lt;N_st,1,0)</f>
        <v>1</v>
      </c>
      <c r="L6" s="14" t="n">
        <f aca="false">IF(L4&lt;N_st,1,0)</f>
        <v>1</v>
      </c>
      <c r="M6" s="14" t="n">
        <f aca="false">IF(M4&lt;N_st,1,0)</f>
        <v>1</v>
      </c>
      <c r="N6" s="14" t="n">
        <f aca="false">IF(N4&lt;N_st,1,0)</f>
        <v>1</v>
      </c>
      <c r="O6" s="14" t="n">
        <f aca="false">IF(O4&lt;N_st,1,0)</f>
        <v>1</v>
      </c>
      <c r="P6" s="14" t="n">
        <f aca="false">IF(P4&lt;N_st,1,0)</f>
        <v>0</v>
      </c>
      <c r="Q6" s="14" t="n">
        <f aca="false">IF(Q4&lt;N_st,1,0)</f>
        <v>0</v>
      </c>
      <c r="R6" s="14" t="n">
        <f aca="false">IF(R4&lt;N_st,1,0)</f>
        <v>0</v>
      </c>
      <c r="S6" s="14" t="n">
        <f aca="false">IF(S4&lt;N_st,1,0)</f>
        <v>0</v>
      </c>
      <c r="T6" s="14" t="n">
        <f aca="false">IF(T4&lt;N_st,1,0)</f>
        <v>0</v>
      </c>
      <c r="U6" s="14" t="n">
        <f aca="false">IF(U4&lt;N_st,1,0)</f>
        <v>0</v>
      </c>
      <c r="V6" s="14" t="n">
        <f aca="false">IF(V4&lt;N_st,1,0)</f>
        <v>0</v>
      </c>
      <c r="W6" s="14" t="n">
        <f aca="false">IF(W4&lt;N_st,1,0)</f>
        <v>0</v>
      </c>
      <c r="X6" s="14" t="n">
        <f aca="false">IF(X4&lt;N_st,1,0)</f>
        <v>0</v>
      </c>
      <c r="Y6" s="14" t="n">
        <f aca="false">IF(Y4&lt;N_st,1,0)</f>
        <v>0</v>
      </c>
      <c r="Z6" s="14" t="n">
        <f aca="false">IF(Z4&lt;N_st,1,0)</f>
        <v>0</v>
      </c>
      <c r="AA6" s="14" t="n">
        <f aca="false">IF(AA4&lt;N_st,1,0)</f>
        <v>0</v>
      </c>
      <c r="AB6" s="14" t="n">
        <f aca="false">IF(AB4&lt;N_st,1,0)</f>
        <v>0</v>
      </c>
      <c r="AC6" s="14" t="n">
        <f aca="false">IF(AC4&lt;N_st,1,0)</f>
        <v>0</v>
      </c>
      <c r="AD6" s="14" t="n">
        <f aca="false">IF(AD4&lt;N_st,1,0)</f>
        <v>0</v>
      </c>
      <c r="AE6" s="14" t="n">
        <f aca="false">IF(AE4&lt;N_st,1,0)</f>
        <v>0</v>
      </c>
      <c r="AF6" s="14" t="n">
        <f aca="false">IF(AF4&lt;N_st,1,0)</f>
        <v>0</v>
      </c>
      <c r="AG6" s="14" t="n">
        <f aca="false">IF(AG4&lt;N_st,1,0)</f>
        <v>0</v>
      </c>
      <c r="AH6" s="14" t="n">
        <f aca="false">IF(AH4&lt;N_st,1,0)</f>
        <v>0</v>
      </c>
      <c r="AI6" s="14" t="n">
        <f aca="false">IF(AI4&lt;N_st,1,0)</f>
        <v>0</v>
      </c>
      <c r="AJ6" s="14" t="n">
        <f aca="false">IF(AJ4&lt;N_st,1,0)</f>
        <v>0</v>
      </c>
      <c r="AK6" s="14" t="n">
        <f aca="false">IF(AK4&lt;N_st,1,0)</f>
        <v>0</v>
      </c>
      <c r="AL6" s="14" t="n">
        <f aca="false">IF(AL4&lt;N_st,1,0)</f>
        <v>0</v>
      </c>
      <c r="AM6" s="14" t="n">
        <f aca="false">IF(AM4&lt;N_st,1,0)</f>
        <v>0</v>
      </c>
      <c r="AN6" s="14" t="n">
        <f aca="false">IF(AN4&lt;N_st,1,0)</f>
        <v>0</v>
      </c>
      <c r="AO6" s="14" t="n">
        <f aca="false">IF(AO4&lt;N_st,1,0)</f>
        <v>0</v>
      </c>
      <c r="AP6" s="14" t="n">
        <f aca="false">IF(AP4&lt;N_st,1,0)</f>
        <v>0</v>
      </c>
      <c r="AQ6" s="14" t="n">
        <f aca="false">IF(AQ4&lt;N_st,1,0)</f>
        <v>0</v>
      </c>
      <c r="AR6" s="14" t="n">
        <f aca="false">IF(AR4&lt;N_st,1,0)</f>
        <v>0</v>
      </c>
      <c r="AS6" s="14" t="n">
        <f aca="false">IF(AS4&lt;N_st,1,0)</f>
        <v>0</v>
      </c>
      <c r="AT6" s="14" t="n">
        <f aca="false">IF(AT4&lt;N_st,1,0)</f>
        <v>0</v>
      </c>
      <c r="AU6" s="14" t="n">
        <f aca="false">IF(AU4&lt;N_st,1,0)</f>
        <v>0</v>
      </c>
      <c r="AV6" s="14" t="n">
        <f aca="false">IF(AV4&lt;N_st,1,0)</f>
        <v>0</v>
      </c>
      <c r="AW6" s="14" t="n">
        <f aca="false">IF(AW4&lt;N_st,1,0)</f>
        <v>0</v>
      </c>
      <c r="AX6" s="14" t="n">
        <f aca="false">IF(AX4&lt;N_st,1,0)</f>
        <v>0</v>
      </c>
      <c r="AY6" s="14" t="n">
        <f aca="false">IF(AY4&lt;N_st,1,0)</f>
        <v>0</v>
      </c>
      <c r="AZ6" s="14" t="n">
        <f aca="false">IF(AZ4&lt;N_st,1,0)</f>
        <v>0</v>
      </c>
      <c r="BA6" s="14" t="n">
        <f aca="false">IF(BA4&lt;N_st,1,0)</f>
        <v>0</v>
      </c>
      <c r="BB6" s="14" t="n">
        <f aca="false">IF(BB4&lt;N_st,1,0)</f>
        <v>0</v>
      </c>
      <c r="BC6" s="14" t="n">
        <f aca="false">IF(BC4&lt;N_st,1,0)</f>
        <v>0</v>
      </c>
      <c r="BD6" s="14" t="n">
        <f aca="false">IF(BD4&lt;N_st,1,0)</f>
        <v>0</v>
      </c>
      <c r="BE6" s="14" t="n">
        <f aca="false">IF(BE4&lt;N_st,1,0)</f>
        <v>0</v>
      </c>
      <c r="BF6" s="14" t="n">
        <f aca="false">IF(BF4&lt;N_st,1,0)</f>
        <v>0</v>
      </c>
      <c r="BG6" s="14" t="n">
        <f aca="false">IF(BG4&lt;N_st,1,0)</f>
        <v>0</v>
      </c>
      <c r="BH6" s="14" t="n">
        <f aca="false">IF(BH4&lt;N_st,1,0)</f>
        <v>0</v>
      </c>
    </row>
    <row r="8" customFormat="false" ht="15" hidden="false" customHeight="false" outlineLevel="0" collapsed="false">
      <c r="A8" s="5" t="s">
        <v>249</v>
      </c>
      <c r="O8" s="25" t="n">
        <v>1</v>
      </c>
      <c r="P8" s="25" t="n">
        <v>2</v>
      </c>
      <c r="Q8" s="25" t="n">
        <v>3</v>
      </c>
      <c r="R8" s="25" t="n">
        <v>4</v>
      </c>
      <c r="S8" s="25" t="n">
        <v>5</v>
      </c>
      <c r="T8" s="25" t="n">
        <v>6</v>
      </c>
      <c r="U8" s="25" t="n">
        <v>7</v>
      </c>
      <c r="V8" s="25" t="n">
        <v>8</v>
      </c>
      <c r="W8" s="25" t="n">
        <v>9</v>
      </c>
      <c r="X8" s="25" t="n">
        <v>10</v>
      </c>
      <c r="Y8" s="25" t="n">
        <v>11</v>
      </c>
      <c r="Z8" s="25" t="n">
        <v>12</v>
      </c>
      <c r="AA8" s="25" t="n">
        <v>13</v>
      </c>
      <c r="AB8" s="25" t="n">
        <v>14</v>
      </c>
      <c r="AC8" s="25" t="n">
        <v>15</v>
      </c>
      <c r="AD8" s="25" t="n">
        <v>16</v>
      </c>
      <c r="AE8" s="25" t="n">
        <v>17</v>
      </c>
      <c r="AF8" s="25" t="n">
        <v>18</v>
      </c>
      <c r="AG8" s="25" t="n">
        <v>19</v>
      </c>
      <c r="AH8" s="25" t="n">
        <v>20</v>
      </c>
    </row>
    <row r="9" customFormat="false" ht="25.35" hidden="false" customHeight="false" outlineLevel="0" collapsed="false">
      <c r="A9" s="6" t="s">
        <v>157</v>
      </c>
      <c r="B9" s="6" t="s">
        <v>156</v>
      </c>
      <c r="C9" s="6" t="s">
        <v>250</v>
      </c>
      <c r="D9" s="6" t="s">
        <v>251</v>
      </c>
      <c r="E9" s="7" t="s">
        <v>252</v>
      </c>
      <c r="F9" s="6" t="s">
        <v>253</v>
      </c>
      <c r="G9" s="7" t="s">
        <v>254</v>
      </c>
      <c r="H9" s="7" t="s">
        <v>255</v>
      </c>
      <c r="I9" s="7" t="s">
        <v>256</v>
      </c>
      <c r="J9" s="7" t="s">
        <v>257</v>
      </c>
      <c r="K9" s="7" t="s">
        <v>258</v>
      </c>
      <c r="L9" s="7" t="s">
        <v>259</v>
      </c>
      <c r="M9" s="7" t="s">
        <v>260</v>
      </c>
      <c r="N9" s="7" t="s">
        <v>261</v>
      </c>
      <c r="O9" s="7" t="s">
        <v>262</v>
      </c>
      <c r="P9" s="7" t="s">
        <v>263</v>
      </c>
      <c r="Q9" s="7" t="s">
        <v>264</v>
      </c>
      <c r="R9" s="7" t="s">
        <v>265</v>
      </c>
      <c r="S9" s="7" t="s">
        <v>266</v>
      </c>
      <c r="T9" s="7" t="s">
        <v>267</v>
      </c>
      <c r="U9" s="7" t="s">
        <v>268</v>
      </c>
      <c r="V9" s="7" t="s">
        <v>269</v>
      </c>
      <c r="W9" s="7" t="s">
        <v>270</v>
      </c>
      <c r="X9" s="7" t="s">
        <v>271</v>
      </c>
      <c r="Y9" s="7" t="s">
        <v>272</v>
      </c>
      <c r="Z9" s="7" t="s">
        <v>273</v>
      </c>
      <c r="AA9" s="7" t="s">
        <v>274</v>
      </c>
      <c r="AB9" s="7" t="s">
        <v>275</v>
      </c>
      <c r="AC9" s="7" t="s">
        <v>276</v>
      </c>
      <c r="AD9" s="7" t="s">
        <v>277</v>
      </c>
      <c r="AE9" s="7" t="s">
        <v>278</v>
      </c>
      <c r="AF9" s="7" t="s">
        <v>279</v>
      </c>
      <c r="AG9" s="7" t="s">
        <v>280</v>
      </c>
      <c r="AH9" s="7" t="s">
        <v>281</v>
      </c>
    </row>
    <row r="10" customFormat="false" ht="15" hidden="false" customHeight="false" outlineLevel="0" collapsed="false">
      <c r="A10" s="24" t="s">
        <v>199</v>
      </c>
      <c r="B10" s="14" t="s">
        <v>171</v>
      </c>
      <c r="C10" s="14" t="n">
        <v>1</v>
      </c>
      <c r="D10" s="14" t="n">
        <v>0</v>
      </c>
      <c r="E10" s="14" t="n">
        <v>1</v>
      </c>
      <c r="F10" s="32" t="n">
        <f aca="false">(1/2_시험자료!$D$21)*2_시험자료!$F$21</f>
        <v>0.0416666666666667</v>
      </c>
      <c r="G10" s="33" t="n">
        <f aca="false">2_시험자료!G7</f>
        <v>481</v>
      </c>
      <c r="H10" s="34" t="n">
        <f aca="false">IF(E10=1,1000000000,texp1_s)</f>
        <v>1000000000</v>
      </c>
      <c r="I10" s="14" t="n">
        <f aca="false">FLOOR(MIN(t_fs_s,H10)/G10,1)</f>
        <v>1</v>
      </c>
      <c r="J10" s="14" t="n">
        <f aca="false">IF(C10=1,FLOOR(t_fs_s/tau_L_s,1),0)</f>
        <v>1</v>
      </c>
      <c r="K10" s="17" t="n">
        <f aca="false">IF(D10=1,1-p_cb,1)</f>
        <v>1</v>
      </c>
      <c r="L10" s="17" t="n">
        <f aca="false">IF(C10=1,p_L,0)</f>
        <v>0.15</v>
      </c>
      <c r="M10" s="35" t="n">
        <f aca="false">SUMPRODUCT(w_ie1,1-(1-(j_row&lt;=I10)*K10^j_row)*(1-(j_row&lt;=J10)*L10^j_row))</f>
        <v>0.933333333333333</v>
      </c>
      <c r="N10" s="31" t="n">
        <f aca="false">occ_st*SUMPRODUCT(w_ie1,(j_row&lt;=I10)*K10^j_row*(j_row&lt;=J10)*L10^j_row*(((j_row*G10&lt;rset_s)+(j_row*tau_L_s&lt;rset_s))&gt;0)+(j_row&lt;=I10)*K10^j_row*(1-(j_row&lt;=J10)*L10^j_row)*(j_row*G10&lt;rset_s)+(1-(j_row&lt;=I10)*K10^j_row)*(j_row&lt;=J10)*L10^j_row*(j_row*tau_L_s&lt;rset_s))</f>
        <v>4.66666666666667</v>
      </c>
      <c r="O10" s="35" t="n">
        <f aca="false">IF(O$8&lt;N_st,(N_st-O$8)/N_st,0)*(1-(1-(O$8&lt;=I10)*K10^O$8)*(1-(O$8&lt;=J10)*L10^O$8))</f>
        <v>0.933333333333333</v>
      </c>
      <c r="P10" s="35" t="n">
        <f aca="false">IF(P$8&lt;N_st,(N_st-P$8)/N_st,0)*(1-(1-(P$8&lt;=I10)*K10^P$8)*(1-(P$8&lt;=J10)*L10^P$8))</f>
        <v>0</v>
      </c>
      <c r="Q10" s="35" t="n">
        <f aca="false">IF(Q$8&lt;N_st,(N_st-Q$8)/N_st,0)*(1-(1-(Q$8&lt;=I10)*K10^Q$8)*(1-(Q$8&lt;=J10)*L10^Q$8))</f>
        <v>0</v>
      </c>
      <c r="R10" s="35" t="n">
        <f aca="false">IF(R$8&lt;N_st,(N_st-R$8)/N_st,0)*(1-(1-(R$8&lt;=I10)*K10^R$8)*(1-(R$8&lt;=J10)*L10^R$8))</f>
        <v>0</v>
      </c>
      <c r="S10" s="35" t="n">
        <f aca="false">IF(S$8&lt;N_st,(N_st-S$8)/N_st,0)*(1-(1-(S$8&lt;=I10)*K10^S$8)*(1-(S$8&lt;=J10)*L10^S$8))</f>
        <v>0</v>
      </c>
      <c r="T10" s="35" t="n">
        <f aca="false">IF(T$8&lt;N_st,(N_st-T$8)/N_st,0)*(1-(1-(T$8&lt;=I10)*K10^T$8)*(1-(T$8&lt;=J10)*L10^T$8))</f>
        <v>0</v>
      </c>
      <c r="U10" s="35" t="n">
        <f aca="false">IF(U$8&lt;N_st,(N_st-U$8)/N_st,0)*(1-(1-(U$8&lt;=I10)*K10^U$8)*(1-(U$8&lt;=J10)*L10^U$8))</f>
        <v>0</v>
      </c>
      <c r="V10" s="35" t="n">
        <f aca="false">IF(V$8&lt;N_st,(N_st-V$8)/N_st,0)*(1-(1-(V$8&lt;=I10)*K10^V$8)*(1-(V$8&lt;=J10)*L10^V$8))</f>
        <v>0</v>
      </c>
      <c r="W10" s="35" t="n">
        <f aca="false">IF(W$8&lt;N_st,(N_st-W$8)/N_st,0)*(1-(1-(W$8&lt;=I10)*K10^W$8)*(1-(W$8&lt;=J10)*L10^W$8))</f>
        <v>0</v>
      </c>
      <c r="X10" s="35" t="n">
        <f aca="false">IF(X$8&lt;N_st,(N_st-X$8)/N_st,0)*(1-(1-(X$8&lt;=I10)*K10^X$8)*(1-(X$8&lt;=J10)*L10^X$8))</f>
        <v>0</v>
      </c>
      <c r="Y10" s="35" t="n">
        <f aca="false">IF(Y$8&lt;N_st,(N_st-Y$8)/N_st,0)*(1-(1-(Y$8&lt;=I10)*K10^Y$8)*(1-(Y$8&lt;=J10)*L10^Y$8))</f>
        <v>0</v>
      </c>
      <c r="Z10" s="35" t="n">
        <f aca="false">IF(Z$8&lt;N_st,(N_st-Z$8)/N_st,0)*(1-(1-(Z$8&lt;=I10)*K10^Z$8)*(1-(Z$8&lt;=J10)*L10^Z$8))</f>
        <v>0</v>
      </c>
      <c r="AA10" s="35" t="n">
        <f aca="false">IF(AA$8&lt;N_st,(N_st-AA$8)/N_st,0)*(1-(1-(AA$8&lt;=I10)*K10^AA$8)*(1-(AA$8&lt;=J10)*L10^AA$8))</f>
        <v>0</v>
      </c>
      <c r="AB10" s="35" t="n">
        <f aca="false">IF(AB$8&lt;N_st,(N_st-AB$8)/N_st,0)*(1-(1-(AB$8&lt;=I10)*K10^AB$8)*(1-(AB$8&lt;=J10)*L10^AB$8))</f>
        <v>0</v>
      </c>
      <c r="AC10" s="35" t="n">
        <f aca="false">IF(AC$8&lt;N_st,(N_st-AC$8)/N_st,0)*(1-(1-(AC$8&lt;=I10)*K10^AC$8)*(1-(AC$8&lt;=J10)*L10^AC$8))</f>
        <v>0</v>
      </c>
      <c r="AD10" s="35" t="n">
        <f aca="false">IF(AD$8&lt;N_st,(N_st-AD$8)/N_st,0)*(1-(1-(AD$8&lt;=I10)*K10^AD$8)*(1-(AD$8&lt;=J10)*L10^AD$8))</f>
        <v>0</v>
      </c>
      <c r="AE10" s="35" t="n">
        <f aca="false">IF(AE$8&lt;N_st,(N_st-AE$8)/N_st,0)*(1-(1-(AE$8&lt;=I10)*K10^AE$8)*(1-(AE$8&lt;=J10)*L10^AE$8))</f>
        <v>0</v>
      </c>
      <c r="AF10" s="35" t="n">
        <f aca="false">IF(AF$8&lt;N_st,(N_st-AF$8)/N_st,0)*(1-(1-(AF$8&lt;=I10)*K10^AF$8)*(1-(AF$8&lt;=J10)*L10^AF$8))</f>
        <v>0</v>
      </c>
      <c r="AG10" s="35" t="n">
        <f aca="false">IF(AG$8&lt;N_st,(N_st-AG$8)/N_st,0)*(1-(1-(AG$8&lt;=I10)*K10^AG$8)*(1-(AG$8&lt;=J10)*L10^AG$8))</f>
        <v>0</v>
      </c>
      <c r="AH10" s="35" t="n">
        <f aca="false">IF(AH$8&lt;N_st,(N_st-AH$8)/N_st,0)*(1-(1-(AH$8&lt;=I10)*K10^AH$8)*(1-(AH$8&lt;=J10)*L10^AH$8))</f>
        <v>0</v>
      </c>
    </row>
    <row r="11" customFormat="false" ht="15" hidden="false" customHeight="false" outlineLevel="0" collapsed="false">
      <c r="A11" s="24" t="s">
        <v>199</v>
      </c>
      <c r="B11" s="14" t="s">
        <v>171</v>
      </c>
      <c r="C11" s="14" t="n">
        <v>1</v>
      </c>
      <c r="D11" s="14" t="n">
        <v>0</v>
      </c>
      <c r="E11" s="14" t="n">
        <v>0</v>
      </c>
      <c r="F11" s="32" t="n">
        <f aca="false">(1/2_시험자료!$D$21)*(1-2_시험자료!$F$21)</f>
        <v>0.291666666666667</v>
      </c>
      <c r="G11" s="33" t="n">
        <f aca="false">2_시험자료!G7</f>
        <v>481</v>
      </c>
      <c r="H11" s="34" t="n">
        <f aca="false">IF(E11=1,1000000000,texp1_s)</f>
        <v>1200</v>
      </c>
      <c r="I11" s="14" t="n">
        <f aca="false">FLOOR(MIN(t_fs_s,H11)/G11,1)</f>
        <v>1</v>
      </c>
      <c r="J11" s="14" t="n">
        <f aca="false">IF(C11=1,FLOOR(t_fs_s/tau_L_s,1),0)</f>
        <v>1</v>
      </c>
      <c r="K11" s="17" t="n">
        <f aca="false">IF(D11=1,1-p_cb,1)</f>
        <v>1</v>
      </c>
      <c r="L11" s="17" t="n">
        <f aca="false">IF(C11=1,p_L,0)</f>
        <v>0.15</v>
      </c>
      <c r="M11" s="35" t="n">
        <f aca="false">SUMPRODUCT(w_ie1,1-(1-(j_row&lt;=I11)*K11^j_row)*(1-(j_row&lt;=J11)*L11^j_row))</f>
        <v>0.933333333333333</v>
      </c>
      <c r="N11" s="31" t="n">
        <f aca="false">occ_st*SUMPRODUCT(w_ie1,(j_row&lt;=I11)*K11^j_row*(j_row&lt;=J11)*L11^j_row*(((j_row*G11&lt;rset_s)+(j_row*tau_L_s&lt;rset_s))&gt;0)+(j_row&lt;=I11)*K11^j_row*(1-(j_row&lt;=J11)*L11^j_row)*(j_row*G11&lt;rset_s)+(1-(j_row&lt;=I11)*K11^j_row)*(j_row&lt;=J11)*L11^j_row*(j_row*tau_L_s&lt;rset_s))</f>
        <v>4.66666666666667</v>
      </c>
      <c r="O11" s="35" t="n">
        <f aca="false">IF(O$8&lt;N_st,(N_st-O$8)/N_st,0)*(1-(1-(O$8&lt;=I11)*K11^O$8)*(1-(O$8&lt;=J11)*L11^O$8))</f>
        <v>0.933333333333333</v>
      </c>
      <c r="P11" s="35" t="n">
        <f aca="false">IF(P$8&lt;N_st,(N_st-P$8)/N_st,0)*(1-(1-(P$8&lt;=I11)*K11^P$8)*(1-(P$8&lt;=J11)*L11^P$8))</f>
        <v>0</v>
      </c>
      <c r="Q11" s="35" t="n">
        <f aca="false">IF(Q$8&lt;N_st,(N_st-Q$8)/N_st,0)*(1-(1-(Q$8&lt;=I11)*K11^Q$8)*(1-(Q$8&lt;=J11)*L11^Q$8))</f>
        <v>0</v>
      </c>
      <c r="R11" s="35" t="n">
        <f aca="false">IF(R$8&lt;N_st,(N_st-R$8)/N_st,0)*(1-(1-(R$8&lt;=I11)*K11^R$8)*(1-(R$8&lt;=J11)*L11^R$8))</f>
        <v>0</v>
      </c>
      <c r="S11" s="35" t="n">
        <f aca="false">IF(S$8&lt;N_st,(N_st-S$8)/N_st,0)*(1-(1-(S$8&lt;=I11)*K11^S$8)*(1-(S$8&lt;=J11)*L11^S$8))</f>
        <v>0</v>
      </c>
      <c r="T11" s="35" t="n">
        <f aca="false">IF(T$8&lt;N_st,(N_st-T$8)/N_st,0)*(1-(1-(T$8&lt;=I11)*K11^T$8)*(1-(T$8&lt;=J11)*L11^T$8))</f>
        <v>0</v>
      </c>
      <c r="U11" s="35" t="n">
        <f aca="false">IF(U$8&lt;N_st,(N_st-U$8)/N_st,0)*(1-(1-(U$8&lt;=I11)*K11^U$8)*(1-(U$8&lt;=J11)*L11^U$8))</f>
        <v>0</v>
      </c>
      <c r="V11" s="35" t="n">
        <f aca="false">IF(V$8&lt;N_st,(N_st-V$8)/N_st,0)*(1-(1-(V$8&lt;=I11)*K11^V$8)*(1-(V$8&lt;=J11)*L11^V$8))</f>
        <v>0</v>
      </c>
      <c r="W11" s="35" t="n">
        <f aca="false">IF(W$8&lt;N_st,(N_st-W$8)/N_st,0)*(1-(1-(W$8&lt;=I11)*K11^W$8)*(1-(W$8&lt;=J11)*L11^W$8))</f>
        <v>0</v>
      </c>
      <c r="X11" s="35" t="n">
        <f aca="false">IF(X$8&lt;N_st,(N_st-X$8)/N_st,0)*(1-(1-(X$8&lt;=I11)*K11^X$8)*(1-(X$8&lt;=J11)*L11^X$8))</f>
        <v>0</v>
      </c>
      <c r="Y11" s="35" t="n">
        <f aca="false">IF(Y$8&lt;N_st,(N_st-Y$8)/N_st,0)*(1-(1-(Y$8&lt;=I11)*K11^Y$8)*(1-(Y$8&lt;=J11)*L11^Y$8))</f>
        <v>0</v>
      </c>
      <c r="Z11" s="35" t="n">
        <f aca="false">IF(Z$8&lt;N_st,(N_st-Z$8)/N_st,0)*(1-(1-(Z$8&lt;=I11)*K11^Z$8)*(1-(Z$8&lt;=J11)*L11^Z$8))</f>
        <v>0</v>
      </c>
      <c r="AA11" s="35" t="n">
        <f aca="false">IF(AA$8&lt;N_st,(N_st-AA$8)/N_st,0)*(1-(1-(AA$8&lt;=I11)*K11^AA$8)*(1-(AA$8&lt;=J11)*L11^AA$8))</f>
        <v>0</v>
      </c>
      <c r="AB11" s="35" t="n">
        <f aca="false">IF(AB$8&lt;N_st,(N_st-AB$8)/N_st,0)*(1-(1-(AB$8&lt;=I11)*K11^AB$8)*(1-(AB$8&lt;=J11)*L11^AB$8))</f>
        <v>0</v>
      </c>
      <c r="AC11" s="35" t="n">
        <f aca="false">IF(AC$8&lt;N_st,(N_st-AC$8)/N_st,0)*(1-(1-(AC$8&lt;=I11)*K11^AC$8)*(1-(AC$8&lt;=J11)*L11^AC$8))</f>
        <v>0</v>
      </c>
      <c r="AD11" s="35" t="n">
        <f aca="false">IF(AD$8&lt;N_st,(N_st-AD$8)/N_st,0)*(1-(1-(AD$8&lt;=I11)*K11^AD$8)*(1-(AD$8&lt;=J11)*L11^AD$8))</f>
        <v>0</v>
      </c>
      <c r="AE11" s="35" t="n">
        <f aca="false">IF(AE$8&lt;N_st,(N_st-AE$8)/N_st,0)*(1-(1-(AE$8&lt;=I11)*K11^AE$8)*(1-(AE$8&lt;=J11)*L11^AE$8))</f>
        <v>0</v>
      </c>
      <c r="AF11" s="35" t="n">
        <f aca="false">IF(AF$8&lt;N_st,(N_st-AF$8)/N_st,0)*(1-(1-(AF$8&lt;=I11)*K11^AF$8)*(1-(AF$8&lt;=J11)*L11^AF$8))</f>
        <v>0</v>
      </c>
      <c r="AG11" s="35" t="n">
        <f aca="false">IF(AG$8&lt;N_st,(N_st-AG$8)/N_st,0)*(1-(1-(AG$8&lt;=I11)*K11^AG$8)*(1-(AG$8&lt;=J11)*L11^AG$8))</f>
        <v>0</v>
      </c>
      <c r="AH11" s="35" t="n">
        <f aca="false">IF(AH$8&lt;N_st,(N_st-AH$8)/N_st,0)*(1-(1-(AH$8&lt;=I11)*K11^AH$8)*(1-(AH$8&lt;=J11)*L11^AH$8))</f>
        <v>0</v>
      </c>
    </row>
    <row r="12" customFormat="false" ht="15" hidden="false" customHeight="false" outlineLevel="0" collapsed="false">
      <c r="A12" s="24" t="s">
        <v>199</v>
      </c>
      <c r="B12" s="14" t="s">
        <v>171</v>
      </c>
      <c r="C12" s="14" t="n">
        <v>1</v>
      </c>
      <c r="D12" s="14" t="n">
        <v>1</v>
      </c>
      <c r="E12" s="14" t="n">
        <v>1</v>
      </c>
      <c r="F12" s="32" t="n">
        <f aca="false">(1/2_시험자료!$D$21)*2_시험자료!$F$21</f>
        <v>0.0416666666666667</v>
      </c>
      <c r="G12" s="33" t="n">
        <f aca="false">2_시험자료!G7</f>
        <v>481</v>
      </c>
      <c r="H12" s="34" t="n">
        <f aca="false">IF(E12=1,1000000000,texp1_s)</f>
        <v>1000000000</v>
      </c>
      <c r="I12" s="14" t="n">
        <f aca="false">FLOOR(MIN(t_fs_s,H12)/G12,1)</f>
        <v>1</v>
      </c>
      <c r="J12" s="14" t="n">
        <f aca="false">IF(C12=1,FLOOR(t_fs_s/tau_L_s,1),0)</f>
        <v>1</v>
      </c>
      <c r="K12" s="17" t="n">
        <f aca="false">IF(D12=1,1-p_cb,1)</f>
        <v>0.3</v>
      </c>
      <c r="L12" s="17" t="n">
        <f aca="false">IF(C12=1,p_L,0)</f>
        <v>0.15</v>
      </c>
      <c r="M12" s="35" t="n">
        <f aca="false">SUMPRODUCT(w_ie1,1-(1-(j_row&lt;=I12)*K12^j_row)*(1-(j_row&lt;=J12)*L12^j_row))</f>
        <v>0.378</v>
      </c>
      <c r="N12" s="31" t="n">
        <f aca="false">occ_st*SUMPRODUCT(w_ie1,(j_row&lt;=I12)*K12^j_row*(j_row&lt;=J12)*L12^j_row*(((j_row*G12&lt;rset_s)+(j_row*tau_L_s&lt;rset_s))&gt;0)+(j_row&lt;=I12)*K12^j_row*(1-(j_row&lt;=J12)*L12^j_row)*(j_row*G12&lt;rset_s)+(1-(j_row&lt;=I12)*K12^j_row)*(j_row&lt;=J12)*L12^j_row*(j_row*tau_L_s&lt;rset_s))</f>
        <v>1.89</v>
      </c>
      <c r="O12" s="35" t="n">
        <f aca="false">IF(O$8&lt;N_st,(N_st-O$8)/N_st,0)*(1-(1-(O$8&lt;=I12)*K12^O$8)*(1-(O$8&lt;=J12)*L12^O$8))</f>
        <v>0.378</v>
      </c>
      <c r="P12" s="35" t="n">
        <f aca="false">IF(P$8&lt;N_st,(N_st-P$8)/N_st,0)*(1-(1-(P$8&lt;=I12)*K12^P$8)*(1-(P$8&lt;=J12)*L12^P$8))</f>
        <v>0</v>
      </c>
      <c r="Q12" s="35" t="n">
        <f aca="false">IF(Q$8&lt;N_st,(N_st-Q$8)/N_st,0)*(1-(1-(Q$8&lt;=I12)*K12^Q$8)*(1-(Q$8&lt;=J12)*L12^Q$8))</f>
        <v>0</v>
      </c>
      <c r="R12" s="35" t="n">
        <f aca="false">IF(R$8&lt;N_st,(N_st-R$8)/N_st,0)*(1-(1-(R$8&lt;=I12)*K12^R$8)*(1-(R$8&lt;=J12)*L12^R$8))</f>
        <v>0</v>
      </c>
      <c r="S12" s="35" t="n">
        <f aca="false">IF(S$8&lt;N_st,(N_st-S$8)/N_st,0)*(1-(1-(S$8&lt;=I12)*K12^S$8)*(1-(S$8&lt;=J12)*L12^S$8))</f>
        <v>0</v>
      </c>
      <c r="T12" s="35" t="n">
        <f aca="false">IF(T$8&lt;N_st,(N_st-T$8)/N_st,0)*(1-(1-(T$8&lt;=I12)*K12^T$8)*(1-(T$8&lt;=J12)*L12^T$8))</f>
        <v>0</v>
      </c>
      <c r="U12" s="35" t="n">
        <f aca="false">IF(U$8&lt;N_st,(N_st-U$8)/N_st,0)*(1-(1-(U$8&lt;=I12)*K12^U$8)*(1-(U$8&lt;=J12)*L12^U$8))</f>
        <v>0</v>
      </c>
      <c r="V12" s="35" t="n">
        <f aca="false">IF(V$8&lt;N_st,(N_st-V$8)/N_st,0)*(1-(1-(V$8&lt;=I12)*K12^V$8)*(1-(V$8&lt;=J12)*L12^V$8))</f>
        <v>0</v>
      </c>
      <c r="W12" s="35" t="n">
        <f aca="false">IF(W$8&lt;N_st,(N_st-W$8)/N_st,0)*(1-(1-(W$8&lt;=I12)*K12^W$8)*(1-(W$8&lt;=J12)*L12^W$8))</f>
        <v>0</v>
      </c>
      <c r="X12" s="35" t="n">
        <f aca="false">IF(X$8&lt;N_st,(N_st-X$8)/N_st,0)*(1-(1-(X$8&lt;=I12)*K12^X$8)*(1-(X$8&lt;=J12)*L12^X$8))</f>
        <v>0</v>
      </c>
      <c r="Y12" s="35" t="n">
        <f aca="false">IF(Y$8&lt;N_st,(N_st-Y$8)/N_st,0)*(1-(1-(Y$8&lt;=I12)*K12^Y$8)*(1-(Y$8&lt;=J12)*L12^Y$8))</f>
        <v>0</v>
      </c>
      <c r="Z12" s="35" t="n">
        <f aca="false">IF(Z$8&lt;N_st,(N_st-Z$8)/N_st,0)*(1-(1-(Z$8&lt;=I12)*K12^Z$8)*(1-(Z$8&lt;=J12)*L12^Z$8))</f>
        <v>0</v>
      </c>
      <c r="AA12" s="35" t="n">
        <f aca="false">IF(AA$8&lt;N_st,(N_st-AA$8)/N_st,0)*(1-(1-(AA$8&lt;=I12)*K12^AA$8)*(1-(AA$8&lt;=J12)*L12^AA$8))</f>
        <v>0</v>
      </c>
      <c r="AB12" s="35" t="n">
        <f aca="false">IF(AB$8&lt;N_st,(N_st-AB$8)/N_st,0)*(1-(1-(AB$8&lt;=I12)*K12^AB$8)*(1-(AB$8&lt;=J12)*L12^AB$8))</f>
        <v>0</v>
      </c>
      <c r="AC12" s="35" t="n">
        <f aca="false">IF(AC$8&lt;N_st,(N_st-AC$8)/N_st,0)*(1-(1-(AC$8&lt;=I12)*K12^AC$8)*(1-(AC$8&lt;=J12)*L12^AC$8))</f>
        <v>0</v>
      </c>
      <c r="AD12" s="35" t="n">
        <f aca="false">IF(AD$8&lt;N_st,(N_st-AD$8)/N_st,0)*(1-(1-(AD$8&lt;=I12)*K12^AD$8)*(1-(AD$8&lt;=J12)*L12^AD$8))</f>
        <v>0</v>
      </c>
      <c r="AE12" s="35" t="n">
        <f aca="false">IF(AE$8&lt;N_st,(N_st-AE$8)/N_st,0)*(1-(1-(AE$8&lt;=I12)*K12^AE$8)*(1-(AE$8&lt;=J12)*L12^AE$8))</f>
        <v>0</v>
      </c>
      <c r="AF12" s="35" t="n">
        <f aca="false">IF(AF$8&lt;N_st,(N_st-AF$8)/N_st,0)*(1-(1-(AF$8&lt;=I12)*K12^AF$8)*(1-(AF$8&lt;=J12)*L12^AF$8))</f>
        <v>0</v>
      </c>
      <c r="AG12" s="35" t="n">
        <f aca="false">IF(AG$8&lt;N_st,(N_st-AG$8)/N_st,0)*(1-(1-(AG$8&lt;=I12)*K12^AG$8)*(1-(AG$8&lt;=J12)*L12^AG$8))</f>
        <v>0</v>
      </c>
      <c r="AH12" s="35" t="n">
        <f aca="false">IF(AH$8&lt;N_st,(N_st-AH$8)/N_st,0)*(1-(1-(AH$8&lt;=I12)*K12^AH$8)*(1-(AH$8&lt;=J12)*L12^AH$8))</f>
        <v>0</v>
      </c>
    </row>
    <row r="13" customFormat="false" ht="15" hidden="false" customHeight="false" outlineLevel="0" collapsed="false">
      <c r="A13" s="24" t="s">
        <v>199</v>
      </c>
      <c r="B13" s="14" t="s">
        <v>171</v>
      </c>
      <c r="C13" s="14" t="n">
        <v>1</v>
      </c>
      <c r="D13" s="14" t="n">
        <v>1</v>
      </c>
      <c r="E13" s="14" t="n">
        <v>0</v>
      </c>
      <c r="F13" s="32" t="n">
        <f aca="false">(1/2_시험자료!$D$21)*(1-2_시험자료!$F$21)</f>
        <v>0.291666666666667</v>
      </c>
      <c r="G13" s="33" t="n">
        <f aca="false">2_시험자료!G7</f>
        <v>481</v>
      </c>
      <c r="H13" s="34" t="n">
        <f aca="false">IF(E13=1,1000000000,texp1_s)</f>
        <v>1200</v>
      </c>
      <c r="I13" s="14" t="n">
        <f aca="false">FLOOR(MIN(t_fs_s,H13)/G13,1)</f>
        <v>1</v>
      </c>
      <c r="J13" s="14" t="n">
        <f aca="false">IF(C13=1,FLOOR(t_fs_s/tau_L_s,1),0)</f>
        <v>1</v>
      </c>
      <c r="K13" s="17" t="n">
        <f aca="false">IF(D13=1,1-p_cb,1)</f>
        <v>0.3</v>
      </c>
      <c r="L13" s="17" t="n">
        <f aca="false">IF(C13=1,p_L,0)</f>
        <v>0.15</v>
      </c>
      <c r="M13" s="35" t="n">
        <f aca="false">SUMPRODUCT(w_ie1,1-(1-(j_row&lt;=I13)*K13^j_row)*(1-(j_row&lt;=J13)*L13^j_row))</f>
        <v>0.378</v>
      </c>
      <c r="N13" s="31" t="n">
        <f aca="false">occ_st*SUMPRODUCT(w_ie1,(j_row&lt;=I13)*K13^j_row*(j_row&lt;=J13)*L13^j_row*(((j_row*G13&lt;rset_s)+(j_row*tau_L_s&lt;rset_s))&gt;0)+(j_row&lt;=I13)*K13^j_row*(1-(j_row&lt;=J13)*L13^j_row)*(j_row*G13&lt;rset_s)+(1-(j_row&lt;=I13)*K13^j_row)*(j_row&lt;=J13)*L13^j_row*(j_row*tau_L_s&lt;rset_s))</f>
        <v>1.89</v>
      </c>
      <c r="O13" s="35" t="n">
        <f aca="false">IF(O$8&lt;N_st,(N_st-O$8)/N_st,0)*(1-(1-(O$8&lt;=I13)*K13^O$8)*(1-(O$8&lt;=J13)*L13^O$8))</f>
        <v>0.378</v>
      </c>
      <c r="P13" s="35" t="n">
        <f aca="false">IF(P$8&lt;N_st,(N_st-P$8)/N_st,0)*(1-(1-(P$8&lt;=I13)*K13^P$8)*(1-(P$8&lt;=J13)*L13^P$8))</f>
        <v>0</v>
      </c>
      <c r="Q13" s="35" t="n">
        <f aca="false">IF(Q$8&lt;N_st,(N_st-Q$8)/N_st,0)*(1-(1-(Q$8&lt;=I13)*K13^Q$8)*(1-(Q$8&lt;=J13)*L13^Q$8))</f>
        <v>0</v>
      </c>
      <c r="R13" s="35" t="n">
        <f aca="false">IF(R$8&lt;N_st,(N_st-R$8)/N_st,0)*(1-(1-(R$8&lt;=I13)*K13^R$8)*(1-(R$8&lt;=J13)*L13^R$8))</f>
        <v>0</v>
      </c>
      <c r="S13" s="35" t="n">
        <f aca="false">IF(S$8&lt;N_st,(N_st-S$8)/N_st,0)*(1-(1-(S$8&lt;=I13)*K13^S$8)*(1-(S$8&lt;=J13)*L13^S$8))</f>
        <v>0</v>
      </c>
      <c r="T13" s="35" t="n">
        <f aca="false">IF(T$8&lt;N_st,(N_st-T$8)/N_st,0)*(1-(1-(T$8&lt;=I13)*K13^T$8)*(1-(T$8&lt;=J13)*L13^T$8))</f>
        <v>0</v>
      </c>
      <c r="U13" s="35" t="n">
        <f aca="false">IF(U$8&lt;N_st,(N_st-U$8)/N_st,0)*(1-(1-(U$8&lt;=I13)*K13^U$8)*(1-(U$8&lt;=J13)*L13^U$8))</f>
        <v>0</v>
      </c>
      <c r="V13" s="35" t="n">
        <f aca="false">IF(V$8&lt;N_st,(N_st-V$8)/N_st,0)*(1-(1-(V$8&lt;=I13)*K13^V$8)*(1-(V$8&lt;=J13)*L13^V$8))</f>
        <v>0</v>
      </c>
      <c r="W13" s="35" t="n">
        <f aca="false">IF(W$8&lt;N_st,(N_st-W$8)/N_st,0)*(1-(1-(W$8&lt;=I13)*K13^W$8)*(1-(W$8&lt;=J13)*L13^W$8))</f>
        <v>0</v>
      </c>
      <c r="X13" s="35" t="n">
        <f aca="false">IF(X$8&lt;N_st,(N_st-X$8)/N_st,0)*(1-(1-(X$8&lt;=I13)*K13^X$8)*(1-(X$8&lt;=J13)*L13^X$8))</f>
        <v>0</v>
      </c>
      <c r="Y13" s="35" t="n">
        <f aca="false">IF(Y$8&lt;N_st,(N_st-Y$8)/N_st,0)*(1-(1-(Y$8&lt;=I13)*K13^Y$8)*(1-(Y$8&lt;=J13)*L13^Y$8))</f>
        <v>0</v>
      </c>
      <c r="Z13" s="35" t="n">
        <f aca="false">IF(Z$8&lt;N_st,(N_st-Z$8)/N_st,0)*(1-(1-(Z$8&lt;=I13)*K13^Z$8)*(1-(Z$8&lt;=J13)*L13^Z$8))</f>
        <v>0</v>
      </c>
      <c r="AA13" s="35" t="n">
        <f aca="false">IF(AA$8&lt;N_st,(N_st-AA$8)/N_st,0)*(1-(1-(AA$8&lt;=I13)*K13^AA$8)*(1-(AA$8&lt;=J13)*L13^AA$8))</f>
        <v>0</v>
      </c>
      <c r="AB13" s="35" t="n">
        <f aca="false">IF(AB$8&lt;N_st,(N_st-AB$8)/N_st,0)*(1-(1-(AB$8&lt;=I13)*K13^AB$8)*(1-(AB$8&lt;=J13)*L13^AB$8))</f>
        <v>0</v>
      </c>
      <c r="AC13" s="35" t="n">
        <f aca="false">IF(AC$8&lt;N_st,(N_st-AC$8)/N_st,0)*(1-(1-(AC$8&lt;=I13)*K13^AC$8)*(1-(AC$8&lt;=J13)*L13^AC$8))</f>
        <v>0</v>
      </c>
      <c r="AD13" s="35" t="n">
        <f aca="false">IF(AD$8&lt;N_st,(N_st-AD$8)/N_st,0)*(1-(1-(AD$8&lt;=I13)*K13^AD$8)*(1-(AD$8&lt;=J13)*L13^AD$8))</f>
        <v>0</v>
      </c>
      <c r="AE13" s="35" t="n">
        <f aca="false">IF(AE$8&lt;N_st,(N_st-AE$8)/N_st,0)*(1-(1-(AE$8&lt;=I13)*K13^AE$8)*(1-(AE$8&lt;=J13)*L13^AE$8))</f>
        <v>0</v>
      </c>
      <c r="AF13" s="35" t="n">
        <f aca="false">IF(AF$8&lt;N_st,(N_st-AF$8)/N_st,0)*(1-(1-(AF$8&lt;=I13)*K13^AF$8)*(1-(AF$8&lt;=J13)*L13^AF$8))</f>
        <v>0</v>
      </c>
      <c r="AG13" s="35" t="n">
        <f aca="false">IF(AG$8&lt;N_st,(N_st-AG$8)/N_st,0)*(1-(1-(AG$8&lt;=I13)*K13^AG$8)*(1-(AG$8&lt;=J13)*L13^AG$8))</f>
        <v>0</v>
      </c>
      <c r="AH13" s="35" t="n">
        <f aca="false">IF(AH$8&lt;N_st,(N_st-AH$8)/N_st,0)*(1-(1-(AH$8&lt;=I13)*K13^AH$8)*(1-(AH$8&lt;=J13)*L13^AH$8))</f>
        <v>0</v>
      </c>
    </row>
    <row r="14" customFormat="false" ht="15" hidden="false" customHeight="false" outlineLevel="0" collapsed="false">
      <c r="A14" s="24" t="s">
        <v>199</v>
      </c>
      <c r="B14" s="14" t="s">
        <v>171</v>
      </c>
      <c r="C14" s="14" t="n">
        <v>2</v>
      </c>
      <c r="D14" s="14" t="n">
        <v>0</v>
      </c>
      <c r="E14" s="14" t="n">
        <v>1</v>
      </c>
      <c r="F14" s="32" t="n">
        <f aca="false">(1/2_시험자료!$D$21)*2_시험자료!$F$21</f>
        <v>0.0416666666666667</v>
      </c>
      <c r="G14" s="33" t="n">
        <f aca="false">2_시험자료!G7</f>
        <v>481</v>
      </c>
      <c r="H14" s="34" t="n">
        <f aca="false">IF(E14=1,1000000000,texp2_s)</f>
        <v>1000000000</v>
      </c>
      <c r="I14" s="14" t="n">
        <f aca="false">FLOOR(MIN(t_fs_s,H14)/G14,1)</f>
        <v>1</v>
      </c>
      <c r="J14" s="14" t="n">
        <f aca="false">IF(C14=1,FLOOR(t_fs_s/tau_L_s,1),0)</f>
        <v>0</v>
      </c>
      <c r="K14" s="17" t="n">
        <f aca="false">IF(D14=1,1-p_cb,1)</f>
        <v>1</v>
      </c>
      <c r="L14" s="17" t="n">
        <f aca="false">IF(C14=1,p_L,0)</f>
        <v>0</v>
      </c>
      <c r="M14" s="35" t="n">
        <f aca="false">SUMPRODUCT(w_ie2,1-(1-(j_row&lt;=I14)*K14^j_row)*(1-(j_row&lt;=J14)*L14^j_row))</f>
        <v>1</v>
      </c>
      <c r="N14" s="31" t="n">
        <f aca="false">occ_st*SUMPRODUCT(w_ie2,(j_row&lt;=I14)*K14^j_row*(j_row&lt;=J14)*L14^j_row*(((j_row*G14&lt;rset_s)+(j_row*tau_L_s&lt;rset_s))&gt;0)+(j_row&lt;=I14)*K14^j_row*(1-(j_row&lt;=J14)*L14^j_row)*(j_row*G14&lt;rset_s)+(1-(j_row&lt;=I14)*K14^j_row)*(j_row&lt;=J14)*L14^j_row*(j_row*tau_L_s&lt;rset_s))</f>
        <v>5</v>
      </c>
      <c r="O14" s="35" t="n">
        <f aca="false">IF(O$8&lt;N_st,1,0)*(1-(1-(O$8&lt;=I14)*K14^O$8)*(1-(O$8&lt;=J14)*L14^O$8))</f>
        <v>1</v>
      </c>
      <c r="P14" s="35" t="n">
        <f aca="false">IF(P$8&lt;N_st,1,0)*(1-(1-(P$8&lt;=I14)*K14^P$8)*(1-(P$8&lt;=J14)*L14^P$8))</f>
        <v>0</v>
      </c>
      <c r="Q14" s="35" t="n">
        <f aca="false">IF(Q$8&lt;N_st,1,0)*(1-(1-(Q$8&lt;=I14)*K14^Q$8)*(1-(Q$8&lt;=J14)*L14^Q$8))</f>
        <v>0</v>
      </c>
      <c r="R14" s="35" t="n">
        <f aca="false">IF(R$8&lt;N_st,1,0)*(1-(1-(R$8&lt;=I14)*K14^R$8)*(1-(R$8&lt;=J14)*L14^R$8))</f>
        <v>0</v>
      </c>
      <c r="S14" s="35" t="n">
        <f aca="false">IF(S$8&lt;N_st,1,0)*(1-(1-(S$8&lt;=I14)*K14^S$8)*(1-(S$8&lt;=J14)*L14^S$8))</f>
        <v>0</v>
      </c>
      <c r="T14" s="35" t="n">
        <f aca="false">IF(T$8&lt;N_st,1,0)*(1-(1-(T$8&lt;=I14)*K14^T$8)*(1-(T$8&lt;=J14)*L14^T$8))</f>
        <v>0</v>
      </c>
      <c r="U14" s="35" t="n">
        <f aca="false">IF(U$8&lt;N_st,1,0)*(1-(1-(U$8&lt;=I14)*K14^U$8)*(1-(U$8&lt;=J14)*L14^U$8))</f>
        <v>0</v>
      </c>
      <c r="V14" s="35" t="n">
        <f aca="false">IF(V$8&lt;N_st,1,0)*(1-(1-(V$8&lt;=I14)*K14^V$8)*(1-(V$8&lt;=J14)*L14^V$8))</f>
        <v>0</v>
      </c>
      <c r="W14" s="35" t="n">
        <f aca="false">IF(W$8&lt;N_st,1,0)*(1-(1-(W$8&lt;=I14)*K14^W$8)*(1-(W$8&lt;=J14)*L14^W$8))</f>
        <v>0</v>
      </c>
      <c r="X14" s="35" t="n">
        <f aca="false">IF(X$8&lt;N_st,1,0)*(1-(1-(X$8&lt;=I14)*K14^X$8)*(1-(X$8&lt;=J14)*L14^X$8))</f>
        <v>0</v>
      </c>
      <c r="Y14" s="35" t="n">
        <f aca="false">IF(Y$8&lt;N_st,1,0)*(1-(1-(Y$8&lt;=I14)*K14^Y$8)*(1-(Y$8&lt;=J14)*L14^Y$8))</f>
        <v>0</v>
      </c>
      <c r="Z14" s="35" t="n">
        <f aca="false">IF(Z$8&lt;N_st,1,0)*(1-(1-(Z$8&lt;=I14)*K14^Z$8)*(1-(Z$8&lt;=J14)*L14^Z$8))</f>
        <v>0</v>
      </c>
      <c r="AA14" s="35" t="n">
        <f aca="false">IF(AA$8&lt;N_st,1,0)*(1-(1-(AA$8&lt;=I14)*K14^AA$8)*(1-(AA$8&lt;=J14)*L14^AA$8))</f>
        <v>0</v>
      </c>
      <c r="AB14" s="35" t="n">
        <f aca="false">IF(AB$8&lt;N_st,1,0)*(1-(1-(AB$8&lt;=I14)*K14^AB$8)*(1-(AB$8&lt;=J14)*L14^AB$8))</f>
        <v>0</v>
      </c>
      <c r="AC14" s="35" t="n">
        <f aca="false">IF(AC$8&lt;N_st,1,0)*(1-(1-(AC$8&lt;=I14)*K14^AC$8)*(1-(AC$8&lt;=J14)*L14^AC$8))</f>
        <v>0</v>
      </c>
      <c r="AD14" s="35" t="n">
        <f aca="false">IF(AD$8&lt;N_st,1,0)*(1-(1-(AD$8&lt;=I14)*K14^AD$8)*(1-(AD$8&lt;=J14)*L14^AD$8))</f>
        <v>0</v>
      </c>
      <c r="AE14" s="35" t="n">
        <f aca="false">IF(AE$8&lt;N_st,1,0)*(1-(1-(AE$8&lt;=I14)*K14^AE$8)*(1-(AE$8&lt;=J14)*L14^AE$8))</f>
        <v>0</v>
      </c>
      <c r="AF14" s="35" t="n">
        <f aca="false">IF(AF$8&lt;N_st,1,0)*(1-(1-(AF$8&lt;=I14)*K14^AF$8)*(1-(AF$8&lt;=J14)*L14^AF$8))</f>
        <v>0</v>
      </c>
      <c r="AG14" s="35" t="n">
        <f aca="false">IF(AG$8&lt;N_st,1,0)*(1-(1-(AG$8&lt;=I14)*K14^AG$8)*(1-(AG$8&lt;=J14)*L14^AG$8))</f>
        <v>0</v>
      </c>
      <c r="AH14" s="35" t="n">
        <f aca="false">IF(AH$8&lt;N_st,1,0)*(1-(1-(AH$8&lt;=I14)*K14^AH$8)*(1-(AH$8&lt;=J14)*L14^AH$8))</f>
        <v>0</v>
      </c>
    </row>
    <row r="15" customFormat="false" ht="15" hidden="false" customHeight="false" outlineLevel="0" collapsed="false">
      <c r="A15" s="24" t="s">
        <v>199</v>
      </c>
      <c r="B15" s="14" t="s">
        <v>171</v>
      </c>
      <c r="C15" s="14" t="n">
        <v>2</v>
      </c>
      <c r="D15" s="14" t="n">
        <v>0</v>
      </c>
      <c r="E15" s="14" t="n">
        <v>0</v>
      </c>
      <c r="F15" s="32" t="n">
        <f aca="false">(1/2_시험자료!$D$21)*(1-2_시험자료!$F$21)</f>
        <v>0.291666666666667</v>
      </c>
      <c r="G15" s="33" t="n">
        <f aca="false">2_시험자료!G7</f>
        <v>481</v>
      </c>
      <c r="H15" s="34" t="n">
        <f aca="false">IF(E15=1,1000000000,texp2_s)</f>
        <v>750</v>
      </c>
      <c r="I15" s="14" t="n">
        <f aca="false">FLOOR(MIN(t_fs_s,H15)/G15,1)</f>
        <v>1</v>
      </c>
      <c r="J15" s="14" t="n">
        <f aca="false">IF(C15=1,FLOOR(t_fs_s/tau_L_s,1),0)</f>
        <v>0</v>
      </c>
      <c r="K15" s="17" t="n">
        <f aca="false">IF(D15=1,1-p_cb,1)</f>
        <v>1</v>
      </c>
      <c r="L15" s="17" t="n">
        <f aca="false">IF(C15=1,p_L,0)</f>
        <v>0</v>
      </c>
      <c r="M15" s="35" t="n">
        <f aca="false">SUMPRODUCT(w_ie2,1-(1-(j_row&lt;=I15)*K15^j_row)*(1-(j_row&lt;=J15)*L15^j_row))</f>
        <v>1</v>
      </c>
      <c r="N15" s="31" t="n">
        <f aca="false">occ_st*SUMPRODUCT(w_ie2,(j_row&lt;=I15)*K15^j_row*(j_row&lt;=J15)*L15^j_row*(((j_row*G15&lt;rset_s)+(j_row*tau_L_s&lt;rset_s))&gt;0)+(j_row&lt;=I15)*K15^j_row*(1-(j_row&lt;=J15)*L15^j_row)*(j_row*G15&lt;rset_s)+(1-(j_row&lt;=I15)*K15^j_row)*(j_row&lt;=J15)*L15^j_row*(j_row*tau_L_s&lt;rset_s))</f>
        <v>5</v>
      </c>
      <c r="O15" s="35" t="n">
        <f aca="false">IF(O$8&lt;N_st,1,0)*(1-(1-(O$8&lt;=I15)*K15^O$8)*(1-(O$8&lt;=J15)*L15^O$8))</f>
        <v>1</v>
      </c>
      <c r="P15" s="35" t="n">
        <f aca="false">IF(P$8&lt;N_st,1,0)*(1-(1-(P$8&lt;=I15)*K15^P$8)*(1-(P$8&lt;=J15)*L15^P$8))</f>
        <v>0</v>
      </c>
      <c r="Q15" s="35" t="n">
        <f aca="false">IF(Q$8&lt;N_st,1,0)*(1-(1-(Q$8&lt;=I15)*K15^Q$8)*(1-(Q$8&lt;=J15)*L15^Q$8))</f>
        <v>0</v>
      </c>
      <c r="R15" s="35" t="n">
        <f aca="false">IF(R$8&lt;N_st,1,0)*(1-(1-(R$8&lt;=I15)*K15^R$8)*(1-(R$8&lt;=J15)*L15^R$8))</f>
        <v>0</v>
      </c>
      <c r="S15" s="35" t="n">
        <f aca="false">IF(S$8&lt;N_st,1,0)*(1-(1-(S$8&lt;=I15)*K15^S$8)*(1-(S$8&lt;=J15)*L15^S$8))</f>
        <v>0</v>
      </c>
      <c r="T15" s="35" t="n">
        <f aca="false">IF(T$8&lt;N_st,1,0)*(1-(1-(T$8&lt;=I15)*K15^T$8)*(1-(T$8&lt;=J15)*L15^T$8))</f>
        <v>0</v>
      </c>
      <c r="U15" s="35" t="n">
        <f aca="false">IF(U$8&lt;N_st,1,0)*(1-(1-(U$8&lt;=I15)*K15^U$8)*(1-(U$8&lt;=J15)*L15^U$8))</f>
        <v>0</v>
      </c>
      <c r="V15" s="35" t="n">
        <f aca="false">IF(V$8&lt;N_st,1,0)*(1-(1-(V$8&lt;=I15)*K15^V$8)*(1-(V$8&lt;=J15)*L15^V$8))</f>
        <v>0</v>
      </c>
      <c r="W15" s="35" t="n">
        <f aca="false">IF(W$8&lt;N_st,1,0)*(1-(1-(W$8&lt;=I15)*K15^W$8)*(1-(W$8&lt;=J15)*L15^W$8))</f>
        <v>0</v>
      </c>
      <c r="X15" s="35" t="n">
        <f aca="false">IF(X$8&lt;N_st,1,0)*(1-(1-(X$8&lt;=I15)*K15^X$8)*(1-(X$8&lt;=J15)*L15^X$8))</f>
        <v>0</v>
      </c>
      <c r="Y15" s="35" t="n">
        <f aca="false">IF(Y$8&lt;N_st,1,0)*(1-(1-(Y$8&lt;=I15)*K15^Y$8)*(1-(Y$8&lt;=J15)*L15^Y$8))</f>
        <v>0</v>
      </c>
      <c r="Z15" s="35" t="n">
        <f aca="false">IF(Z$8&lt;N_st,1,0)*(1-(1-(Z$8&lt;=I15)*K15^Z$8)*(1-(Z$8&lt;=J15)*L15^Z$8))</f>
        <v>0</v>
      </c>
      <c r="AA15" s="35" t="n">
        <f aca="false">IF(AA$8&lt;N_st,1,0)*(1-(1-(AA$8&lt;=I15)*K15^AA$8)*(1-(AA$8&lt;=J15)*L15^AA$8))</f>
        <v>0</v>
      </c>
      <c r="AB15" s="35" t="n">
        <f aca="false">IF(AB$8&lt;N_st,1,0)*(1-(1-(AB$8&lt;=I15)*K15^AB$8)*(1-(AB$8&lt;=J15)*L15^AB$8))</f>
        <v>0</v>
      </c>
      <c r="AC15" s="35" t="n">
        <f aca="false">IF(AC$8&lt;N_st,1,0)*(1-(1-(AC$8&lt;=I15)*K15^AC$8)*(1-(AC$8&lt;=J15)*L15^AC$8))</f>
        <v>0</v>
      </c>
      <c r="AD15" s="35" t="n">
        <f aca="false">IF(AD$8&lt;N_st,1,0)*(1-(1-(AD$8&lt;=I15)*K15^AD$8)*(1-(AD$8&lt;=J15)*L15^AD$8))</f>
        <v>0</v>
      </c>
      <c r="AE15" s="35" t="n">
        <f aca="false">IF(AE$8&lt;N_st,1,0)*(1-(1-(AE$8&lt;=I15)*K15^AE$8)*(1-(AE$8&lt;=J15)*L15^AE$8))</f>
        <v>0</v>
      </c>
      <c r="AF15" s="35" t="n">
        <f aca="false">IF(AF$8&lt;N_st,1,0)*(1-(1-(AF$8&lt;=I15)*K15^AF$8)*(1-(AF$8&lt;=J15)*L15^AF$8))</f>
        <v>0</v>
      </c>
      <c r="AG15" s="35" t="n">
        <f aca="false">IF(AG$8&lt;N_st,1,0)*(1-(1-(AG$8&lt;=I15)*K15^AG$8)*(1-(AG$8&lt;=J15)*L15^AG$8))</f>
        <v>0</v>
      </c>
      <c r="AH15" s="35" t="n">
        <f aca="false">IF(AH$8&lt;N_st,1,0)*(1-(1-(AH$8&lt;=I15)*K15^AH$8)*(1-(AH$8&lt;=J15)*L15^AH$8))</f>
        <v>0</v>
      </c>
    </row>
    <row r="16" customFormat="false" ht="15" hidden="false" customHeight="false" outlineLevel="0" collapsed="false">
      <c r="A16" s="24" t="s">
        <v>199</v>
      </c>
      <c r="B16" s="14" t="s">
        <v>171</v>
      </c>
      <c r="C16" s="14" t="n">
        <v>2</v>
      </c>
      <c r="D16" s="14" t="n">
        <v>1</v>
      </c>
      <c r="E16" s="14" t="n">
        <v>1</v>
      </c>
      <c r="F16" s="32" t="n">
        <f aca="false">(1/2_시험자료!$D$21)*2_시험자료!$F$21</f>
        <v>0.0416666666666667</v>
      </c>
      <c r="G16" s="33" t="n">
        <f aca="false">2_시험자료!G7</f>
        <v>481</v>
      </c>
      <c r="H16" s="34" t="n">
        <f aca="false">IF(E16=1,1000000000,texp2_s)</f>
        <v>1000000000</v>
      </c>
      <c r="I16" s="14" t="n">
        <f aca="false">FLOOR(MIN(t_fs_s,H16)/G16,1)</f>
        <v>1</v>
      </c>
      <c r="J16" s="14" t="n">
        <f aca="false">IF(C16=1,FLOOR(t_fs_s/tau_L_s,1),0)</f>
        <v>0</v>
      </c>
      <c r="K16" s="17" t="n">
        <f aca="false">IF(D16=1,1-p_cb,1)</f>
        <v>0.3</v>
      </c>
      <c r="L16" s="17" t="n">
        <f aca="false">IF(C16=1,p_L,0)</f>
        <v>0</v>
      </c>
      <c r="M16" s="35" t="n">
        <f aca="false">SUMPRODUCT(w_ie2,1-(1-(j_row&lt;=I16)*K16^j_row)*(1-(j_row&lt;=J16)*L16^j_row))</f>
        <v>0.3</v>
      </c>
      <c r="N16" s="31" t="n">
        <f aca="false">occ_st*SUMPRODUCT(w_ie2,(j_row&lt;=I16)*K16^j_row*(j_row&lt;=J16)*L16^j_row*(((j_row*G16&lt;rset_s)+(j_row*tau_L_s&lt;rset_s))&gt;0)+(j_row&lt;=I16)*K16^j_row*(1-(j_row&lt;=J16)*L16^j_row)*(j_row*G16&lt;rset_s)+(1-(j_row&lt;=I16)*K16^j_row)*(j_row&lt;=J16)*L16^j_row*(j_row*tau_L_s&lt;rset_s))</f>
        <v>1.5</v>
      </c>
      <c r="O16" s="35" t="n">
        <f aca="false">IF(O$8&lt;N_st,1,0)*(1-(1-(O$8&lt;=I16)*K16^O$8)*(1-(O$8&lt;=J16)*L16^O$8))</f>
        <v>0.3</v>
      </c>
      <c r="P16" s="35" t="n">
        <f aca="false">IF(P$8&lt;N_st,1,0)*(1-(1-(P$8&lt;=I16)*K16^P$8)*(1-(P$8&lt;=J16)*L16^P$8))</f>
        <v>0</v>
      </c>
      <c r="Q16" s="35" t="n">
        <f aca="false">IF(Q$8&lt;N_st,1,0)*(1-(1-(Q$8&lt;=I16)*K16^Q$8)*(1-(Q$8&lt;=J16)*L16^Q$8))</f>
        <v>0</v>
      </c>
      <c r="R16" s="35" t="n">
        <f aca="false">IF(R$8&lt;N_st,1,0)*(1-(1-(R$8&lt;=I16)*K16^R$8)*(1-(R$8&lt;=J16)*L16^R$8))</f>
        <v>0</v>
      </c>
      <c r="S16" s="35" t="n">
        <f aca="false">IF(S$8&lt;N_st,1,0)*(1-(1-(S$8&lt;=I16)*K16^S$8)*(1-(S$8&lt;=J16)*L16^S$8))</f>
        <v>0</v>
      </c>
      <c r="T16" s="35" t="n">
        <f aca="false">IF(T$8&lt;N_st,1,0)*(1-(1-(T$8&lt;=I16)*K16^T$8)*(1-(T$8&lt;=J16)*L16^T$8))</f>
        <v>0</v>
      </c>
      <c r="U16" s="35" t="n">
        <f aca="false">IF(U$8&lt;N_st,1,0)*(1-(1-(U$8&lt;=I16)*K16^U$8)*(1-(U$8&lt;=J16)*L16^U$8))</f>
        <v>0</v>
      </c>
      <c r="V16" s="35" t="n">
        <f aca="false">IF(V$8&lt;N_st,1,0)*(1-(1-(V$8&lt;=I16)*K16^V$8)*(1-(V$8&lt;=J16)*L16^V$8))</f>
        <v>0</v>
      </c>
      <c r="W16" s="35" t="n">
        <f aca="false">IF(W$8&lt;N_st,1,0)*(1-(1-(W$8&lt;=I16)*K16^W$8)*(1-(W$8&lt;=J16)*L16^W$8))</f>
        <v>0</v>
      </c>
      <c r="X16" s="35" t="n">
        <f aca="false">IF(X$8&lt;N_st,1,0)*(1-(1-(X$8&lt;=I16)*K16^X$8)*(1-(X$8&lt;=J16)*L16^X$8))</f>
        <v>0</v>
      </c>
      <c r="Y16" s="35" t="n">
        <f aca="false">IF(Y$8&lt;N_st,1,0)*(1-(1-(Y$8&lt;=I16)*K16^Y$8)*(1-(Y$8&lt;=J16)*L16^Y$8))</f>
        <v>0</v>
      </c>
      <c r="Z16" s="35" t="n">
        <f aca="false">IF(Z$8&lt;N_st,1,0)*(1-(1-(Z$8&lt;=I16)*K16^Z$8)*(1-(Z$8&lt;=J16)*L16^Z$8))</f>
        <v>0</v>
      </c>
      <c r="AA16" s="35" t="n">
        <f aca="false">IF(AA$8&lt;N_st,1,0)*(1-(1-(AA$8&lt;=I16)*K16^AA$8)*(1-(AA$8&lt;=J16)*L16^AA$8))</f>
        <v>0</v>
      </c>
      <c r="AB16" s="35" t="n">
        <f aca="false">IF(AB$8&lt;N_st,1,0)*(1-(1-(AB$8&lt;=I16)*K16^AB$8)*(1-(AB$8&lt;=J16)*L16^AB$8))</f>
        <v>0</v>
      </c>
      <c r="AC16" s="35" t="n">
        <f aca="false">IF(AC$8&lt;N_st,1,0)*(1-(1-(AC$8&lt;=I16)*K16^AC$8)*(1-(AC$8&lt;=J16)*L16^AC$8))</f>
        <v>0</v>
      </c>
      <c r="AD16" s="35" t="n">
        <f aca="false">IF(AD$8&lt;N_st,1,0)*(1-(1-(AD$8&lt;=I16)*K16^AD$8)*(1-(AD$8&lt;=J16)*L16^AD$8))</f>
        <v>0</v>
      </c>
      <c r="AE16" s="35" t="n">
        <f aca="false">IF(AE$8&lt;N_st,1,0)*(1-(1-(AE$8&lt;=I16)*K16^AE$8)*(1-(AE$8&lt;=J16)*L16^AE$8))</f>
        <v>0</v>
      </c>
      <c r="AF16" s="35" t="n">
        <f aca="false">IF(AF$8&lt;N_st,1,0)*(1-(1-(AF$8&lt;=I16)*K16^AF$8)*(1-(AF$8&lt;=J16)*L16^AF$8))</f>
        <v>0</v>
      </c>
      <c r="AG16" s="35" t="n">
        <f aca="false">IF(AG$8&lt;N_st,1,0)*(1-(1-(AG$8&lt;=I16)*K16^AG$8)*(1-(AG$8&lt;=J16)*L16^AG$8))</f>
        <v>0</v>
      </c>
      <c r="AH16" s="35" t="n">
        <f aca="false">IF(AH$8&lt;N_st,1,0)*(1-(1-(AH$8&lt;=I16)*K16^AH$8)*(1-(AH$8&lt;=J16)*L16^AH$8))</f>
        <v>0</v>
      </c>
    </row>
    <row r="17" customFormat="false" ht="15" hidden="false" customHeight="false" outlineLevel="0" collapsed="false">
      <c r="A17" s="24" t="s">
        <v>199</v>
      </c>
      <c r="B17" s="14" t="s">
        <v>171</v>
      </c>
      <c r="C17" s="14" t="n">
        <v>2</v>
      </c>
      <c r="D17" s="14" t="n">
        <v>1</v>
      </c>
      <c r="E17" s="14" t="n">
        <v>0</v>
      </c>
      <c r="F17" s="32" t="n">
        <f aca="false">(1/2_시험자료!$D$21)*(1-2_시험자료!$F$21)</f>
        <v>0.291666666666667</v>
      </c>
      <c r="G17" s="33" t="n">
        <f aca="false">2_시험자료!G7</f>
        <v>481</v>
      </c>
      <c r="H17" s="34" t="n">
        <f aca="false">IF(E17=1,1000000000,texp2_s)</f>
        <v>750</v>
      </c>
      <c r="I17" s="14" t="n">
        <f aca="false">FLOOR(MIN(t_fs_s,H17)/G17,1)</f>
        <v>1</v>
      </c>
      <c r="J17" s="14" t="n">
        <f aca="false">IF(C17=1,FLOOR(t_fs_s/tau_L_s,1),0)</f>
        <v>0</v>
      </c>
      <c r="K17" s="17" t="n">
        <f aca="false">IF(D17=1,1-p_cb,1)</f>
        <v>0.3</v>
      </c>
      <c r="L17" s="17" t="n">
        <f aca="false">IF(C17=1,p_L,0)</f>
        <v>0</v>
      </c>
      <c r="M17" s="35" t="n">
        <f aca="false">SUMPRODUCT(w_ie2,1-(1-(j_row&lt;=I17)*K17^j_row)*(1-(j_row&lt;=J17)*L17^j_row))</f>
        <v>0.3</v>
      </c>
      <c r="N17" s="31" t="n">
        <f aca="false">occ_st*SUMPRODUCT(w_ie2,(j_row&lt;=I17)*K17^j_row*(j_row&lt;=J17)*L17^j_row*(((j_row*G17&lt;rset_s)+(j_row*tau_L_s&lt;rset_s))&gt;0)+(j_row&lt;=I17)*K17^j_row*(1-(j_row&lt;=J17)*L17^j_row)*(j_row*G17&lt;rset_s)+(1-(j_row&lt;=I17)*K17^j_row)*(j_row&lt;=J17)*L17^j_row*(j_row*tau_L_s&lt;rset_s))</f>
        <v>1.5</v>
      </c>
      <c r="O17" s="35" t="n">
        <f aca="false">IF(O$8&lt;N_st,1,0)*(1-(1-(O$8&lt;=I17)*K17^O$8)*(1-(O$8&lt;=J17)*L17^O$8))</f>
        <v>0.3</v>
      </c>
      <c r="P17" s="35" t="n">
        <f aca="false">IF(P$8&lt;N_st,1,0)*(1-(1-(P$8&lt;=I17)*K17^P$8)*(1-(P$8&lt;=J17)*L17^P$8))</f>
        <v>0</v>
      </c>
      <c r="Q17" s="35" t="n">
        <f aca="false">IF(Q$8&lt;N_st,1,0)*(1-(1-(Q$8&lt;=I17)*K17^Q$8)*(1-(Q$8&lt;=J17)*L17^Q$8))</f>
        <v>0</v>
      </c>
      <c r="R17" s="35" t="n">
        <f aca="false">IF(R$8&lt;N_st,1,0)*(1-(1-(R$8&lt;=I17)*K17^R$8)*(1-(R$8&lt;=J17)*L17^R$8))</f>
        <v>0</v>
      </c>
      <c r="S17" s="35" t="n">
        <f aca="false">IF(S$8&lt;N_st,1,0)*(1-(1-(S$8&lt;=I17)*K17^S$8)*(1-(S$8&lt;=J17)*L17^S$8))</f>
        <v>0</v>
      </c>
      <c r="T17" s="35" t="n">
        <f aca="false">IF(T$8&lt;N_st,1,0)*(1-(1-(T$8&lt;=I17)*K17^T$8)*(1-(T$8&lt;=J17)*L17^T$8))</f>
        <v>0</v>
      </c>
      <c r="U17" s="35" t="n">
        <f aca="false">IF(U$8&lt;N_st,1,0)*(1-(1-(U$8&lt;=I17)*K17^U$8)*(1-(U$8&lt;=J17)*L17^U$8))</f>
        <v>0</v>
      </c>
      <c r="V17" s="35" t="n">
        <f aca="false">IF(V$8&lt;N_st,1,0)*(1-(1-(V$8&lt;=I17)*K17^V$8)*(1-(V$8&lt;=J17)*L17^V$8))</f>
        <v>0</v>
      </c>
      <c r="W17" s="35" t="n">
        <f aca="false">IF(W$8&lt;N_st,1,0)*(1-(1-(W$8&lt;=I17)*K17^W$8)*(1-(W$8&lt;=J17)*L17^W$8))</f>
        <v>0</v>
      </c>
      <c r="X17" s="35" t="n">
        <f aca="false">IF(X$8&lt;N_st,1,0)*(1-(1-(X$8&lt;=I17)*K17^X$8)*(1-(X$8&lt;=J17)*L17^X$8))</f>
        <v>0</v>
      </c>
      <c r="Y17" s="35" t="n">
        <f aca="false">IF(Y$8&lt;N_st,1,0)*(1-(1-(Y$8&lt;=I17)*K17^Y$8)*(1-(Y$8&lt;=J17)*L17^Y$8))</f>
        <v>0</v>
      </c>
      <c r="Z17" s="35" t="n">
        <f aca="false">IF(Z$8&lt;N_st,1,0)*(1-(1-(Z$8&lt;=I17)*K17^Z$8)*(1-(Z$8&lt;=J17)*L17^Z$8))</f>
        <v>0</v>
      </c>
      <c r="AA17" s="35" t="n">
        <f aca="false">IF(AA$8&lt;N_st,1,0)*(1-(1-(AA$8&lt;=I17)*K17^AA$8)*(1-(AA$8&lt;=J17)*L17^AA$8))</f>
        <v>0</v>
      </c>
      <c r="AB17" s="35" t="n">
        <f aca="false">IF(AB$8&lt;N_st,1,0)*(1-(1-(AB$8&lt;=I17)*K17^AB$8)*(1-(AB$8&lt;=J17)*L17^AB$8))</f>
        <v>0</v>
      </c>
      <c r="AC17" s="35" t="n">
        <f aca="false">IF(AC$8&lt;N_st,1,0)*(1-(1-(AC$8&lt;=I17)*K17^AC$8)*(1-(AC$8&lt;=J17)*L17^AC$8))</f>
        <v>0</v>
      </c>
      <c r="AD17" s="35" t="n">
        <f aca="false">IF(AD$8&lt;N_st,1,0)*(1-(1-(AD$8&lt;=I17)*K17^AD$8)*(1-(AD$8&lt;=J17)*L17^AD$8))</f>
        <v>0</v>
      </c>
      <c r="AE17" s="35" t="n">
        <f aca="false">IF(AE$8&lt;N_st,1,0)*(1-(1-(AE$8&lt;=I17)*K17^AE$8)*(1-(AE$8&lt;=J17)*L17^AE$8))</f>
        <v>0</v>
      </c>
      <c r="AF17" s="35" t="n">
        <f aca="false">IF(AF$8&lt;N_st,1,0)*(1-(1-(AF$8&lt;=I17)*K17^AF$8)*(1-(AF$8&lt;=J17)*L17^AF$8))</f>
        <v>0</v>
      </c>
      <c r="AG17" s="35" t="n">
        <f aca="false">IF(AG$8&lt;N_st,1,0)*(1-(1-(AG$8&lt;=I17)*K17^AG$8)*(1-(AG$8&lt;=J17)*L17^AG$8))</f>
        <v>0</v>
      </c>
      <c r="AH17" s="35" t="n">
        <f aca="false">IF(AH$8&lt;N_st,1,0)*(1-(1-(AH$8&lt;=I17)*K17^AH$8)*(1-(AH$8&lt;=J17)*L17^AH$8))</f>
        <v>0</v>
      </c>
    </row>
    <row r="18" customFormat="false" ht="15" hidden="false" customHeight="false" outlineLevel="0" collapsed="false">
      <c r="A18" s="24" t="s">
        <v>199</v>
      </c>
      <c r="B18" s="14" t="s">
        <v>175</v>
      </c>
      <c r="C18" s="14" t="n">
        <v>1</v>
      </c>
      <c r="D18" s="14" t="n">
        <v>0</v>
      </c>
      <c r="E18" s="14" t="n">
        <v>1</v>
      </c>
      <c r="F18" s="32" t="n">
        <f aca="false">(1/2_시험자료!$D$21)*2_시험자료!$F$21</f>
        <v>0.0416666666666667</v>
      </c>
      <c r="G18" s="33" t="n">
        <f aca="false">2_시험자료!G8</f>
        <v>1000000000</v>
      </c>
      <c r="H18" s="34" t="n">
        <f aca="false">IF(E18=1,1000000000,texp1_s)</f>
        <v>1000000000</v>
      </c>
      <c r="I18" s="14" t="n">
        <f aca="false">FLOOR(MIN(t_fs_s,H18)/G18,1)</f>
        <v>0</v>
      </c>
      <c r="J18" s="14" t="n">
        <f aca="false">IF(C18=1,FLOOR(t_fs_s/tau_L_s,1),0)</f>
        <v>1</v>
      </c>
      <c r="K18" s="17" t="n">
        <f aca="false">IF(D18=1,1-p_cb,1)</f>
        <v>1</v>
      </c>
      <c r="L18" s="17" t="n">
        <f aca="false">IF(C18=1,p_L,0)</f>
        <v>0.15</v>
      </c>
      <c r="M18" s="35" t="n">
        <f aca="false">SUMPRODUCT(w_ie1,1-(1-(j_row&lt;=I18)*K18^j_row)*(1-(j_row&lt;=J18)*L18^j_row))</f>
        <v>0.14</v>
      </c>
      <c r="N18" s="31" t="n">
        <f aca="false">occ_st*SUMPRODUCT(w_ie1,(j_row&lt;=I18)*K18^j_row*(j_row&lt;=J18)*L18^j_row*(((j_row*G18&lt;rset_s)+(j_row*tau_L_s&lt;rset_s))&gt;0)+(j_row&lt;=I18)*K18^j_row*(1-(j_row&lt;=J18)*L18^j_row)*(j_row*G18&lt;rset_s)+(1-(j_row&lt;=I18)*K18^j_row)*(j_row&lt;=J18)*L18^j_row*(j_row*tau_L_s&lt;rset_s))</f>
        <v>0.7</v>
      </c>
      <c r="O18" s="35" t="n">
        <f aca="false">IF(O$8&lt;N_st,(N_st-O$8)/N_st,0)*(1-(1-(O$8&lt;=I18)*K18^O$8)*(1-(O$8&lt;=J18)*L18^O$8))</f>
        <v>0.14</v>
      </c>
      <c r="P18" s="35" t="n">
        <f aca="false">IF(P$8&lt;N_st,(N_st-P$8)/N_st,0)*(1-(1-(P$8&lt;=I18)*K18^P$8)*(1-(P$8&lt;=J18)*L18^P$8))</f>
        <v>0</v>
      </c>
      <c r="Q18" s="35" t="n">
        <f aca="false">IF(Q$8&lt;N_st,(N_st-Q$8)/N_st,0)*(1-(1-(Q$8&lt;=I18)*K18^Q$8)*(1-(Q$8&lt;=J18)*L18^Q$8))</f>
        <v>0</v>
      </c>
      <c r="R18" s="35" t="n">
        <f aca="false">IF(R$8&lt;N_st,(N_st-R$8)/N_st,0)*(1-(1-(R$8&lt;=I18)*K18^R$8)*(1-(R$8&lt;=J18)*L18^R$8))</f>
        <v>0</v>
      </c>
      <c r="S18" s="35" t="n">
        <f aca="false">IF(S$8&lt;N_st,(N_st-S$8)/N_st,0)*(1-(1-(S$8&lt;=I18)*K18^S$8)*(1-(S$8&lt;=J18)*L18^S$8))</f>
        <v>0</v>
      </c>
      <c r="T18" s="35" t="n">
        <f aca="false">IF(T$8&lt;N_st,(N_st-T$8)/N_st,0)*(1-(1-(T$8&lt;=I18)*K18^T$8)*(1-(T$8&lt;=J18)*L18^T$8))</f>
        <v>0</v>
      </c>
      <c r="U18" s="35" t="n">
        <f aca="false">IF(U$8&lt;N_st,(N_st-U$8)/N_st,0)*(1-(1-(U$8&lt;=I18)*K18^U$8)*(1-(U$8&lt;=J18)*L18^U$8))</f>
        <v>0</v>
      </c>
      <c r="V18" s="35" t="n">
        <f aca="false">IF(V$8&lt;N_st,(N_st-V$8)/N_st,0)*(1-(1-(V$8&lt;=I18)*K18^V$8)*(1-(V$8&lt;=J18)*L18^V$8))</f>
        <v>0</v>
      </c>
      <c r="W18" s="35" t="n">
        <f aca="false">IF(W$8&lt;N_st,(N_st-W$8)/N_st,0)*(1-(1-(W$8&lt;=I18)*K18^W$8)*(1-(W$8&lt;=J18)*L18^W$8))</f>
        <v>0</v>
      </c>
      <c r="X18" s="35" t="n">
        <f aca="false">IF(X$8&lt;N_st,(N_st-X$8)/N_st,0)*(1-(1-(X$8&lt;=I18)*K18^X$8)*(1-(X$8&lt;=J18)*L18^X$8))</f>
        <v>0</v>
      </c>
      <c r="Y18" s="35" t="n">
        <f aca="false">IF(Y$8&lt;N_st,(N_st-Y$8)/N_st,0)*(1-(1-(Y$8&lt;=I18)*K18^Y$8)*(1-(Y$8&lt;=J18)*L18^Y$8))</f>
        <v>0</v>
      </c>
      <c r="Z18" s="35" t="n">
        <f aca="false">IF(Z$8&lt;N_st,(N_st-Z$8)/N_st,0)*(1-(1-(Z$8&lt;=I18)*K18^Z$8)*(1-(Z$8&lt;=J18)*L18^Z$8))</f>
        <v>0</v>
      </c>
      <c r="AA18" s="35" t="n">
        <f aca="false">IF(AA$8&lt;N_st,(N_st-AA$8)/N_st,0)*(1-(1-(AA$8&lt;=I18)*K18^AA$8)*(1-(AA$8&lt;=J18)*L18^AA$8))</f>
        <v>0</v>
      </c>
      <c r="AB18" s="35" t="n">
        <f aca="false">IF(AB$8&lt;N_st,(N_st-AB$8)/N_st,0)*(1-(1-(AB$8&lt;=I18)*K18^AB$8)*(1-(AB$8&lt;=J18)*L18^AB$8))</f>
        <v>0</v>
      </c>
      <c r="AC18" s="35" t="n">
        <f aca="false">IF(AC$8&lt;N_st,(N_st-AC$8)/N_st,0)*(1-(1-(AC$8&lt;=I18)*K18^AC$8)*(1-(AC$8&lt;=J18)*L18^AC$8))</f>
        <v>0</v>
      </c>
      <c r="AD18" s="35" t="n">
        <f aca="false">IF(AD$8&lt;N_st,(N_st-AD$8)/N_st,0)*(1-(1-(AD$8&lt;=I18)*K18^AD$8)*(1-(AD$8&lt;=J18)*L18^AD$8))</f>
        <v>0</v>
      </c>
      <c r="AE18" s="35" t="n">
        <f aca="false">IF(AE$8&lt;N_st,(N_st-AE$8)/N_st,0)*(1-(1-(AE$8&lt;=I18)*K18^AE$8)*(1-(AE$8&lt;=J18)*L18^AE$8))</f>
        <v>0</v>
      </c>
      <c r="AF18" s="35" t="n">
        <f aca="false">IF(AF$8&lt;N_st,(N_st-AF$8)/N_st,0)*(1-(1-(AF$8&lt;=I18)*K18^AF$8)*(1-(AF$8&lt;=J18)*L18^AF$8))</f>
        <v>0</v>
      </c>
      <c r="AG18" s="35" t="n">
        <f aca="false">IF(AG$8&lt;N_st,(N_st-AG$8)/N_st,0)*(1-(1-(AG$8&lt;=I18)*K18^AG$8)*(1-(AG$8&lt;=J18)*L18^AG$8))</f>
        <v>0</v>
      </c>
      <c r="AH18" s="35" t="n">
        <f aca="false">IF(AH$8&lt;N_st,(N_st-AH$8)/N_st,0)*(1-(1-(AH$8&lt;=I18)*K18^AH$8)*(1-(AH$8&lt;=J18)*L18^AH$8))</f>
        <v>0</v>
      </c>
    </row>
    <row r="19" customFormat="false" ht="15" hidden="false" customHeight="false" outlineLevel="0" collapsed="false">
      <c r="A19" s="24" t="s">
        <v>199</v>
      </c>
      <c r="B19" s="14" t="s">
        <v>175</v>
      </c>
      <c r="C19" s="14" t="n">
        <v>1</v>
      </c>
      <c r="D19" s="14" t="n">
        <v>0</v>
      </c>
      <c r="E19" s="14" t="n">
        <v>0</v>
      </c>
      <c r="F19" s="32" t="n">
        <f aca="false">(1/2_시험자료!$D$21)*(1-2_시험자료!$F$21)</f>
        <v>0.291666666666667</v>
      </c>
      <c r="G19" s="33" t="n">
        <f aca="false">2_시험자료!G8</f>
        <v>1000000000</v>
      </c>
      <c r="H19" s="34" t="n">
        <f aca="false">IF(E19=1,1000000000,texp1_s)</f>
        <v>1200</v>
      </c>
      <c r="I19" s="14" t="n">
        <f aca="false">FLOOR(MIN(t_fs_s,H19)/G19,1)</f>
        <v>0</v>
      </c>
      <c r="J19" s="14" t="n">
        <f aca="false">IF(C19=1,FLOOR(t_fs_s/tau_L_s,1),0)</f>
        <v>1</v>
      </c>
      <c r="K19" s="17" t="n">
        <f aca="false">IF(D19=1,1-p_cb,1)</f>
        <v>1</v>
      </c>
      <c r="L19" s="17" t="n">
        <f aca="false">IF(C19=1,p_L,0)</f>
        <v>0.15</v>
      </c>
      <c r="M19" s="35" t="n">
        <f aca="false">SUMPRODUCT(w_ie1,1-(1-(j_row&lt;=I19)*K19^j_row)*(1-(j_row&lt;=J19)*L19^j_row))</f>
        <v>0.14</v>
      </c>
      <c r="N19" s="31" t="n">
        <f aca="false">occ_st*SUMPRODUCT(w_ie1,(j_row&lt;=I19)*K19^j_row*(j_row&lt;=J19)*L19^j_row*(((j_row*G19&lt;rset_s)+(j_row*tau_L_s&lt;rset_s))&gt;0)+(j_row&lt;=I19)*K19^j_row*(1-(j_row&lt;=J19)*L19^j_row)*(j_row*G19&lt;rset_s)+(1-(j_row&lt;=I19)*K19^j_row)*(j_row&lt;=J19)*L19^j_row*(j_row*tau_L_s&lt;rset_s))</f>
        <v>0.7</v>
      </c>
      <c r="O19" s="35" t="n">
        <f aca="false">IF(O$8&lt;N_st,(N_st-O$8)/N_st,0)*(1-(1-(O$8&lt;=I19)*K19^O$8)*(1-(O$8&lt;=J19)*L19^O$8))</f>
        <v>0.14</v>
      </c>
      <c r="P19" s="35" t="n">
        <f aca="false">IF(P$8&lt;N_st,(N_st-P$8)/N_st,0)*(1-(1-(P$8&lt;=I19)*K19^P$8)*(1-(P$8&lt;=J19)*L19^P$8))</f>
        <v>0</v>
      </c>
      <c r="Q19" s="35" t="n">
        <f aca="false">IF(Q$8&lt;N_st,(N_st-Q$8)/N_st,0)*(1-(1-(Q$8&lt;=I19)*K19^Q$8)*(1-(Q$8&lt;=J19)*L19^Q$8))</f>
        <v>0</v>
      </c>
      <c r="R19" s="35" t="n">
        <f aca="false">IF(R$8&lt;N_st,(N_st-R$8)/N_st,0)*(1-(1-(R$8&lt;=I19)*K19^R$8)*(1-(R$8&lt;=J19)*L19^R$8))</f>
        <v>0</v>
      </c>
      <c r="S19" s="35" t="n">
        <f aca="false">IF(S$8&lt;N_st,(N_st-S$8)/N_st,0)*(1-(1-(S$8&lt;=I19)*K19^S$8)*(1-(S$8&lt;=J19)*L19^S$8))</f>
        <v>0</v>
      </c>
      <c r="T19" s="35" t="n">
        <f aca="false">IF(T$8&lt;N_st,(N_st-T$8)/N_st,0)*(1-(1-(T$8&lt;=I19)*K19^T$8)*(1-(T$8&lt;=J19)*L19^T$8))</f>
        <v>0</v>
      </c>
      <c r="U19" s="35" t="n">
        <f aca="false">IF(U$8&lt;N_st,(N_st-U$8)/N_st,0)*(1-(1-(U$8&lt;=I19)*K19^U$8)*(1-(U$8&lt;=J19)*L19^U$8))</f>
        <v>0</v>
      </c>
      <c r="V19" s="35" t="n">
        <f aca="false">IF(V$8&lt;N_st,(N_st-V$8)/N_st,0)*(1-(1-(V$8&lt;=I19)*K19^V$8)*(1-(V$8&lt;=J19)*L19^V$8))</f>
        <v>0</v>
      </c>
      <c r="W19" s="35" t="n">
        <f aca="false">IF(W$8&lt;N_st,(N_st-W$8)/N_st,0)*(1-(1-(W$8&lt;=I19)*K19^W$8)*(1-(W$8&lt;=J19)*L19^W$8))</f>
        <v>0</v>
      </c>
      <c r="X19" s="35" t="n">
        <f aca="false">IF(X$8&lt;N_st,(N_st-X$8)/N_st,0)*(1-(1-(X$8&lt;=I19)*K19^X$8)*(1-(X$8&lt;=J19)*L19^X$8))</f>
        <v>0</v>
      </c>
      <c r="Y19" s="35" t="n">
        <f aca="false">IF(Y$8&lt;N_st,(N_st-Y$8)/N_st,0)*(1-(1-(Y$8&lt;=I19)*K19^Y$8)*(1-(Y$8&lt;=J19)*L19^Y$8))</f>
        <v>0</v>
      </c>
      <c r="Z19" s="35" t="n">
        <f aca="false">IF(Z$8&lt;N_st,(N_st-Z$8)/N_st,0)*(1-(1-(Z$8&lt;=I19)*K19^Z$8)*(1-(Z$8&lt;=J19)*L19^Z$8))</f>
        <v>0</v>
      </c>
      <c r="AA19" s="35" t="n">
        <f aca="false">IF(AA$8&lt;N_st,(N_st-AA$8)/N_st,0)*(1-(1-(AA$8&lt;=I19)*K19^AA$8)*(1-(AA$8&lt;=J19)*L19^AA$8))</f>
        <v>0</v>
      </c>
      <c r="AB19" s="35" t="n">
        <f aca="false">IF(AB$8&lt;N_st,(N_st-AB$8)/N_st,0)*(1-(1-(AB$8&lt;=I19)*K19^AB$8)*(1-(AB$8&lt;=J19)*L19^AB$8))</f>
        <v>0</v>
      </c>
      <c r="AC19" s="35" t="n">
        <f aca="false">IF(AC$8&lt;N_st,(N_st-AC$8)/N_st,0)*(1-(1-(AC$8&lt;=I19)*K19^AC$8)*(1-(AC$8&lt;=J19)*L19^AC$8))</f>
        <v>0</v>
      </c>
      <c r="AD19" s="35" t="n">
        <f aca="false">IF(AD$8&lt;N_st,(N_st-AD$8)/N_st,0)*(1-(1-(AD$8&lt;=I19)*K19^AD$8)*(1-(AD$8&lt;=J19)*L19^AD$8))</f>
        <v>0</v>
      </c>
      <c r="AE19" s="35" t="n">
        <f aca="false">IF(AE$8&lt;N_st,(N_st-AE$8)/N_st,0)*(1-(1-(AE$8&lt;=I19)*K19^AE$8)*(1-(AE$8&lt;=J19)*L19^AE$8))</f>
        <v>0</v>
      </c>
      <c r="AF19" s="35" t="n">
        <f aca="false">IF(AF$8&lt;N_st,(N_st-AF$8)/N_st,0)*(1-(1-(AF$8&lt;=I19)*K19^AF$8)*(1-(AF$8&lt;=J19)*L19^AF$8))</f>
        <v>0</v>
      </c>
      <c r="AG19" s="35" t="n">
        <f aca="false">IF(AG$8&lt;N_st,(N_st-AG$8)/N_st,0)*(1-(1-(AG$8&lt;=I19)*K19^AG$8)*(1-(AG$8&lt;=J19)*L19^AG$8))</f>
        <v>0</v>
      </c>
      <c r="AH19" s="35" t="n">
        <f aca="false">IF(AH$8&lt;N_st,(N_st-AH$8)/N_st,0)*(1-(1-(AH$8&lt;=I19)*K19^AH$8)*(1-(AH$8&lt;=J19)*L19^AH$8))</f>
        <v>0</v>
      </c>
    </row>
    <row r="20" customFormat="false" ht="15" hidden="false" customHeight="false" outlineLevel="0" collapsed="false">
      <c r="A20" s="24" t="s">
        <v>199</v>
      </c>
      <c r="B20" s="14" t="s">
        <v>175</v>
      </c>
      <c r="C20" s="14" t="n">
        <v>1</v>
      </c>
      <c r="D20" s="14" t="n">
        <v>1</v>
      </c>
      <c r="E20" s="14" t="n">
        <v>1</v>
      </c>
      <c r="F20" s="32" t="n">
        <f aca="false">(1/2_시험자료!$D$21)*2_시험자료!$F$21</f>
        <v>0.0416666666666667</v>
      </c>
      <c r="G20" s="33" t="n">
        <f aca="false">2_시험자료!G8</f>
        <v>1000000000</v>
      </c>
      <c r="H20" s="34" t="n">
        <f aca="false">IF(E20=1,1000000000,texp1_s)</f>
        <v>1000000000</v>
      </c>
      <c r="I20" s="14" t="n">
        <f aca="false">FLOOR(MIN(t_fs_s,H20)/G20,1)</f>
        <v>0</v>
      </c>
      <c r="J20" s="14" t="n">
        <f aca="false">IF(C20=1,FLOOR(t_fs_s/tau_L_s,1),0)</f>
        <v>1</v>
      </c>
      <c r="K20" s="17" t="n">
        <f aca="false">IF(D20=1,1-p_cb,1)</f>
        <v>0.3</v>
      </c>
      <c r="L20" s="17" t="n">
        <f aca="false">IF(C20=1,p_L,0)</f>
        <v>0.15</v>
      </c>
      <c r="M20" s="35" t="n">
        <f aca="false">SUMPRODUCT(w_ie1,1-(1-(j_row&lt;=I20)*K20^j_row)*(1-(j_row&lt;=J20)*L20^j_row))</f>
        <v>0.14</v>
      </c>
      <c r="N20" s="31" t="n">
        <f aca="false">occ_st*SUMPRODUCT(w_ie1,(j_row&lt;=I20)*K20^j_row*(j_row&lt;=J20)*L20^j_row*(((j_row*G20&lt;rset_s)+(j_row*tau_L_s&lt;rset_s))&gt;0)+(j_row&lt;=I20)*K20^j_row*(1-(j_row&lt;=J20)*L20^j_row)*(j_row*G20&lt;rset_s)+(1-(j_row&lt;=I20)*K20^j_row)*(j_row&lt;=J20)*L20^j_row*(j_row*tau_L_s&lt;rset_s))</f>
        <v>0.7</v>
      </c>
      <c r="O20" s="35" t="n">
        <f aca="false">IF(O$8&lt;N_st,(N_st-O$8)/N_st,0)*(1-(1-(O$8&lt;=I20)*K20^O$8)*(1-(O$8&lt;=J20)*L20^O$8))</f>
        <v>0.14</v>
      </c>
      <c r="P20" s="35" t="n">
        <f aca="false">IF(P$8&lt;N_st,(N_st-P$8)/N_st,0)*(1-(1-(P$8&lt;=I20)*K20^P$8)*(1-(P$8&lt;=J20)*L20^P$8))</f>
        <v>0</v>
      </c>
      <c r="Q20" s="35" t="n">
        <f aca="false">IF(Q$8&lt;N_st,(N_st-Q$8)/N_st,0)*(1-(1-(Q$8&lt;=I20)*K20^Q$8)*(1-(Q$8&lt;=J20)*L20^Q$8))</f>
        <v>0</v>
      </c>
      <c r="R20" s="35" t="n">
        <f aca="false">IF(R$8&lt;N_st,(N_st-R$8)/N_st,0)*(1-(1-(R$8&lt;=I20)*K20^R$8)*(1-(R$8&lt;=J20)*L20^R$8))</f>
        <v>0</v>
      </c>
      <c r="S20" s="35" t="n">
        <f aca="false">IF(S$8&lt;N_st,(N_st-S$8)/N_st,0)*(1-(1-(S$8&lt;=I20)*K20^S$8)*(1-(S$8&lt;=J20)*L20^S$8))</f>
        <v>0</v>
      </c>
      <c r="T20" s="35" t="n">
        <f aca="false">IF(T$8&lt;N_st,(N_st-T$8)/N_st,0)*(1-(1-(T$8&lt;=I20)*K20^T$8)*(1-(T$8&lt;=J20)*L20^T$8))</f>
        <v>0</v>
      </c>
      <c r="U20" s="35" t="n">
        <f aca="false">IF(U$8&lt;N_st,(N_st-U$8)/N_st,0)*(1-(1-(U$8&lt;=I20)*K20^U$8)*(1-(U$8&lt;=J20)*L20^U$8))</f>
        <v>0</v>
      </c>
      <c r="V20" s="35" t="n">
        <f aca="false">IF(V$8&lt;N_st,(N_st-V$8)/N_st,0)*(1-(1-(V$8&lt;=I20)*K20^V$8)*(1-(V$8&lt;=J20)*L20^V$8))</f>
        <v>0</v>
      </c>
      <c r="W20" s="35" t="n">
        <f aca="false">IF(W$8&lt;N_st,(N_st-W$8)/N_st,0)*(1-(1-(W$8&lt;=I20)*K20^W$8)*(1-(W$8&lt;=J20)*L20^W$8))</f>
        <v>0</v>
      </c>
      <c r="X20" s="35" t="n">
        <f aca="false">IF(X$8&lt;N_st,(N_st-X$8)/N_st,0)*(1-(1-(X$8&lt;=I20)*K20^X$8)*(1-(X$8&lt;=J20)*L20^X$8))</f>
        <v>0</v>
      </c>
      <c r="Y20" s="35" t="n">
        <f aca="false">IF(Y$8&lt;N_st,(N_st-Y$8)/N_st,0)*(1-(1-(Y$8&lt;=I20)*K20^Y$8)*(1-(Y$8&lt;=J20)*L20^Y$8))</f>
        <v>0</v>
      </c>
      <c r="Z20" s="35" t="n">
        <f aca="false">IF(Z$8&lt;N_st,(N_st-Z$8)/N_st,0)*(1-(1-(Z$8&lt;=I20)*K20^Z$8)*(1-(Z$8&lt;=J20)*L20^Z$8))</f>
        <v>0</v>
      </c>
      <c r="AA20" s="35" t="n">
        <f aca="false">IF(AA$8&lt;N_st,(N_st-AA$8)/N_st,0)*(1-(1-(AA$8&lt;=I20)*K20^AA$8)*(1-(AA$8&lt;=J20)*L20^AA$8))</f>
        <v>0</v>
      </c>
      <c r="AB20" s="35" t="n">
        <f aca="false">IF(AB$8&lt;N_st,(N_st-AB$8)/N_st,0)*(1-(1-(AB$8&lt;=I20)*K20^AB$8)*(1-(AB$8&lt;=J20)*L20^AB$8))</f>
        <v>0</v>
      </c>
      <c r="AC20" s="35" t="n">
        <f aca="false">IF(AC$8&lt;N_st,(N_st-AC$8)/N_st,0)*(1-(1-(AC$8&lt;=I20)*K20^AC$8)*(1-(AC$8&lt;=J20)*L20^AC$8))</f>
        <v>0</v>
      </c>
      <c r="AD20" s="35" t="n">
        <f aca="false">IF(AD$8&lt;N_st,(N_st-AD$8)/N_st,0)*(1-(1-(AD$8&lt;=I20)*K20^AD$8)*(1-(AD$8&lt;=J20)*L20^AD$8))</f>
        <v>0</v>
      </c>
      <c r="AE20" s="35" t="n">
        <f aca="false">IF(AE$8&lt;N_st,(N_st-AE$8)/N_st,0)*(1-(1-(AE$8&lt;=I20)*K20^AE$8)*(1-(AE$8&lt;=J20)*L20^AE$8))</f>
        <v>0</v>
      </c>
      <c r="AF20" s="35" t="n">
        <f aca="false">IF(AF$8&lt;N_st,(N_st-AF$8)/N_st,0)*(1-(1-(AF$8&lt;=I20)*K20^AF$8)*(1-(AF$8&lt;=J20)*L20^AF$8))</f>
        <v>0</v>
      </c>
      <c r="AG20" s="35" t="n">
        <f aca="false">IF(AG$8&lt;N_st,(N_st-AG$8)/N_st,0)*(1-(1-(AG$8&lt;=I20)*K20^AG$8)*(1-(AG$8&lt;=J20)*L20^AG$8))</f>
        <v>0</v>
      </c>
      <c r="AH20" s="35" t="n">
        <f aca="false">IF(AH$8&lt;N_st,(N_st-AH$8)/N_st,0)*(1-(1-(AH$8&lt;=I20)*K20^AH$8)*(1-(AH$8&lt;=J20)*L20^AH$8))</f>
        <v>0</v>
      </c>
    </row>
    <row r="21" customFormat="false" ht="15" hidden="false" customHeight="false" outlineLevel="0" collapsed="false">
      <c r="A21" s="24" t="s">
        <v>199</v>
      </c>
      <c r="B21" s="14" t="s">
        <v>175</v>
      </c>
      <c r="C21" s="14" t="n">
        <v>1</v>
      </c>
      <c r="D21" s="14" t="n">
        <v>1</v>
      </c>
      <c r="E21" s="14" t="n">
        <v>0</v>
      </c>
      <c r="F21" s="32" t="n">
        <f aca="false">(1/2_시험자료!$D$21)*(1-2_시험자료!$F$21)</f>
        <v>0.291666666666667</v>
      </c>
      <c r="G21" s="33" t="n">
        <f aca="false">2_시험자료!G8</f>
        <v>1000000000</v>
      </c>
      <c r="H21" s="34" t="n">
        <f aca="false">IF(E21=1,1000000000,texp1_s)</f>
        <v>1200</v>
      </c>
      <c r="I21" s="14" t="n">
        <f aca="false">FLOOR(MIN(t_fs_s,H21)/G21,1)</f>
        <v>0</v>
      </c>
      <c r="J21" s="14" t="n">
        <f aca="false">IF(C21=1,FLOOR(t_fs_s/tau_L_s,1),0)</f>
        <v>1</v>
      </c>
      <c r="K21" s="17" t="n">
        <f aca="false">IF(D21=1,1-p_cb,1)</f>
        <v>0.3</v>
      </c>
      <c r="L21" s="17" t="n">
        <f aca="false">IF(C21=1,p_L,0)</f>
        <v>0.15</v>
      </c>
      <c r="M21" s="35" t="n">
        <f aca="false">SUMPRODUCT(w_ie1,1-(1-(j_row&lt;=I21)*K21^j_row)*(1-(j_row&lt;=J21)*L21^j_row))</f>
        <v>0.14</v>
      </c>
      <c r="N21" s="31" t="n">
        <f aca="false">occ_st*SUMPRODUCT(w_ie1,(j_row&lt;=I21)*K21^j_row*(j_row&lt;=J21)*L21^j_row*(((j_row*G21&lt;rset_s)+(j_row*tau_L_s&lt;rset_s))&gt;0)+(j_row&lt;=I21)*K21^j_row*(1-(j_row&lt;=J21)*L21^j_row)*(j_row*G21&lt;rset_s)+(1-(j_row&lt;=I21)*K21^j_row)*(j_row&lt;=J21)*L21^j_row*(j_row*tau_L_s&lt;rset_s))</f>
        <v>0.7</v>
      </c>
      <c r="O21" s="35" t="n">
        <f aca="false">IF(O$8&lt;N_st,(N_st-O$8)/N_st,0)*(1-(1-(O$8&lt;=I21)*K21^O$8)*(1-(O$8&lt;=J21)*L21^O$8))</f>
        <v>0.14</v>
      </c>
      <c r="P21" s="35" t="n">
        <f aca="false">IF(P$8&lt;N_st,(N_st-P$8)/N_st,0)*(1-(1-(P$8&lt;=I21)*K21^P$8)*(1-(P$8&lt;=J21)*L21^P$8))</f>
        <v>0</v>
      </c>
      <c r="Q21" s="35" t="n">
        <f aca="false">IF(Q$8&lt;N_st,(N_st-Q$8)/N_st,0)*(1-(1-(Q$8&lt;=I21)*K21^Q$8)*(1-(Q$8&lt;=J21)*L21^Q$8))</f>
        <v>0</v>
      </c>
      <c r="R21" s="35" t="n">
        <f aca="false">IF(R$8&lt;N_st,(N_st-R$8)/N_st,0)*(1-(1-(R$8&lt;=I21)*K21^R$8)*(1-(R$8&lt;=J21)*L21^R$8))</f>
        <v>0</v>
      </c>
      <c r="S21" s="35" t="n">
        <f aca="false">IF(S$8&lt;N_st,(N_st-S$8)/N_st,0)*(1-(1-(S$8&lt;=I21)*K21^S$8)*(1-(S$8&lt;=J21)*L21^S$8))</f>
        <v>0</v>
      </c>
      <c r="T21" s="35" t="n">
        <f aca="false">IF(T$8&lt;N_st,(N_st-T$8)/N_st,0)*(1-(1-(T$8&lt;=I21)*K21^T$8)*(1-(T$8&lt;=J21)*L21^T$8))</f>
        <v>0</v>
      </c>
      <c r="U21" s="35" t="n">
        <f aca="false">IF(U$8&lt;N_st,(N_st-U$8)/N_st,0)*(1-(1-(U$8&lt;=I21)*K21^U$8)*(1-(U$8&lt;=J21)*L21^U$8))</f>
        <v>0</v>
      </c>
      <c r="V21" s="35" t="n">
        <f aca="false">IF(V$8&lt;N_st,(N_st-V$8)/N_st,0)*(1-(1-(V$8&lt;=I21)*K21^V$8)*(1-(V$8&lt;=J21)*L21^V$8))</f>
        <v>0</v>
      </c>
      <c r="W21" s="35" t="n">
        <f aca="false">IF(W$8&lt;N_st,(N_st-W$8)/N_st,0)*(1-(1-(W$8&lt;=I21)*K21^W$8)*(1-(W$8&lt;=J21)*L21^W$8))</f>
        <v>0</v>
      </c>
      <c r="X21" s="35" t="n">
        <f aca="false">IF(X$8&lt;N_st,(N_st-X$8)/N_st,0)*(1-(1-(X$8&lt;=I21)*K21^X$8)*(1-(X$8&lt;=J21)*L21^X$8))</f>
        <v>0</v>
      </c>
      <c r="Y21" s="35" t="n">
        <f aca="false">IF(Y$8&lt;N_st,(N_st-Y$8)/N_st,0)*(1-(1-(Y$8&lt;=I21)*K21^Y$8)*(1-(Y$8&lt;=J21)*L21^Y$8))</f>
        <v>0</v>
      </c>
      <c r="Z21" s="35" t="n">
        <f aca="false">IF(Z$8&lt;N_st,(N_st-Z$8)/N_st,0)*(1-(1-(Z$8&lt;=I21)*K21^Z$8)*(1-(Z$8&lt;=J21)*L21^Z$8))</f>
        <v>0</v>
      </c>
      <c r="AA21" s="35" t="n">
        <f aca="false">IF(AA$8&lt;N_st,(N_st-AA$8)/N_st,0)*(1-(1-(AA$8&lt;=I21)*K21^AA$8)*(1-(AA$8&lt;=J21)*L21^AA$8))</f>
        <v>0</v>
      </c>
      <c r="AB21" s="35" t="n">
        <f aca="false">IF(AB$8&lt;N_st,(N_st-AB$8)/N_st,0)*(1-(1-(AB$8&lt;=I21)*K21^AB$8)*(1-(AB$8&lt;=J21)*L21^AB$8))</f>
        <v>0</v>
      </c>
      <c r="AC21" s="35" t="n">
        <f aca="false">IF(AC$8&lt;N_st,(N_st-AC$8)/N_st,0)*(1-(1-(AC$8&lt;=I21)*K21^AC$8)*(1-(AC$8&lt;=J21)*L21^AC$8))</f>
        <v>0</v>
      </c>
      <c r="AD21" s="35" t="n">
        <f aca="false">IF(AD$8&lt;N_st,(N_st-AD$8)/N_st,0)*(1-(1-(AD$8&lt;=I21)*K21^AD$8)*(1-(AD$8&lt;=J21)*L21^AD$8))</f>
        <v>0</v>
      </c>
      <c r="AE21" s="35" t="n">
        <f aca="false">IF(AE$8&lt;N_st,(N_st-AE$8)/N_st,0)*(1-(1-(AE$8&lt;=I21)*K21^AE$8)*(1-(AE$8&lt;=J21)*L21^AE$8))</f>
        <v>0</v>
      </c>
      <c r="AF21" s="35" t="n">
        <f aca="false">IF(AF$8&lt;N_st,(N_st-AF$8)/N_st,0)*(1-(1-(AF$8&lt;=I21)*K21^AF$8)*(1-(AF$8&lt;=J21)*L21^AF$8))</f>
        <v>0</v>
      </c>
      <c r="AG21" s="35" t="n">
        <f aca="false">IF(AG$8&lt;N_st,(N_st-AG$8)/N_st,0)*(1-(1-(AG$8&lt;=I21)*K21^AG$8)*(1-(AG$8&lt;=J21)*L21^AG$8))</f>
        <v>0</v>
      </c>
      <c r="AH21" s="35" t="n">
        <f aca="false">IF(AH$8&lt;N_st,(N_st-AH$8)/N_st,0)*(1-(1-(AH$8&lt;=I21)*K21^AH$8)*(1-(AH$8&lt;=J21)*L21^AH$8))</f>
        <v>0</v>
      </c>
    </row>
    <row r="22" customFormat="false" ht="15" hidden="false" customHeight="false" outlineLevel="0" collapsed="false">
      <c r="A22" s="24" t="s">
        <v>199</v>
      </c>
      <c r="B22" s="14" t="s">
        <v>175</v>
      </c>
      <c r="C22" s="14" t="n">
        <v>2</v>
      </c>
      <c r="D22" s="14" t="n">
        <v>0</v>
      </c>
      <c r="E22" s="14" t="n">
        <v>1</v>
      </c>
      <c r="F22" s="32" t="n">
        <f aca="false">(1/2_시험자료!$D$21)*2_시험자료!$F$21</f>
        <v>0.0416666666666667</v>
      </c>
      <c r="G22" s="33" t="n">
        <f aca="false">2_시험자료!G8</f>
        <v>1000000000</v>
      </c>
      <c r="H22" s="34" t="n">
        <f aca="false">IF(E22=1,1000000000,texp2_s)</f>
        <v>1000000000</v>
      </c>
      <c r="I22" s="14" t="n">
        <f aca="false">FLOOR(MIN(t_fs_s,H22)/G22,1)</f>
        <v>0</v>
      </c>
      <c r="J22" s="14" t="n">
        <f aca="false">IF(C22=1,FLOOR(t_fs_s/tau_L_s,1),0)</f>
        <v>0</v>
      </c>
      <c r="K22" s="17" t="n">
        <f aca="false">IF(D22=1,1-p_cb,1)</f>
        <v>1</v>
      </c>
      <c r="L22" s="17" t="n">
        <f aca="false">IF(C22=1,p_L,0)</f>
        <v>0</v>
      </c>
      <c r="M22" s="35" t="n">
        <f aca="false">SUMPRODUCT(w_ie2,1-(1-(j_row&lt;=I22)*K22^j_row)*(1-(j_row&lt;=J22)*L22^j_row))</f>
        <v>0</v>
      </c>
      <c r="N22" s="31" t="n">
        <f aca="false">occ_st*SUMPRODUCT(w_ie2,(j_row&lt;=I22)*K22^j_row*(j_row&lt;=J22)*L22^j_row*(((j_row*G22&lt;rset_s)+(j_row*tau_L_s&lt;rset_s))&gt;0)+(j_row&lt;=I22)*K22^j_row*(1-(j_row&lt;=J22)*L22^j_row)*(j_row*G22&lt;rset_s)+(1-(j_row&lt;=I22)*K22^j_row)*(j_row&lt;=J22)*L22^j_row*(j_row*tau_L_s&lt;rset_s))</f>
        <v>0</v>
      </c>
      <c r="O22" s="35" t="n">
        <f aca="false">IF(O$8&lt;N_st,1,0)*(1-(1-(O$8&lt;=I22)*K22^O$8)*(1-(O$8&lt;=J22)*L22^O$8))</f>
        <v>0</v>
      </c>
      <c r="P22" s="35" t="n">
        <f aca="false">IF(P$8&lt;N_st,1,0)*(1-(1-(P$8&lt;=I22)*K22^P$8)*(1-(P$8&lt;=J22)*L22^P$8))</f>
        <v>0</v>
      </c>
      <c r="Q22" s="35" t="n">
        <f aca="false">IF(Q$8&lt;N_st,1,0)*(1-(1-(Q$8&lt;=I22)*K22^Q$8)*(1-(Q$8&lt;=J22)*L22^Q$8))</f>
        <v>0</v>
      </c>
      <c r="R22" s="35" t="n">
        <f aca="false">IF(R$8&lt;N_st,1,0)*(1-(1-(R$8&lt;=I22)*K22^R$8)*(1-(R$8&lt;=J22)*L22^R$8))</f>
        <v>0</v>
      </c>
      <c r="S22" s="35" t="n">
        <f aca="false">IF(S$8&lt;N_st,1,0)*(1-(1-(S$8&lt;=I22)*K22^S$8)*(1-(S$8&lt;=J22)*L22^S$8))</f>
        <v>0</v>
      </c>
      <c r="T22" s="35" t="n">
        <f aca="false">IF(T$8&lt;N_st,1,0)*(1-(1-(T$8&lt;=I22)*K22^T$8)*(1-(T$8&lt;=J22)*L22^T$8))</f>
        <v>0</v>
      </c>
      <c r="U22" s="35" t="n">
        <f aca="false">IF(U$8&lt;N_st,1,0)*(1-(1-(U$8&lt;=I22)*K22^U$8)*(1-(U$8&lt;=J22)*L22^U$8))</f>
        <v>0</v>
      </c>
      <c r="V22" s="35" t="n">
        <f aca="false">IF(V$8&lt;N_st,1,0)*(1-(1-(V$8&lt;=I22)*K22^V$8)*(1-(V$8&lt;=J22)*L22^V$8))</f>
        <v>0</v>
      </c>
      <c r="W22" s="35" t="n">
        <f aca="false">IF(W$8&lt;N_st,1,0)*(1-(1-(W$8&lt;=I22)*K22^W$8)*(1-(W$8&lt;=J22)*L22^W$8))</f>
        <v>0</v>
      </c>
      <c r="X22" s="35" t="n">
        <f aca="false">IF(X$8&lt;N_st,1,0)*(1-(1-(X$8&lt;=I22)*K22^X$8)*(1-(X$8&lt;=J22)*L22^X$8))</f>
        <v>0</v>
      </c>
      <c r="Y22" s="35" t="n">
        <f aca="false">IF(Y$8&lt;N_st,1,0)*(1-(1-(Y$8&lt;=I22)*K22^Y$8)*(1-(Y$8&lt;=J22)*L22^Y$8))</f>
        <v>0</v>
      </c>
      <c r="Z22" s="35" t="n">
        <f aca="false">IF(Z$8&lt;N_st,1,0)*(1-(1-(Z$8&lt;=I22)*K22^Z$8)*(1-(Z$8&lt;=J22)*L22^Z$8))</f>
        <v>0</v>
      </c>
      <c r="AA22" s="35" t="n">
        <f aca="false">IF(AA$8&lt;N_st,1,0)*(1-(1-(AA$8&lt;=I22)*K22^AA$8)*(1-(AA$8&lt;=J22)*L22^AA$8))</f>
        <v>0</v>
      </c>
      <c r="AB22" s="35" t="n">
        <f aca="false">IF(AB$8&lt;N_st,1,0)*(1-(1-(AB$8&lt;=I22)*K22^AB$8)*(1-(AB$8&lt;=J22)*L22^AB$8))</f>
        <v>0</v>
      </c>
      <c r="AC22" s="35" t="n">
        <f aca="false">IF(AC$8&lt;N_st,1,0)*(1-(1-(AC$8&lt;=I22)*K22^AC$8)*(1-(AC$8&lt;=J22)*L22^AC$8))</f>
        <v>0</v>
      </c>
      <c r="AD22" s="35" t="n">
        <f aca="false">IF(AD$8&lt;N_st,1,0)*(1-(1-(AD$8&lt;=I22)*K22^AD$8)*(1-(AD$8&lt;=J22)*L22^AD$8))</f>
        <v>0</v>
      </c>
      <c r="AE22" s="35" t="n">
        <f aca="false">IF(AE$8&lt;N_st,1,0)*(1-(1-(AE$8&lt;=I22)*K22^AE$8)*(1-(AE$8&lt;=J22)*L22^AE$8))</f>
        <v>0</v>
      </c>
      <c r="AF22" s="35" t="n">
        <f aca="false">IF(AF$8&lt;N_st,1,0)*(1-(1-(AF$8&lt;=I22)*K22^AF$8)*(1-(AF$8&lt;=J22)*L22^AF$8))</f>
        <v>0</v>
      </c>
      <c r="AG22" s="35" t="n">
        <f aca="false">IF(AG$8&lt;N_st,1,0)*(1-(1-(AG$8&lt;=I22)*K22^AG$8)*(1-(AG$8&lt;=J22)*L22^AG$8))</f>
        <v>0</v>
      </c>
      <c r="AH22" s="35" t="n">
        <f aca="false">IF(AH$8&lt;N_st,1,0)*(1-(1-(AH$8&lt;=I22)*K22^AH$8)*(1-(AH$8&lt;=J22)*L22^AH$8))</f>
        <v>0</v>
      </c>
    </row>
    <row r="23" customFormat="false" ht="15" hidden="false" customHeight="false" outlineLevel="0" collapsed="false">
      <c r="A23" s="24" t="s">
        <v>199</v>
      </c>
      <c r="B23" s="14" t="s">
        <v>175</v>
      </c>
      <c r="C23" s="14" t="n">
        <v>2</v>
      </c>
      <c r="D23" s="14" t="n">
        <v>0</v>
      </c>
      <c r="E23" s="14" t="n">
        <v>0</v>
      </c>
      <c r="F23" s="32" t="n">
        <f aca="false">(1/2_시험자료!$D$21)*(1-2_시험자료!$F$21)</f>
        <v>0.291666666666667</v>
      </c>
      <c r="G23" s="33" t="n">
        <f aca="false">2_시험자료!G8</f>
        <v>1000000000</v>
      </c>
      <c r="H23" s="34" t="n">
        <f aca="false">IF(E23=1,1000000000,texp2_s)</f>
        <v>750</v>
      </c>
      <c r="I23" s="14" t="n">
        <f aca="false">FLOOR(MIN(t_fs_s,H23)/G23,1)</f>
        <v>0</v>
      </c>
      <c r="J23" s="14" t="n">
        <f aca="false">IF(C23=1,FLOOR(t_fs_s/tau_L_s,1),0)</f>
        <v>0</v>
      </c>
      <c r="K23" s="17" t="n">
        <f aca="false">IF(D23=1,1-p_cb,1)</f>
        <v>1</v>
      </c>
      <c r="L23" s="17" t="n">
        <f aca="false">IF(C23=1,p_L,0)</f>
        <v>0</v>
      </c>
      <c r="M23" s="35" t="n">
        <f aca="false">SUMPRODUCT(w_ie2,1-(1-(j_row&lt;=I23)*K23^j_row)*(1-(j_row&lt;=J23)*L23^j_row))</f>
        <v>0</v>
      </c>
      <c r="N23" s="31" t="n">
        <f aca="false">occ_st*SUMPRODUCT(w_ie2,(j_row&lt;=I23)*K23^j_row*(j_row&lt;=J23)*L23^j_row*(((j_row*G23&lt;rset_s)+(j_row*tau_L_s&lt;rset_s))&gt;0)+(j_row&lt;=I23)*K23^j_row*(1-(j_row&lt;=J23)*L23^j_row)*(j_row*G23&lt;rset_s)+(1-(j_row&lt;=I23)*K23^j_row)*(j_row&lt;=J23)*L23^j_row*(j_row*tau_L_s&lt;rset_s))</f>
        <v>0</v>
      </c>
      <c r="O23" s="35" t="n">
        <f aca="false">IF(O$8&lt;N_st,1,0)*(1-(1-(O$8&lt;=I23)*K23^O$8)*(1-(O$8&lt;=J23)*L23^O$8))</f>
        <v>0</v>
      </c>
      <c r="P23" s="35" t="n">
        <f aca="false">IF(P$8&lt;N_st,1,0)*(1-(1-(P$8&lt;=I23)*K23^P$8)*(1-(P$8&lt;=J23)*L23^P$8))</f>
        <v>0</v>
      </c>
      <c r="Q23" s="35" t="n">
        <f aca="false">IF(Q$8&lt;N_st,1,0)*(1-(1-(Q$8&lt;=I23)*K23^Q$8)*(1-(Q$8&lt;=J23)*L23^Q$8))</f>
        <v>0</v>
      </c>
      <c r="R23" s="35" t="n">
        <f aca="false">IF(R$8&lt;N_st,1,0)*(1-(1-(R$8&lt;=I23)*K23^R$8)*(1-(R$8&lt;=J23)*L23^R$8))</f>
        <v>0</v>
      </c>
      <c r="S23" s="35" t="n">
        <f aca="false">IF(S$8&lt;N_st,1,0)*(1-(1-(S$8&lt;=I23)*K23^S$8)*(1-(S$8&lt;=J23)*L23^S$8))</f>
        <v>0</v>
      </c>
      <c r="T23" s="35" t="n">
        <f aca="false">IF(T$8&lt;N_st,1,0)*(1-(1-(T$8&lt;=I23)*K23^T$8)*(1-(T$8&lt;=J23)*L23^T$8))</f>
        <v>0</v>
      </c>
      <c r="U23" s="35" t="n">
        <f aca="false">IF(U$8&lt;N_st,1,0)*(1-(1-(U$8&lt;=I23)*K23^U$8)*(1-(U$8&lt;=J23)*L23^U$8))</f>
        <v>0</v>
      </c>
      <c r="V23" s="35" t="n">
        <f aca="false">IF(V$8&lt;N_st,1,0)*(1-(1-(V$8&lt;=I23)*K23^V$8)*(1-(V$8&lt;=J23)*L23^V$8))</f>
        <v>0</v>
      </c>
      <c r="W23" s="35" t="n">
        <f aca="false">IF(W$8&lt;N_st,1,0)*(1-(1-(W$8&lt;=I23)*K23^W$8)*(1-(W$8&lt;=J23)*L23^W$8))</f>
        <v>0</v>
      </c>
      <c r="X23" s="35" t="n">
        <f aca="false">IF(X$8&lt;N_st,1,0)*(1-(1-(X$8&lt;=I23)*K23^X$8)*(1-(X$8&lt;=J23)*L23^X$8))</f>
        <v>0</v>
      </c>
      <c r="Y23" s="35" t="n">
        <f aca="false">IF(Y$8&lt;N_st,1,0)*(1-(1-(Y$8&lt;=I23)*K23^Y$8)*(1-(Y$8&lt;=J23)*L23^Y$8))</f>
        <v>0</v>
      </c>
      <c r="Z23" s="35" t="n">
        <f aca="false">IF(Z$8&lt;N_st,1,0)*(1-(1-(Z$8&lt;=I23)*K23^Z$8)*(1-(Z$8&lt;=J23)*L23^Z$8))</f>
        <v>0</v>
      </c>
      <c r="AA23" s="35" t="n">
        <f aca="false">IF(AA$8&lt;N_st,1,0)*(1-(1-(AA$8&lt;=I23)*K23^AA$8)*(1-(AA$8&lt;=J23)*L23^AA$8))</f>
        <v>0</v>
      </c>
      <c r="AB23" s="35" t="n">
        <f aca="false">IF(AB$8&lt;N_st,1,0)*(1-(1-(AB$8&lt;=I23)*K23^AB$8)*(1-(AB$8&lt;=J23)*L23^AB$8))</f>
        <v>0</v>
      </c>
      <c r="AC23" s="35" t="n">
        <f aca="false">IF(AC$8&lt;N_st,1,0)*(1-(1-(AC$8&lt;=I23)*K23^AC$8)*(1-(AC$8&lt;=J23)*L23^AC$8))</f>
        <v>0</v>
      </c>
      <c r="AD23" s="35" t="n">
        <f aca="false">IF(AD$8&lt;N_st,1,0)*(1-(1-(AD$8&lt;=I23)*K23^AD$8)*(1-(AD$8&lt;=J23)*L23^AD$8))</f>
        <v>0</v>
      </c>
      <c r="AE23" s="35" t="n">
        <f aca="false">IF(AE$8&lt;N_st,1,0)*(1-(1-(AE$8&lt;=I23)*K23^AE$8)*(1-(AE$8&lt;=J23)*L23^AE$8))</f>
        <v>0</v>
      </c>
      <c r="AF23" s="35" t="n">
        <f aca="false">IF(AF$8&lt;N_st,1,0)*(1-(1-(AF$8&lt;=I23)*K23^AF$8)*(1-(AF$8&lt;=J23)*L23^AF$8))</f>
        <v>0</v>
      </c>
      <c r="AG23" s="35" t="n">
        <f aca="false">IF(AG$8&lt;N_st,1,0)*(1-(1-(AG$8&lt;=I23)*K23^AG$8)*(1-(AG$8&lt;=J23)*L23^AG$8))</f>
        <v>0</v>
      </c>
      <c r="AH23" s="35" t="n">
        <f aca="false">IF(AH$8&lt;N_st,1,0)*(1-(1-(AH$8&lt;=I23)*K23^AH$8)*(1-(AH$8&lt;=J23)*L23^AH$8))</f>
        <v>0</v>
      </c>
    </row>
    <row r="24" customFormat="false" ht="15" hidden="false" customHeight="false" outlineLevel="0" collapsed="false">
      <c r="A24" s="24" t="s">
        <v>199</v>
      </c>
      <c r="B24" s="14" t="s">
        <v>175</v>
      </c>
      <c r="C24" s="14" t="n">
        <v>2</v>
      </c>
      <c r="D24" s="14" t="n">
        <v>1</v>
      </c>
      <c r="E24" s="14" t="n">
        <v>1</v>
      </c>
      <c r="F24" s="32" t="n">
        <f aca="false">(1/2_시험자료!$D$21)*2_시험자료!$F$21</f>
        <v>0.0416666666666667</v>
      </c>
      <c r="G24" s="33" t="n">
        <f aca="false">2_시험자료!G8</f>
        <v>1000000000</v>
      </c>
      <c r="H24" s="34" t="n">
        <f aca="false">IF(E24=1,1000000000,texp2_s)</f>
        <v>1000000000</v>
      </c>
      <c r="I24" s="14" t="n">
        <f aca="false">FLOOR(MIN(t_fs_s,H24)/G24,1)</f>
        <v>0</v>
      </c>
      <c r="J24" s="14" t="n">
        <f aca="false">IF(C24=1,FLOOR(t_fs_s/tau_L_s,1),0)</f>
        <v>0</v>
      </c>
      <c r="K24" s="17" t="n">
        <f aca="false">IF(D24=1,1-p_cb,1)</f>
        <v>0.3</v>
      </c>
      <c r="L24" s="17" t="n">
        <f aca="false">IF(C24=1,p_L,0)</f>
        <v>0</v>
      </c>
      <c r="M24" s="35" t="n">
        <f aca="false">SUMPRODUCT(w_ie2,1-(1-(j_row&lt;=I24)*K24^j_row)*(1-(j_row&lt;=J24)*L24^j_row))</f>
        <v>0</v>
      </c>
      <c r="N24" s="31" t="n">
        <f aca="false">occ_st*SUMPRODUCT(w_ie2,(j_row&lt;=I24)*K24^j_row*(j_row&lt;=J24)*L24^j_row*(((j_row*G24&lt;rset_s)+(j_row*tau_L_s&lt;rset_s))&gt;0)+(j_row&lt;=I24)*K24^j_row*(1-(j_row&lt;=J24)*L24^j_row)*(j_row*G24&lt;rset_s)+(1-(j_row&lt;=I24)*K24^j_row)*(j_row&lt;=J24)*L24^j_row*(j_row*tau_L_s&lt;rset_s))</f>
        <v>0</v>
      </c>
      <c r="O24" s="35" t="n">
        <f aca="false">IF(O$8&lt;N_st,1,0)*(1-(1-(O$8&lt;=I24)*K24^O$8)*(1-(O$8&lt;=J24)*L24^O$8))</f>
        <v>0</v>
      </c>
      <c r="P24" s="35" t="n">
        <f aca="false">IF(P$8&lt;N_st,1,0)*(1-(1-(P$8&lt;=I24)*K24^P$8)*(1-(P$8&lt;=J24)*L24^P$8))</f>
        <v>0</v>
      </c>
      <c r="Q24" s="35" t="n">
        <f aca="false">IF(Q$8&lt;N_st,1,0)*(1-(1-(Q$8&lt;=I24)*K24^Q$8)*(1-(Q$8&lt;=J24)*L24^Q$8))</f>
        <v>0</v>
      </c>
      <c r="R24" s="35" t="n">
        <f aca="false">IF(R$8&lt;N_st,1,0)*(1-(1-(R$8&lt;=I24)*K24^R$8)*(1-(R$8&lt;=J24)*L24^R$8))</f>
        <v>0</v>
      </c>
      <c r="S24" s="35" t="n">
        <f aca="false">IF(S$8&lt;N_st,1,0)*(1-(1-(S$8&lt;=I24)*K24^S$8)*(1-(S$8&lt;=J24)*L24^S$8))</f>
        <v>0</v>
      </c>
      <c r="T24" s="35" t="n">
        <f aca="false">IF(T$8&lt;N_st,1,0)*(1-(1-(T$8&lt;=I24)*K24^T$8)*(1-(T$8&lt;=J24)*L24^T$8))</f>
        <v>0</v>
      </c>
      <c r="U24" s="35" t="n">
        <f aca="false">IF(U$8&lt;N_st,1,0)*(1-(1-(U$8&lt;=I24)*K24^U$8)*(1-(U$8&lt;=J24)*L24^U$8))</f>
        <v>0</v>
      </c>
      <c r="V24" s="35" t="n">
        <f aca="false">IF(V$8&lt;N_st,1,0)*(1-(1-(V$8&lt;=I24)*K24^V$8)*(1-(V$8&lt;=J24)*L24^V$8))</f>
        <v>0</v>
      </c>
      <c r="W24" s="35" t="n">
        <f aca="false">IF(W$8&lt;N_st,1,0)*(1-(1-(W$8&lt;=I24)*K24^W$8)*(1-(W$8&lt;=J24)*L24^W$8))</f>
        <v>0</v>
      </c>
      <c r="X24" s="35" t="n">
        <f aca="false">IF(X$8&lt;N_st,1,0)*(1-(1-(X$8&lt;=I24)*K24^X$8)*(1-(X$8&lt;=J24)*L24^X$8))</f>
        <v>0</v>
      </c>
      <c r="Y24" s="35" t="n">
        <f aca="false">IF(Y$8&lt;N_st,1,0)*(1-(1-(Y$8&lt;=I24)*K24^Y$8)*(1-(Y$8&lt;=J24)*L24^Y$8))</f>
        <v>0</v>
      </c>
      <c r="Z24" s="35" t="n">
        <f aca="false">IF(Z$8&lt;N_st,1,0)*(1-(1-(Z$8&lt;=I24)*K24^Z$8)*(1-(Z$8&lt;=J24)*L24^Z$8))</f>
        <v>0</v>
      </c>
      <c r="AA24" s="35" t="n">
        <f aca="false">IF(AA$8&lt;N_st,1,0)*(1-(1-(AA$8&lt;=I24)*K24^AA$8)*(1-(AA$8&lt;=J24)*L24^AA$8))</f>
        <v>0</v>
      </c>
      <c r="AB24" s="35" t="n">
        <f aca="false">IF(AB$8&lt;N_st,1,0)*(1-(1-(AB$8&lt;=I24)*K24^AB$8)*(1-(AB$8&lt;=J24)*L24^AB$8))</f>
        <v>0</v>
      </c>
      <c r="AC24" s="35" t="n">
        <f aca="false">IF(AC$8&lt;N_st,1,0)*(1-(1-(AC$8&lt;=I24)*K24^AC$8)*(1-(AC$8&lt;=J24)*L24^AC$8))</f>
        <v>0</v>
      </c>
      <c r="AD24" s="35" t="n">
        <f aca="false">IF(AD$8&lt;N_st,1,0)*(1-(1-(AD$8&lt;=I24)*K24^AD$8)*(1-(AD$8&lt;=J24)*L24^AD$8))</f>
        <v>0</v>
      </c>
      <c r="AE24" s="35" t="n">
        <f aca="false">IF(AE$8&lt;N_st,1,0)*(1-(1-(AE$8&lt;=I24)*K24^AE$8)*(1-(AE$8&lt;=J24)*L24^AE$8))</f>
        <v>0</v>
      </c>
      <c r="AF24" s="35" t="n">
        <f aca="false">IF(AF$8&lt;N_st,1,0)*(1-(1-(AF$8&lt;=I24)*K24^AF$8)*(1-(AF$8&lt;=J24)*L24^AF$8))</f>
        <v>0</v>
      </c>
      <c r="AG24" s="35" t="n">
        <f aca="false">IF(AG$8&lt;N_st,1,0)*(1-(1-(AG$8&lt;=I24)*K24^AG$8)*(1-(AG$8&lt;=J24)*L24^AG$8))</f>
        <v>0</v>
      </c>
      <c r="AH24" s="35" t="n">
        <f aca="false">IF(AH$8&lt;N_st,1,0)*(1-(1-(AH$8&lt;=I24)*K24^AH$8)*(1-(AH$8&lt;=J24)*L24^AH$8))</f>
        <v>0</v>
      </c>
    </row>
    <row r="25" customFormat="false" ht="15" hidden="false" customHeight="false" outlineLevel="0" collapsed="false">
      <c r="A25" s="24" t="s">
        <v>199</v>
      </c>
      <c r="B25" s="14" t="s">
        <v>175</v>
      </c>
      <c r="C25" s="14" t="n">
        <v>2</v>
      </c>
      <c r="D25" s="14" t="n">
        <v>1</v>
      </c>
      <c r="E25" s="14" t="n">
        <v>0</v>
      </c>
      <c r="F25" s="32" t="n">
        <f aca="false">(1/2_시험자료!$D$21)*(1-2_시험자료!$F$21)</f>
        <v>0.291666666666667</v>
      </c>
      <c r="G25" s="33" t="n">
        <f aca="false">2_시험자료!G8</f>
        <v>1000000000</v>
      </c>
      <c r="H25" s="34" t="n">
        <f aca="false">IF(E25=1,1000000000,texp2_s)</f>
        <v>750</v>
      </c>
      <c r="I25" s="14" t="n">
        <f aca="false">FLOOR(MIN(t_fs_s,H25)/G25,1)</f>
        <v>0</v>
      </c>
      <c r="J25" s="14" t="n">
        <f aca="false">IF(C25=1,FLOOR(t_fs_s/tau_L_s,1),0)</f>
        <v>0</v>
      </c>
      <c r="K25" s="17" t="n">
        <f aca="false">IF(D25=1,1-p_cb,1)</f>
        <v>0.3</v>
      </c>
      <c r="L25" s="17" t="n">
        <f aca="false">IF(C25=1,p_L,0)</f>
        <v>0</v>
      </c>
      <c r="M25" s="35" t="n">
        <f aca="false">SUMPRODUCT(w_ie2,1-(1-(j_row&lt;=I25)*K25^j_row)*(1-(j_row&lt;=J25)*L25^j_row))</f>
        <v>0</v>
      </c>
      <c r="N25" s="31" t="n">
        <f aca="false">occ_st*SUMPRODUCT(w_ie2,(j_row&lt;=I25)*K25^j_row*(j_row&lt;=J25)*L25^j_row*(((j_row*G25&lt;rset_s)+(j_row*tau_L_s&lt;rset_s))&gt;0)+(j_row&lt;=I25)*K25^j_row*(1-(j_row&lt;=J25)*L25^j_row)*(j_row*G25&lt;rset_s)+(1-(j_row&lt;=I25)*K25^j_row)*(j_row&lt;=J25)*L25^j_row*(j_row*tau_L_s&lt;rset_s))</f>
        <v>0</v>
      </c>
      <c r="O25" s="35" t="n">
        <f aca="false">IF(O$8&lt;N_st,1,0)*(1-(1-(O$8&lt;=I25)*K25^O$8)*(1-(O$8&lt;=J25)*L25^O$8))</f>
        <v>0</v>
      </c>
      <c r="P25" s="35" t="n">
        <f aca="false">IF(P$8&lt;N_st,1,0)*(1-(1-(P$8&lt;=I25)*K25^P$8)*(1-(P$8&lt;=J25)*L25^P$8))</f>
        <v>0</v>
      </c>
      <c r="Q25" s="35" t="n">
        <f aca="false">IF(Q$8&lt;N_st,1,0)*(1-(1-(Q$8&lt;=I25)*K25^Q$8)*(1-(Q$8&lt;=J25)*L25^Q$8))</f>
        <v>0</v>
      </c>
      <c r="R25" s="35" t="n">
        <f aca="false">IF(R$8&lt;N_st,1,0)*(1-(1-(R$8&lt;=I25)*K25^R$8)*(1-(R$8&lt;=J25)*L25^R$8))</f>
        <v>0</v>
      </c>
      <c r="S25" s="35" t="n">
        <f aca="false">IF(S$8&lt;N_st,1,0)*(1-(1-(S$8&lt;=I25)*K25^S$8)*(1-(S$8&lt;=J25)*L25^S$8))</f>
        <v>0</v>
      </c>
      <c r="T25" s="35" t="n">
        <f aca="false">IF(T$8&lt;N_st,1,0)*(1-(1-(T$8&lt;=I25)*K25^T$8)*(1-(T$8&lt;=J25)*L25^T$8))</f>
        <v>0</v>
      </c>
      <c r="U25" s="35" t="n">
        <f aca="false">IF(U$8&lt;N_st,1,0)*(1-(1-(U$8&lt;=I25)*K25^U$8)*(1-(U$8&lt;=J25)*L25^U$8))</f>
        <v>0</v>
      </c>
      <c r="V25" s="35" t="n">
        <f aca="false">IF(V$8&lt;N_st,1,0)*(1-(1-(V$8&lt;=I25)*K25^V$8)*(1-(V$8&lt;=J25)*L25^V$8))</f>
        <v>0</v>
      </c>
      <c r="W25" s="35" t="n">
        <f aca="false">IF(W$8&lt;N_st,1,0)*(1-(1-(W$8&lt;=I25)*K25^W$8)*(1-(W$8&lt;=J25)*L25^W$8))</f>
        <v>0</v>
      </c>
      <c r="X25" s="35" t="n">
        <f aca="false">IF(X$8&lt;N_st,1,0)*(1-(1-(X$8&lt;=I25)*K25^X$8)*(1-(X$8&lt;=J25)*L25^X$8))</f>
        <v>0</v>
      </c>
      <c r="Y25" s="35" t="n">
        <f aca="false">IF(Y$8&lt;N_st,1,0)*(1-(1-(Y$8&lt;=I25)*K25^Y$8)*(1-(Y$8&lt;=J25)*L25^Y$8))</f>
        <v>0</v>
      </c>
      <c r="Z25" s="35" t="n">
        <f aca="false">IF(Z$8&lt;N_st,1,0)*(1-(1-(Z$8&lt;=I25)*K25^Z$8)*(1-(Z$8&lt;=J25)*L25^Z$8))</f>
        <v>0</v>
      </c>
      <c r="AA25" s="35" t="n">
        <f aca="false">IF(AA$8&lt;N_st,1,0)*(1-(1-(AA$8&lt;=I25)*K25^AA$8)*(1-(AA$8&lt;=J25)*L25^AA$8))</f>
        <v>0</v>
      </c>
      <c r="AB25" s="35" t="n">
        <f aca="false">IF(AB$8&lt;N_st,1,0)*(1-(1-(AB$8&lt;=I25)*K25^AB$8)*(1-(AB$8&lt;=J25)*L25^AB$8))</f>
        <v>0</v>
      </c>
      <c r="AC25" s="35" t="n">
        <f aca="false">IF(AC$8&lt;N_st,1,0)*(1-(1-(AC$8&lt;=I25)*K25^AC$8)*(1-(AC$8&lt;=J25)*L25^AC$8))</f>
        <v>0</v>
      </c>
      <c r="AD25" s="35" t="n">
        <f aca="false">IF(AD$8&lt;N_st,1,0)*(1-(1-(AD$8&lt;=I25)*K25^AD$8)*(1-(AD$8&lt;=J25)*L25^AD$8))</f>
        <v>0</v>
      </c>
      <c r="AE25" s="35" t="n">
        <f aca="false">IF(AE$8&lt;N_st,1,0)*(1-(1-(AE$8&lt;=I25)*K25^AE$8)*(1-(AE$8&lt;=J25)*L25^AE$8))</f>
        <v>0</v>
      </c>
      <c r="AF25" s="35" t="n">
        <f aca="false">IF(AF$8&lt;N_st,1,0)*(1-(1-(AF$8&lt;=I25)*K25^AF$8)*(1-(AF$8&lt;=J25)*L25^AF$8))</f>
        <v>0</v>
      </c>
      <c r="AG25" s="35" t="n">
        <f aca="false">IF(AG$8&lt;N_st,1,0)*(1-(1-(AG$8&lt;=I25)*K25^AG$8)*(1-(AG$8&lt;=J25)*L25^AG$8))</f>
        <v>0</v>
      </c>
      <c r="AH25" s="35" t="n">
        <f aca="false">IF(AH$8&lt;N_st,1,0)*(1-(1-(AH$8&lt;=I25)*K25^AH$8)*(1-(AH$8&lt;=J25)*L25^AH$8))</f>
        <v>0</v>
      </c>
    </row>
    <row r="26" customFormat="false" ht="15" hidden="false" customHeight="false" outlineLevel="0" collapsed="false">
      <c r="A26" s="24" t="s">
        <v>199</v>
      </c>
      <c r="B26" s="14" t="s">
        <v>177</v>
      </c>
      <c r="C26" s="14" t="n">
        <v>1</v>
      </c>
      <c r="D26" s="14" t="n">
        <v>0</v>
      </c>
      <c r="E26" s="14" t="n">
        <v>1</v>
      </c>
      <c r="F26" s="32" t="n">
        <f aca="false">(1/2_시험자료!$D$21)*2_시험자료!$F$21</f>
        <v>0.0416666666666667</v>
      </c>
      <c r="G26" s="33" t="n">
        <f aca="false">2_시험자료!G9</f>
        <v>487.5</v>
      </c>
      <c r="H26" s="34" t="n">
        <f aca="false">IF(E26=1,1000000000,texp1_s)</f>
        <v>1000000000</v>
      </c>
      <c r="I26" s="14" t="n">
        <f aca="false">FLOOR(MIN(t_fs_s,H26)/G26,1)</f>
        <v>1</v>
      </c>
      <c r="J26" s="14" t="n">
        <f aca="false">IF(C26=1,FLOOR(t_fs_s/tau_L_s,1),0)</f>
        <v>1</v>
      </c>
      <c r="K26" s="17" t="n">
        <f aca="false">IF(D26=1,1-p_cb,1)</f>
        <v>1</v>
      </c>
      <c r="L26" s="17" t="n">
        <f aca="false">IF(C26=1,p_L,0)</f>
        <v>0.15</v>
      </c>
      <c r="M26" s="35" t="n">
        <f aca="false">SUMPRODUCT(w_ie1,1-(1-(j_row&lt;=I26)*K26^j_row)*(1-(j_row&lt;=J26)*L26^j_row))</f>
        <v>0.933333333333333</v>
      </c>
      <c r="N26" s="31" t="n">
        <f aca="false">occ_st*SUMPRODUCT(w_ie1,(j_row&lt;=I26)*K26^j_row*(j_row&lt;=J26)*L26^j_row*(((j_row*G26&lt;rset_s)+(j_row*tau_L_s&lt;rset_s))&gt;0)+(j_row&lt;=I26)*K26^j_row*(1-(j_row&lt;=J26)*L26^j_row)*(j_row*G26&lt;rset_s)+(1-(j_row&lt;=I26)*K26^j_row)*(j_row&lt;=J26)*L26^j_row*(j_row*tau_L_s&lt;rset_s))</f>
        <v>4.66666666666667</v>
      </c>
      <c r="O26" s="35" t="n">
        <f aca="false">IF(O$8&lt;N_st,(N_st-O$8)/N_st,0)*(1-(1-(O$8&lt;=I26)*K26^O$8)*(1-(O$8&lt;=J26)*L26^O$8))</f>
        <v>0.933333333333333</v>
      </c>
      <c r="P26" s="35" t="n">
        <f aca="false">IF(P$8&lt;N_st,(N_st-P$8)/N_st,0)*(1-(1-(P$8&lt;=I26)*K26^P$8)*(1-(P$8&lt;=J26)*L26^P$8))</f>
        <v>0</v>
      </c>
      <c r="Q26" s="35" t="n">
        <f aca="false">IF(Q$8&lt;N_st,(N_st-Q$8)/N_st,0)*(1-(1-(Q$8&lt;=I26)*K26^Q$8)*(1-(Q$8&lt;=J26)*L26^Q$8))</f>
        <v>0</v>
      </c>
      <c r="R26" s="35" t="n">
        <f aca="false">IF(R$8&lt;N_st,(N_st-R$8)/N_st,0)*(1-(1-(R$8&lt;=I26)*K26^R$8)*(1-(R$8&lt;=J26)*L26^R$8))</f>
        <v>0</v>
      </c>
      <c r="S26" s="35" t="n">
        <f aca="false">IF(S$8&lt;N_st,(N_st-S$8)/N_st,0)*(1-(1-(S$8&lt;=I26)*K26^S$8)*(1-(S$8&lt;=J26)*L26^S$8))</f>
        <v>0</v>
      </c>
      <c r="T26" s="35" t="n">
        <f aca="false">IF(T$8&lt;N_st,(N_st-T$8)/N_st,0)*(1-(1-(T$8&lt;=I26)*K26^T$8)*(1-(T$8&lt;=J26)*L26^T$8))</f>
        <v>0</v>
      </c>
      <c r="U26" s="35" t="n">
        <f aca="false">IF(U$8&lt;N_st,(N_st-U$8)/N_st,0)*(1-(1-(U$8&lt;=I26)*K26^U$8)*(1-(U$8&lt;=J26)*L26^U$8))</f>
        <v>0</v>
      </c>
      <c r="V26" s="35" t="n">
        <f aca="false">IF(V$8&lt;N_st,(N_st-V$8)/N_st,0)*(1-(1-(V$8&lt;=I26)*K26^V$8)*(1-(V$8&lt;=J26)*L26^V$8))</f>
        <v>0</v>
      </c>
      <c r="W26" s="35" t="n">
        <f aca="false">IF(W$8&lt;N_st,(N_st-W$8)/N_st,0)*(1-(1-(W$8&lt;=I26)*K26^W$8)*(1-(W$8&lt;=J26)*L26^W$8))</f>
        <v>0</v>
      </c>
      <c r="X26" s="35" t="n">
        <f aca="false">IF(X$8&lt;N_st,(N_st-X$8)/N_st,0)*(1-(1-(X$8&lt;=I26)*K26^X$8)*(1-(X$8&lt;=J26)*L26^X$8))</f>
        <v>0</v>
      </c>
      <c r="Y26" s="35" t="n">
        <f aca="false">IF(Y$8&lt;N_st,(N_st-Y$8)/N_st,0)*(1-(1-(Y$8&lt;=I26)*K26^Y$8)*(1-(Y$8&lt;=J26)*L26^Y$8))</f>
        <v>0</v>
      </c>
      <c r="Z26" s="35" t="n">
        <f aca="false">IF(Z$8&lt;N_st,(N_st-Z$8)/N_st,0)*(1-(1-(Z$8&lt;=I26)*K26^Z$8)*(1-(Z$8&lt;=J26)*L26^Z$8))</f>
        <v>0</v>
      </c>
      <c r="AA26" s="35" t="n">
        <f aca="false">IF(AA$8&lt;N_st,(N_st-AA$8)/N_st,0)*(1-(1-(AA$8&lt;=I26)*K26^AA$8)*(1-(AA$8&lt;=J26)*L26^AA$8))</f>
        <v>0</v>
      </c>
      <c r="AB26" s="35" t="n">
        <f aca="false">IF(AB$8&lt;N_st,(N_st-AB$8)/N_st,0)*(1-(1-(AB$8&lt;=I26)*K26^AB$8)*(1-(AB$8&lt;=J26)*L26^AB$8))</f>
        <v>0</v>
      </c>
      <c r="AC26" s="35" t="n">
        <f aca="false">IF(AC$8&lt;N_st,(N_st-AC$8)/N_st,0)*(1-(1-(AC$8&lt;=I26)*K26^AC$8)*(1-(AC$8&lt;=J26)*L26^AC$8))</f>
        <v>0</v>
      </c>
      <c r="AD26" s="35" t="n">
        <f aca="false">IF(AD$8&lt;N_st,(N_st-AD$8)/N_st,0)*(1-(1-(AD$8&lt;=I26)*K26^AD$8)*(1-(AD$8&lt;=J26)*L26^AD$8))</f>
        <v>0</v>
      </c>
      <c r="AE26" s="35" t="n">
        <f aca="false">IF(AE$8&lt;N_st,(N_st-AE$8)/N_st,0)*(1-(1-(AE$8&lt;=I26)*K26^AE$8)*(1-(AE$8&lt;=J26)*L26^AE$8))</f>
        <v>0</v>
      </c>
      <c r="AF26" s="35" t="n">
        <f aca="false">IF(AF$8&lt;N_st,(N_st-AF$8)/N_st,0)*(1-(1-(AF$8&lt;=I26)*K26^AF$8)*(1-(AF$8&lt;=J26)*L26^AF$8))</f>
        <v>0</v>
      </c>
      <c r="AG26" s="35" t="n">
        <f aca="false">IF(AG$8&lt;N_st,(N_st-AG$8)/N_st,0)*(1-(1-(AG$8&lt;=I26)*K26^AG$8)*(1-(AG$8&lt;=J26)*L26^AG$8))</f>
        <v>0</v>
      </c>
      <c r="AH26" s="35" t="n">
        <f aca="false">IF(AH$8&lt;N_st,(N_st-AH$8)/N_st,0)*(1-(1-(AH$8&lt;=I26)*K26^AH$8)*(1-(AH$8&lt;=J26)*L26^AH$8))</f>
        <v>0</v>
      </c>
    </row>
    <row r="27" customFormat="false" ht="15" hidden="false" customHeight="false" outlineLevel="0" collapsed="false">
      <c r="A27" s="24" t="s">
        <v>199</v>
      </c>
      <c r="B27" s="14" t="s">
        <v>177</v>
      </c>
      <c r="C27" s="14" t="n">
        <v>1</v>
      </c>
      <c r="D27" s="14" t="n">
        <v>0</v>
      </c>
      <c r="E27" s="14" t="n">
        <v>0</v>
      </c>
      <c r="F27" s="32" t="n">
        <f aca="false">(1/2_시험자료!$D$21)*(1-2_시험자료!$F$21)</f>
        <v>0.291666666666667</v>
      </c>
      <c r="G27" s="33" t="n">
        <f aca="false">2_시험자료!G9</f>
        <v>487.5</v>
      </c>
      <c r="H27" s="34" t="n">
        <f aca="false">IF(E27=1,1000000000,texp1_s)</f>
        <v>1200</v>
      </c>
      <c r="I27" s="14" t="n">
        <f aca="false">FLOOR(MIN(t_fs_s,H27)/G27,1)</f>
        <v>1</v>
      </c>
      <c r="J27" s="14" t="n">
        <f aca="false">IF(C27=1,FLOOR(t_fs_s/tau_L_s,1),0)</f>
        <v>1</v>
      </c>
      <c r="K27" s="17" t="n">
        <f aca="false">IF(D27=1,1-p_cb,1)</f>
        <v>1</v>
      </c>
      <c r="L27" s="17" t="n">
        <f aca="false">IF(C27=1,p_L,0)</f>
        <v>0.15</v>
      </c>
      <c r="M27" s="35" t="n">
        <f aca="false">SUMPRODUCT(w_ie1,1-(1-(j_row&lt;=I27)*K27^j_row)*(1-(j_row&lt;=J27)*L27^j_row))</f>
        <v>0.933333333333333</v>
      </c>
      <c r="N27" s="31" t="n">
        <f aca="false">occ_st*SUMPRODUCT(w_ie1,(j_row&lt;=I27)*K27^j_row*(j_row&lt;=J27)*L27^j_row*(((j_row*G27&lt;rset_s)+(j_row*tau_L_s&lt;rset_s))&gt;0)+(j_row&lt;=I27)*K27^j_row*(1-(j_row&lt;=J27)*L27^j_row)*(j_row*G27&lt;rset_s)+(1-(j_row&lt;=I27)*K27^j_row)*(j_row&lt;=J27)*L27^j_row*(j_row*tau_L_s&lt;rset_s))</f>
        <v>4.66666666666667</v>
      </c>
      <c r="O27" s="35" t="n">
        <f aca="false">IF(O$8&lt;N_st,(N_st-O$8)/N_st,0)*(1-(1-(O$8&lt;=I27)*K27^O$8)*(1-(O$8&lt;=J27)*L27^O$8))</f>
        <v>0.933333333333333</v>
      </c>
      <c r="P27" s="35" t="n">
        <f aca="false">IF(P$8&lt;N_st,(N_st-P$8)/N_st,0)*(1-(1-(P$8&lt;=I27)*K27^P$8)*(1-(P$8&lt;=J27)*L27^P$8))</f>
        <v>0</v>
      </c>
      <c r="Q27" s="35" t="n">
        <f aca="false">IF(Q$8&lt;N_st,(N_st-Q$8)/N_st,0)*(1-(1-(Q$8&lt;=I27)*K27^Q$8)*(1-(Q$8&lt;=J27)*L27^Q$8))</f>
        <v>0</v>
      </c>
      <c r="R27" s="35" t="n">
        <f aca="false">IF(R$8&lt;N_st,(N_st-R$8)/N_st,0)*(1-(1-(R$8&lt;=I27)*K27^R$8)*(1-(R$8&lt;=J27)*L27^R$8))</f>
        <v>0</v>
      </c>
      <c r="S27" s="35" t="n">
        <f aca="false">IF(S$8&lt;N_st,(N_st-S$8)/N_st,0)*(1-(1-(S$8&lt;=I27)*K27^S$8)*(1-(S$8&lt;=J27)*L27^S$8))</f>
        <v>0</v>
      </c>
      <c r="T27" s="35" t="n">
        <f aca="false">IF(T$8&lt;N_st,(N_st-T$8)/N_st,0)*(1-(1-(T$8&lt;=I27)*K27^T$8)*(1-(T$8&lt;=J27)*L27^T$8))</f>
        <v>0</v>
      </c>
      <c r="U27" s="35" t="n">
        <f aca="false">IF(U$8&lt;N_st,(N_st-U$8)/N_st,0)*(1-(1-(U$8&lt;=I27)*K27^U$8)*(1-(U$8&lt;=J27)*L27^U$8))</f>
        <v>0</v>
      </c>
      <c r="V27" s="35" t="n">
        <f aca="false">IF(V$8&lt;N_st,(N_st-V$8)/N_st,0)*(1-(1-(V$8&lt;=I27)*K27^V$8)*(1-(V$8&lt;=J27)*L27^V$8))</f>
        <v>0</v>
      </c>
      <c r="W27" s="35" t="n">
        <f aca="false">IF(W$8&lt;N_st,(N_st-W$8)/N_st,0)*(1-(1-(W$8&lt;=I27)*K27^W$8)*(1-(W$8&lt;=J27)*L27^W$8))</f>
        <v>0</v>
      </c>
      <c r="X27" s="35" t="n">
        <f aca="false">IF(X$8&lt;N_st,(N_st-X$8)/N_st,0)*(1-(1-(X$8&lt;=I27)*K27^X$8)*(1-(X$8&lt;=J27)*L27^X$8))</f>
        <v>0</v>
      </c>
      <c r="Y27" s="35" t="n">
        <f aca="false">IF(Y$8&lt;N_st,(N_st-Y$8)/N_st,0)*(1-(1-(Y$8&lt;=I27)*K27^Y$8)*(1-(Y$8&lt;=J27)*L27^Y$8))</f>
        <v>0</v>
      </c>
      <c r="Z27" s="35" t="n">
        <f aca="false">IF(Z$8&lt;N_st,(N_st-Z$8)/N_st,0)*(1-(1-(Z$8&lt;=I27)*K27^Z$8)*(1-(Z$8&lt;=J27)*L27^Z$8))</f>
        <v>0</v>
      </c>
      <c r="AA27" s="35" t="n">
        <f aca="false">IF(AA$8&lt;N_st,(N_st-AA$8)/N_st,0)*(1-(1-(AA$8&lt;=I27)*K27^AA$8)*(1-(AA$8&lt;=J27)*L27^AA$8))</f>
        <v>0</v>
      </c>
      <c r="AB27" s="35" t="n">
        <f aca="false">IF(AB$8&lt;N_st,(N_st-AB$8)/N_st,0)*(1-(1-(AB$8&lt;=I27)*K27^AB$8)*(1-(AB$8&lt;=J27)*L27^AB$8))</f>
        <v>0</v>
      </c>
      <c r="AC27" s="35" t="n">
        <f aca="false">IF(AC$8&lt;N_st,(N_st-AC$8)/N_st,0)*(1-(1-(AC$8&lt;=I27)*K27^AC$8)*(1-(AC$8&lt;=J27)*L27^AC$8))</f>
        <v>0</v>
      </c>
      <c r="AD27" s="35" t="n">
        <f aca="false">IF(AD$8&lt;N_st,(N_st-AD$8)/N_st,0)*(1-(1-(AD$8&lt;=I27)*K27^AD$8)*(1-(AD$8&lt;=J27)*L27^AD$8))</f>
        <v>0</v>
      </c>
      <c r="AE27" s="35" t="n">
        <f aca="false">IF(AE$8&lt;N_st,(N_st-AE$8)/N_st,0)*(1-(1-(AE$8&lt;=I27)*K27^AE$8)*(1-(AE$8&lt;=J27)*L27^AE$8))</f>
        <v>0</v>
      </c>
      <c r="AF27" s="35" t="n">
        <f aca="false">IF(AF$8&lt;N_st,(N_st-AF$8)/N_st,0)*(1-(1-(AF$8&lt;=I27)*K27^AF$8)*(1-(AF$8&lt;=J27)*L27^AF$8))</f>
        <v>0</v>
      </c>
      <c r="AG27" s="35" t="n">
        <f aca="false">IF(AG$8&lt;N_st,(N_st-AG$8)/N_st,0)*(1-(1-(AG$8&lt;=I27)*K27^AG$8)*(1-(AG$8&lt;=J27)*L27^AG$8))</f>
        <v>0</v>
      </c>
      <c r="AH27" s="35" t="n">
        <f aca="false">IF(AH$8&lt;N_st,(N_st-AH$8)/N_st,0)*(1-(1-(AH$8&lt;=I27)*K27^AH$8)*(1-(AH$8&lt;=J27)*L27^AH$8))</f>
        <v>0</v>
      </c>
    </row>
    <row r="28" customFormat="false" ht="15" hidden="false" customHeight="false" outlineLevel="0" collapsed="false">
      <c r="A28" s="24" t="s">
        <v>199</v>
      </c>
      <c r="B28" s="14" t="s">
        <v>177</v>
      </c>
      <c r="C28" s="14" t="n">
        <v>1</v>
      </c>
      <c r="D28" s="14" t="n">
        <v>1</v>
      </c>
      <c r="E28" s="14" t="n">
        <v>1</v>
      </c>
      <c r="F28" s="32" t="n">
        <f aca="false">(1/2_시험자료!$D$21)*2_시험자료!$F$21</f>
        <v>0.0416666666666667</v>
      </c>
      <c r="G28" s="33" t="n">
        <f aca="false">2_시험자료!G9</f>
        <v>487.5</v>
      </c>
      <c r="H28" s="34" t="n">
        <f aca="false">IF(E28=1,1000000000,texp1_s)</f>
        <v>1000000000</v>
      </c>
      <c r="I28" s="14" t="n">
        <f aca="false">FLOOR(MIN(t_fs_s,H28)/G28,1)</f>
        <v>1</v>
      </c>
      <c r="J28" s="14" t="n">
        <f aca="false">IF(C28=1,FLOOR(t_fs_s/tau_L_s,1),0)</f>
        <v>1</v>
      </c>
      <c r="K28" s="17" t="n">
        <f aca="false">IF(D28=1,1-p_cb,1)</f>
        <v>0.3</v>
      </c>
      <c r="L28" s="17" t="n">
        <f aca="false">IF(C28=1,p_L,0)</f>
        <v>0.15</v>
      </c>
      <c r="M28" s="35" t="n">
        <f aca="false">SUMPRODUCT(w_ie1,1-(1-(j_row&lt;=I28)*K28^j_row)*(1-(j_row&lt;=J28)*L28^j_row))</f>
        <v>0.378</v>
      </c>
      <c r="N28" s="31" t="n">
        <f aca="false">occ_st*SUMPRODUCT(w_ie1,(j_row&lt;=I28)*K28^j_row*(j_row&lt;=J28)*L28^j_row*(((j_row*G28&lt;rset_s)+(j_row*tau_L_s&lt;rset_s))&gt;0)+(j_row&lt;=I28)*K28^j_row*(1-(j_row&lt;=J28)*L28^j_row)*(j_row*G28&lt;rset_s)+(1-(j_row&lt;=I28)*K28^j_row)*(j_row&lt;=J28)*L28^j_row*(j_row*tau_L_s&lt;rset_s))</f>
        <v>1.89</v>
      </c>
      <c r="O28" s="35" t="n">
        <f aca="false">IF(O$8&lt;N_st,(N_st-O$8)/N_st,0)*(1-(1-(O$8&lt;=I28)*K28^O$8)*(1-(O$8&lt;=J28)*L28^O$8))</f>
        <v>0.378</v>
      </c>
      <c r="P28" s="35" t="n">
        <f aca="false">IF(P$8&lt;N_st,(N_st-P$8)/N_st,0)*(1-(1-(P$8&lt;=I28)*K28^P$8)*(1-(P$8&lt;=J28)*L28^P$8))</f>
        <v>0</v>
      </c>
      <c r="Q28" s="35" t="n">
        <f aca="false">IF(Q$8&lt;N_st,(N_st-Q$8)/N_st,0)*(1-(1-(Q$8&lt;=I28)*K28^Q$8)*(1-(Q$8&lt;=J28)*L28^Q$8))</f>
        <v>0</v>
      </c>
      <c r="R28" s="35" t="n">
        <f aca="false">IF(R$8&lt;N_st,(N_st-R$8)/N_st,0)*(1-(1-(R$8&lt;=I28)*K28^R$8)*(1-(R$8&lt;=J28)*L28^R$8))</f>
        <v>0</v>
      </c>
      <c r="S28" s="35" t="n">
        <f aca="false">IF(S$8&lt;N_st,(N_st-S$8)/N_st,0)*(1-(1-(S$8&lt;=I28)*K28^S$8)*(1-(S$8&lt;=J28)*L28^S$8))</f>
        <v>0</v>
      </c>
      <c r="T28" s="35" t="n">
        <f aca="false">IF(T$8&lt;N_st,(N_st-T$8)/N_st,0)*(1-(1-(T$8&lt;=I28)*K28^T$8)*(1-(T$8&lt;=J28)*L28^T$8))</f>
        <v>0</v>
      </c>
      <c r="U28" s="35" t="n">
        <f aca="false">IF(U$8&lt;N_st,(N_st-U$8)/N_st,0)*(1-(1-(U$8&lt;=I28)*K28^U$8)*(1-(U$8&lt;=J28)*L28^U$8))</f>
        <v>0</v>
      </c>
      <c r="V28" s="35" t="n">
        <f aca="false">IF(V$8&lt;N_st,(N_st-V$8)/N_st,0)*(1-(1-(V$8&lt;=I28)*K28^V$8)*(1-(V$8&lt;=J28)*L28^V$8))</f>
        <v>0</v>
      </c>
      <c r="W28" s="35" t="n">
        <f aca="false">IF(W$8&lt;N_st,(N_st-W$8)/N_st,0)*(1-(1-(W$8&lt;=I28)*K28^W$8)*(1-(W$8&lt;=J28)*L28^W$8))</f>
        <v>0</v>
      </c>
      <c r="X28" s="35" t="n">
        <f aca="false">IF(X$8&lt;N_st,(N_st-X$8)/N_st,0)*(1-(1-(X$8&lt;=I28)*K28^X$8)*(1-(X$8&lt;=J28)*L28^X$8))</f>
        <v>0</v>
      </c>
      <c r="Y28" s="35" t="n">
        <f aca="false">IF(Y$8&lt;N_st,(N_st-Y$8)/N_st,0)*(1-(1-(Y$8&lt;=I28)*K28^Y$8)*(1-(Y$8&lt;=J28)*L28^Y$8))</f>
        <v>0</v>
      </c>
      <c r="Z28" s="35" t="n">
        <f aca="false">IF(Z$8&lt;N_st,(N_st-Z$8)/N_st,0)*(1-(1-(Z$8&lt;=I28)*K28^Z$8)*(1-(Z$8&lt;=J28)*L28^Z$8))</f>
        <v>0</v>
      </c>
      <c r="AA28" s="35" t="n">
        <f aca="false">IF(AA$8&lt;N_st,(N_st-AA$8)/N_st,0)*(1-(1-(AA$8&lt;=I28)*K28^AA$8)*(1-(AA$8&lt;=J28)*L28^AA$8))</f>
        <v>0</v>
      </c>
      <c r="AB28" s="35" t="n">
        <f aca="false">IF(AB$8&lt;N_st,(N_st-AB$8)/N_st,0)*(1-(1-(AB$8&lt;=I28)*K28^AB$8)*(1-(AB$8&lt;=J28)*L28^AB$8))</f>
        <v>0</v>
      </c>
      <c r="AC28" s="35" t="n">
        <f aca="false">IF(AC$8&lt;N_st,(N_st-AC$8)/N_st,0)*(1-(1-(AC$8&lt;=I28)*K28^AC$8)*(1-(AC$8&lt;=J28)*L28^AC$8))</f>
        <v>0</v>
      </c>
      <c r="AD28" s="35" t="n">
        <f aca="false">IF(AD$8&lt;N_st,(N_st-AD$8)/N_st,0)*(1-(1-(AD$8&lt;=I28)*K28^AD$8)*(1-(AD$8&lt;=J28)*L28^AD$8))</f>
        <v>0</v>
      </c>
      <c r="AE28" s="35" t="n">
        <f aca="false">IF(AE$8&lt;N_st,(N_st-AE$8)/N_st,0)*(1-(1-(AE$8&lt;=I28)*K28^AE$8)*(1-(AE$8&lt;=J28)*L28^AE$8))</f>
        <v>0</v>
      </c>
      <c r="AF28" s="35" t="n">
        <f aca="false">IF(AF$8&lt;N_st,(N_st-AF$8)/N_st,0)*(1-(1-(AF$8&lt;=I28)*K28^AF$8)*(1-(AF$8&lt;=J28)*L28^AF$8))</f>
        <v>0</v>
      </c>
      <c r="AG28" s="35" t="n">
        <f aca="false">IF(AG$8&lt;N_st,(N_st-AG$8)/N_st,0)*(1-(1-(AG$8&lt;=I28)*K28^AG$8)*(1-(AG$8&lt;=J28)*L28^AG$8))</f>
        <v>0</v>
      </c>
      <c r="AH28" s="35" t="n">
        <f aca="false">IF(AH$8&lt;N_st,(N_st-AH$8)/N_st,0)*(1-(1-(AH$8&lt;=I28)*K28^AH$8)*(1-(AH$8&lt;=J28)*L28^AH$8))</f>
        <v>0</v>
      </c>
    </row>
    <row r="29" customFormat="false" ht="15" hidden="false" customHeight="false" outlineLevel="0" collapsed="false">
      <c r="A29" s="24" t="s">
        <v>199</v>
      </c>
      <c r="B29" s="14" t="s">
        <v>177</v>
      </c>
      <c r="C29" s="14" t="n">
        <v>1</v>
      </c>
      <c r="D29" s="14" t="n">
        <v>1</v>
      </c>
      <c r="E29" s="14" t="n">
        <v>0</v>
      </c>
      <c r="F29" s="32" t="n">
        <f aca="false">(1/2_시험자료!$D$21)*(1-2_시험자료!$F$21)</f>
        <v>0.291666666666667</v>
      </c>
      <c r="G29" s="33" t="n">
        <f aca="false">2_시험자료!G9</f>
        <v>487.5</v>
      </c>
      <c r="H29" s="34" t="n">
        <f aca="false">IF(E29=1,1000000000,texp1_s)</f>
        <v>1200</v>
      </c>
      <c r="I29" s="14" t="n">
        <f aca="false">FLOOR(MIN(t_fs_s,H29)/G29,1)</f>
        <v>1</v>
      </c>
      <c r="J29" s="14" t="n">
        <f aca="false">IF(C29=1,FLOOR(t_fs_s/tau_L_s,1),0)</f>
        <v>1</v>
      </c>
      <c r="K29" s="17" t="n">
        <f aca="false">IF(D29=1,1-p_cb,1)</f>
        <v>0.3</v>
      </c>
      <c r="L29" s="17" t="n">
        <f aca="false">IF(C29=1,p_L,0)</f>
        <v>0.15</v>
      </c>
      <c r="M29" s="35" t="n">
        <f aca="false">SUMPRODUCT(w_ie1,1-(1-(j_row&lt;=I29)*K29^j_row)*(1-(j_row&lt;=J29)*L29^j_row))</f>
        <v>0.378</v>
      </c>
      <c r="N29" s="31" t="n">
        <f aca="false">occ_st*SUMPRODUCT(w_ie1,(j_row&lt;=I29)*K29^j_row*(j_row&lt;=J29)*L29^j_row*(((j_row*G29&lt;rset_s)+(j_row*tau_L_s&lt;rset_s))&gt;0)+(j_row&lt;=I29)*K29^j_row*(1-(j_row&lt;=J29)*L29^j_row)*(j_row*G29&lt;rset_s)+(1-(j_row&lt;=I29)*K29^j_row)*(j_row&lt;=J29)*L29^j_row*(j_row*tau_L_s&lt;rset_s))</f>
        <v>1.89</v>
      </c>
      <c r="O29" s="35" t="n">
        <f aca="false">IF(O$8&lt;N_st,(N_st-O$8)/N_st,0)*(1-(1-(O$8&lt;=I29)*K29^O$8)*(1-(O$8&lt;=J29)*L29^O$8))</f>
        <v>0.378</v>
      </c>
      <c r="P29" s="35" t="n">
        <f aca="false">IF(P$8&lt;N_st,(N_st-P$8)/N_st,0)*(1-(1-(P$8&lt;=I29)*K29^P$8)*(1-(P$8&lt;=J29)*L29^P$8))</f>
        <v>0</v>
      </c>
      <c r="Q29" s="35" t="n">
        <f aca="false">IF(Q$8&lt;N_st,(N_st-Q$8)/N_st,0)*(1-(1-(Q$8&lt;=I29)*K29^Q$8)*(1-(Q$8&lt;=J29)*L29^Q$8))</f>
        <v>0</v>
      </c>
      <c r="R29" s="35" t="n">
        <f aca="false">IF(R$8&lt;N_st,(N_st-R$8)/N_st,0)*(1-(1-(R$8&lt;=I29)*K29^R$8)*(1-(R$8&lt;=J29)*L29^R$8))</f>
        <v>0</v>
      </c>
      <c r="S29" s="35" t="n">
        <f aca="false">IF(S$8&lt;N_st,(N_st-S$8)/N_st,0)*(1-(1-(S$8&lt;=I29)*K29^S$8)*(1-(S$8&lt;=J29)*L29^S$8))</f>
        <v>0</v>
      </c>
      <c r="T29" s="35" t="n">
        <f aca="false">IF(T$8&lt;N_st,(N_st-T$8)/N_st,0)*(1-(1-(T$8&lt;=I29)*K29^T$8)*(1-(T$8&lt;=J29)*L29^T$8))</f>
        <v>0</v>
      </c>
      <c r="U29" s="35" t="n">
        <f aca="false">IF(U$8&lt;N_st,(N_st-U$8)/N_st,0)*(1-(1-(U$8&lt;=I29)*K29^U$8)*(1-(U$8&lt;=J29)*L29^U$8))</f>
        <v>0</v>
      </c>
      <c r="V29" s="35" t="n">
        <f aca="false">IF(V$8&lt;N_st,(N_st-V$8)/N_st,0)*(1-(1-(V$8&lt;=I29)*K29^V$8)*(1-(V$8&lt;=J29)*L29^V$8))</f>
        <v>0</v>
      </c>
      <c r="W29" s="35" t="n">
        <f aca="false">IF(W$8&lt;N_st,(N_st-W$8)/N_st,0)*(1-(1-(W$8&lt;=I29)*K29^W$8)*(1-(W$8&lt;=J29)*L29^W$8))</f>
        <v>0</v>
      </c>
      <c r="X29" s="35" t="n">
        <f aca="false">IF(X$8&lt;N_st,(N_st-X$8)/N_st,0)*(1-(1-(X$8&lt;=I29)*K29^X$8)*(1-(X$8&lt;=J29)*L29^X$8))</f>
        <v>0</v>
      </c>
      <c r="Y29" s="35" t="n">
        <f aca="false">IF(Y$8&lt;N_st,(N_st-Y$8)/N_st,0)*(1-(1-(Y$8&lt;=I29)*K29^Y$8)*(1-(Y$8&lt;=J29)*L29^Y$8))</f>
        <v>0</v>
      </c>
      <c r="Z29" s="35" t="n">
        <f aca="false">IF(Z$8&lt;N_st,(N_st-Z$8)/N_st,0)*(1-(1-(Z$8&lt;=I29)*K29^Z$8)*(1-(Z$8&lt;=J29)*L29^Z$8))</f>
        <v>0</v>
      </c>
      <c r="AA29" s="35" t="n">
        <f aca="false">IF(AA$8&lt;N_st,(N_st-AA$8)/N_st,0)*(1-(1-(AA$8&lt;=I29)*K29^AA$8)*(1-(AA$8&lt;=J29)*L29^AA$8))</f>
        <v>0</v>
      </c>
      <c r="AB29" s="35" t="n">
        <f aca="false">IF(AB$8&lt;N_st,(N_st-AB$8)/N_st,0)*(1-(1-(AB$8&lt;=I29)*K29^AB$8)*(1-(AB$8&lt;=J29)*L29^AB$8))</f>
        <v>0</v>
      </c>
      <c r="AC29" s="35" t="n">
        <f aca="false">IF(AC$8&lt;N_st,(N_st-AC$8)/N_st,0)*(1-(1-(AC$8&lt;=I29)*K29^AC$8)*(1-(AC$8&lt;=J29)*L29^AC$8))</f>
        <v>0</v>
      </c>
      <c r="AD29" s="35" t="n">
        <f aca="false">IF(AD$8&lt;N_st,(N_st-AD$8)/N_st,0)*(1-(1-(AD$8&lt;=I29)*K29^AD$8)*(1-(AD$8&lt;=J29)*L29^AD$8))</f>
        <v>0</v>
      </c>
      <c r="AE29" s="35" t="n">
        <f aca="false">IF(AE$8&lt;N_st,(N_st-AE$8)/N_st,0)*(1-(1-(AE$8&lt;=I29)*K29^AE$8)*(1-(AE$8&lt;=J29)*L29^AE$8))</f>
        <v>0</v>
      </c>
      <c r="AF29" s="35" t="n">
        <f aca="false">IF(AF$8&lt;N_st,(N_st-AF$8)/N_st,0)*(1-(1-(AF$8&lt;=I29)*K29^AF$8)*(1-(AF$8&lt;=J29)*L29^AF$8))</f>
        <v>0</v>
      </c>
      <c r="AG29" s="35" t="n">
        <f aca="false">IF(AG$8&lt;N_st,(N_st-AG$8)/N_st,0)*(1-(1-(AG$8&lt;=I29)*K29^AG$8)*(1-(AG$8&lt;=J29)*L29^AG$8))</f>
        <v>0</v>
      </c>
      <c r="AH29" s="35" t="n">
        <f aca="false">IF(AH$8&lt;N_st,(N_st-AH$8)/N_st,0)*(1-(1-(AH$8&lt;=I29)*K29^AH$8)*(1-(AH$8&lt;=J29)*L29^AH$8))</f>
        <v>0</v>
      </c>
    </row>
    <row r="30" customFormat="false" ht="15" hidden="false" customHeight="false" outlineLevel="0" collapsed="false">
      <c r="A30" s="24" t="s">
        <v>199</v>
      </c>
      <c r="B30" s="14" t="s">
        <v>177</v>
      </c>
      <c r="C30" s="14" t="n">
        <v>2</v>
      </c>
      <c r="D30" s="14" t="n">
        <v>0</v>
      </c>
      <c r="E30" s="14" t="n">
        <v>1</v>
      </c>
      <c r="F30" s="32" t="n">
        <f aca="false">(1/2_시험자료!$D$21)*2_시험자료!$F$21</f>
        <v>0.0416666666666667</v>
      </c>
      <c r="G30" s="33" t="n">
        <f aca="false">2_시험자료!G9</f>
        <v>487.5</v>
      </c>
      <c r="H30" s="34" t="n">
        <f aca="false">IF(E30=1,1000000000,texp2_s)</f>
        <v>1000000000</v>
      </c>
      <c r="I30" s="14" t="n">
        <f aca="false">FLOOR(MIN(t_fs_s,H30)/G30,1)</f>
        <v>1</v>
      </c>
      <c r="J30" s="14" t="n">
        <f aca="false">IF(C30=1,FLOOR(t_fs_s/tau_L_s,1),0)</f>
        <v>0</v>
      </c>
      <c r="K30" s="17" t="n">
        <f aca="false">IF(D30=1,1-p_cb,1)</f>
        <v>1</v>
      </c>
      <c r="L30" s="17" t="n">
        <f aca="false">IF(C30=1,p_L,0)</f>
        <v>0</v>
      </c>
      <c r="M30" s="35" t="n">
        <f aca="false">SUMPRODUCT(w_ie2,1-(1-(j_row&lt;=I30)*K30^j_row)*(1-(j_row&lt;=J30)*L30^j_row))</f>
        <v>1</v>
      </c>
      <c r="N30" s="31" t="n">
        <f aca="false">occ_st*SUMPRODUCT(w_ie2,(j_row&lt;=I30)*K30^j_row*(j_row&lt;=J30)*L30^j_row*(((j_row*G30&lt;rset_s)+(j_row*tau_L_s&lt;rset_s))&gt;0)+(j_row&lt;=I30)*K30^j_row*(1-(j_row&lt;=J30)*L30^j_row)*(j_row*G30&lt;rset_s)+(1-(j_row&lt;=I30)*K30^j_row)*(j_row&lt;=J30)*L30^j_row*(j_row*tau_L_s&lt;rset_s))</f>
        <v>5</v>
      </c>
      <c r="O30" s="35" t="n">
        <f aca="false">IF(O$8&lt;N_st,1,0)*(1-(1-(O$8&lt;=I30)*K30^O$8)*(1-(O$8&lt;=J30)*L30^O$8))</f>
        <v>1</v>
      </c>
      <c r="P30" s="35" t="n">
        <f aca="false">IF(P$8&lt;N_st,1,0)*(1-(1-(P$8&lt;=I30)*K30^P$8)*(1-(P$8&lt;=J30)*L30^P$8))</f>
        <v>0</v>
      </c>
      <c r="Q30" s="35" t="n">
        <f aca="false">IF(Q$8&lt;N_st,1,0)*(1-(1-(Q$8&lt;=I30)*K30^Q$8)*(1-(Q$8&lt;=J30)*L30^Q$8))</f>
        <v>0</v>
      </c>
      <c r="R30" s="35" t="n">
        <f aca="false">IF(R$8&lt;N_st,1,0)*(1-(1-(R$8&lt;=I30)*K30^R$8)*(1-(R$8&lt;=J30)*L30^R$8))</f>
        <v>0</v>
      </c>
      <c r="S30" s="35" t="n">
        <f aca="false">IF(S$8&lt;N_st,1,0)*(1-(1-(S$8&lt;=I30)*K30^S$8)*(1-(S$8&lt;=J30)*L30^S$8))</f>
        <v>0</v>
      </c>
      <c r="T30" s="35" t="n">
        <f aca="false">IF(T$8&lt;N_st,1,0)*(1-(1-(T$8&lt;=I30)*K30^T$8)*(1-(T$8&lt;=J30)*L30^T$8))</f>
        <v>0</v>
      </c>
      <c r="U30" s="35" t="n">
        <f aca="false">IF(U$8&lt;N_st,1,0)*(1-(1-(U$8&lt;=I30)*K30^U$8)*(1-(U$8&lt;=J30)*L30^U$8))</f>
        <v>0</v>
      </c>
      <c r="V30" s="35" t="n">
        <f aca="false">IF(V$8&lt;N_st,1,0)*(1-(1-(V$8&lt;=I30)*K30^V$8)*(1-(V$8&lt;=J30)*L30^V$8))</f>
        <v>0</v>
      </c>
      <c r="W30" s="35" t="n">
        <f aca="false">IF(W$8&lt;N_st,1,0)*(1-(1-(W$8&lt;=I30)*K30^W$8)*(1-(W$8&lt;=J30)*L30^W$8))</f>
        <v>0</v>
      </c>
      <c r="X30" s="35" t="n">
        <f aca="false">IF(X$8&lt;N_st,1,0)*(1-(1-(X$8&lt;=I30)*K30^X$8)*(1-(X$8&lt;=J30)*L30^X$8))</f>
        <v>0</v>
      </c>
      <c r="Y30" s="35" t="n">
        <f aca="false">IF(Y$8&lt;N_st,1,0)*(1-(1-(Y$8&lt;=I30)*K30^Y$8)*(1-(Y$8&lt;=J30)*L30^Y$8))</f>
        <v>0</v>
      </c>
      <c r="Z30" s="35" t="n">
        <f aca="false">IF(Z$8&lt;N_st,1,0)*(1-(1-(Z$8&lt;=I30)*K30^Z$8)*(1-(Z$8&lt;=J30)*L30^Z$8))</f>
        <v>0</v>
      </c>
      <c r="AA30" s="35" t="n">
        <f aca="false">IF(AA$8&lt;N_st,1,0)*(1-(1-(AA$8&lt;=I30)*K30^AA$8)*(1-(AA$8&lt;=J30)*L30^AA$8))</f>
        <v>0</v>
      </c>
      <c r="AB30" s="35" t="n">
        <f aca="false">IF(AB$8&lt;N_st,1,0)*(1-(1-(AB$8&lt;=I30)*K30^AB$8)*(1-(AB$8&lt;=J30)*L30^AB$8))</f>
        <v>0</v>
      </c>
      <c r="AC30" s="35" t="n">
        <f aca="false">IF(AC$8&lt;N_st,1,0)*(1-(1-(AC$8&lt;=I30)*K30^AC$8)*(1-(AC$8&lt;=J30)*L30^AC$8))</f>
        <v>0</v>
      </c>
      <c r="AD30" s="35" t="n">
        <f aca="false">IF(AD$8&lt;N_st,1,0)*(1-(1-(AD$8&lt;=I30)*K30^AD$8)*(1-(AD$8&lt;=J30)*L30^AD$8))</f>
        <v>0</v>
      </c>
      <c r="AE30" s="35" t="n">
        <f aca="false">IF(AE$8&lt;N_st,1,0)*(1-(1-(AE$8&lt;=I30)*K30^AE$8)*(1-(AE$8&lt;=J30)*L30^AE$8))</f>
        <v>0</v>
      </c>
      <c r="AF30" s="35" t="n">
        <f aca="false">IF(AF$8&lt;N_st,1,0)*(1-(1-(AF$8&lt;=I30)*K30^AF$8)*(1-(AF$8&lt;=J30)*L30^AF$8))</f>
        <v>0</v>
      </c>
      <c r="AG30" s="35" t="n">
        <f aca="false">IF(AG$8&lt;N_st,1,0)*(1-(1-(AG$8&lt;=I30)*K30^AG$8)*(1-(AG$8&lt;=J30)*L30^AG$8))</f>
        <v>0</v>
      </c>
      <c r="AH30" s="35" t="n">
        <f aca="false">IF(AH$8&lt;N_st,1,0)*(1-(1-(AH$8&lt;=I30)*K30^AH$8)*(1-(AH$8&lt;=J30)*L30^AH$8))</f>
        <v>0</v>
      </c>
    </row>
    <row r="31" customFormat="false" ht="15" hidden="false" customHeight="false" outlineLevel="0" collapsed="false">
      <c r="A31" s="24" t="s">
        <v>199</v>
      </c>
      <c r="B31" s="14" t="s">
        <v>177</v>
      </c>
      <c r="C31" s="14" t="n">
        <v>2</v>
      </c>
      <c r="D31" s="14" t="n">
        <v>0</v>
      </c>
      <c r="E31" s="14" t="n">
        <v>0</v>
      </c>
      <c r="F31" s="32" t="n">
        <f aca="false">(1/2_시험자료!$D$21)*(1-2_시험자료!$F$21)</f>
        <v>0.291666666666667</v>
      </c>
      <c r="G31" s="33" t="n">
        <f aca="false">2_시험자료!G9</f>
        <v>487.5</v>
      </c>
      <c r="H31" s="34" t="n">
        <f aca="false">IF(E31=1,1000000000,texp2_s)</f>
        <v>750</v>
      </c>
      <c r="I31" s="14" t="n">
        <f aca="false">FLOOR(MIN(t_fs_s,H31)/G31,1)</f>
        <v>1</v>
      </c>
      <c r="J31" s="14" t="n">
        <f aca="false">IF(C31=1,FLOOR(t_fs_s/tau_L_s,1),0)</f>
        <v>0</v>
      </c>
      <c r="K31" s="17" t="n">
        <f aca="false">IF(D31=1,1-p_cb,1)</f>
        <v>1</v>
      </c>
      <c r="L31" s="17" t="n">
        <f aca="false">IF(C31=1,p_L,0)</f>
        <v>0</v>
      </c>
      <c r="M31" s="35" t="n">
        <f aca="false">SUMPRODUCT(w_ie2,1-(1-(j_row&lt;=I31)*K31^j_row)*(1-(j_row&lt;=J31)*L31^j_row))</f>
        <v>1</v>
      </c>
      <c r="N31" s="31" t="n">
        <f aca="false">occ_st*SUMPRODUCT(w_ie2,(j_row&lt;=I31)*K31^j_row*(j_row&lt;=J31)*L31^j_row*(((j_row*G31&lt;rset_s)+(j_row*tau_L_s&lt;rset_s))&gt;0)+(j_row&lt;=I31)*K31^j_row*(1-(j_row&lt;=J31)*L31^j_row)*(j_row*G31&lt;rset_s)+(1-(j_row&lt;=I31)*K31^j_row)*(j_row&lt;=J31)*L31^j_row*(j_row*tau_L_s&lt;rset_s))</f>
        <v>5</v>
      </c>
      <c r="O31" s="35" t="n">
        <f aca="false">IF(O$8&lt;N_st,1,0)*(1-(1-(O$8&lt;=I31)*K31^O$8)*(1-(O$8&lt;=J31)*L31^O$8))</f>
        <v>1</v>
      </c>
      <c r="P31" s="35" t="n">
        <f aca="false">IF(P$8&lt;N_st,1,0)*(1-(1-(P$8&lt;=I31)*K31^P$8)*(1-(P$8&lt;=J31)*L31^P$8))</f>
        <v>0</v>
      </c>
      <c r="Q31" s="35" t="n">
        <f aca="false">IF(Q$8&lt;N_st,1,0)*(1-(1-(Q$8&lt;=I31)*K31^Q$8)*(1-(Q$8&lt;=J31)*L31^Q$8))</f>
        <v>0</v>
      </c>
      <c r="R31" s="35" t="n">
        <f aca="false">IF(R$8&lt;N_st,1,0)*(1-(1-(R$8&lt;=I31)*K31^R$8)*(1-(R$8&lt;=J31)*L31^R$8))</f>
        <v>0</v>
      </c>
      <c r="S31" s="35" t="n">
        <f aca="false">IF(S$8&lt;N_st,1,0)*(1-(1-(S$8&lt;=I31)*K31^S$8)*(1-(S$8&lt;=J31)*L31^S$8))</f>
        <v>0</v>
      </c>
      <c r="T31" s="35" t="n">
        <f aca="false">IF(T$8&lt;N_st,1,0)*(1-(1-(T$8&lt;=I31)*K31^T$8)*(1-(T$8&lt;=J31)*L31^T$8))</f>
        <v>0</v>
      </c>
      <c r="U31" s="35" t="n">
        <f aca="false">IF(U$8&lt;N_st,1,0)*(1-(1-(U$8&lt;=I31)*K31^U$8)*(1-(U$8&lt;=J31)*L31^U$8))</f>
        <v>0</v>
      </c>
      <c r="V31" s="35" t="n">
        <f aca="false">IF(V$8&lt;N_st,1,0)*(1-(1-(V$8&lt;=I31)*K31^V$8)*(1-(V$8&lt;=J31)*L31^V$8))</f>
        <v>0</v>
      </c>
      <c r="W31" s="35" t="n">
        <f aca="false">IF(W$8&lt;N_st,1,0)*(1-(1-(W$8&lt;=I31)*K31^W$8)*(1-(W$8&lt;=J31)*L31^W$8))</f>
        <v>0</v>
      </c>
      <c r="X31" s="35" t="n">
        <f aca="false">IF(X$8&lt;N_st,1,0)*(1-(1-(X$8&lt;=I31)*K31^X$8)*(1-(X$8&lt;=J31)*L31^X$8))</f>
        <v>0</v>
      </c>
      <c r="Y31" s="35" t="n">
        <f aca="false">IF(Y$8&lt;N_st,1,0)*(1-(1-(Y$8&lt;=I31)*K31^Y$8)*(1-(Y$8&lt;=J31)*L31^Y$8))</f>
        <v>0</v>
      </c>
      <c r="Z31" s="35" t="n">
        <f aca="false">IF(Z$8&lt;N_st,1,0)*(1-(1-(Z$8&lt;=I31)*K31^Z$8)*(1-(Z$8&lt;=J31)*L31^Z$8))</f>
        <v>0</v>
      </c>
      <c r="AA31" s="35" t="n">
        <f aca="false">IF(AA$8&lt;N_st,1,0)*(1-(1-(AA$8&lt;=I31)*K31^AA$8)*(1-(AA$8&lt;=J31)*L31^AA$8))</f>
        <v>0</v>
      </c>
      <c r="AB31" s="35" t="n">
        <f aca="false">IF(AB$8&lt;N_st,1,0)*(1-(1-(AB$8&lt;=I31)*K31^AB$8)*(1-(AB$8&lt;=J31)*L31^AB$8))</f>
        <v>0</v>
      </c>
      <c r="AC31" s="35" t="n">
        <f aca="false">IF(AC$8&lt;N_st,1,0)*(1-(1-(AC$8&lt;=I31)*K31^AC$8)*(1-(AC$8&lt;=J31)*L31^AC$8))</f>
        <v>0</v>
      </c>
      <c r="AD31" s="35" t="n">
        <f aca="false">IF(AD$8&lt;N_st,1,0)*(1-(1-(AD$8&lt;=I31)*K31^AD$8)*(1-(AD$8&lt;=J31)*L31^AD$8))</f>
        <v>0</v>
      </c>
      <c r="AE31" s="35" t="n">
        <f aca="false">IF(AE$8&lt;N_st,1,0)*(1-(1-(AE$8&lt;=I31)*K31^AE$8)*(1-(AE$8&lt;=J31)*L31^AE$8))</f>
        <v>0</v>
      </c>
      <c r="AF31" s="35" t="n">
        <f aca="false">IF(AF$8&lt;N_st,1,0)*(1-(1-(AF$8&lt;=I31)*K31^AF$8)*(1-(AF$8&lt;=J31)*L31^AF$8))</f>
        <v>0</v>
      </c>
      <c r="AG31" s="35" t="n">
        <f aca="false">IF(AG$8&lt;N_st,1,0)*(1-(1-(AG$8&lt;=I31)*K31^AG$8)*(1-(AG$8&lt;=J31)*L31^AG$8))</f>
        <v>0</v>
      </c>
      <c r="AH31" s="35" t="n">
        <f aca="false">IF(AH$8&lt;N_st,1,0)*(1-(1-(AH$8&lt;=I31)*K31^AH$8)*(1-(AH$8&lt;=J31)*L31^AH$8))</f>
        <v>0</v>
      </c>
    </row>
    <row r="32" customFormat="false" ht="15" hidden="false" customHeight="false" outlineLevel="0" collapsed="false">
      <c r="A32" s="24" t="s">
        <v>199</v>
      </c>
      <c r="B32" s="14" t="s">
        <v>177</v>
      </c>
      <c r="C32" s="14" t="n">
        <v>2</v>
      </c>
      <c r="D32" s="14" t="n">
        <v>1</v>
      </c>
      <c r="E32" s="14" t="n">
        <v>1</v>
      </c>
      <c r="F32" s="32" t="n">
        <f aca="false">(1/2_시험자료!$D$21)*2_시험자료!$F$21</f>
        <v>0.0416666666666667</v>
      </c>
      <c r="G32" s="33" t="n">
        <f aca="false">2_시험자료!G9</f>
        <v>487.5</v>
      </c>
      <c r="H32" s="34" t="n">
        <f aca="false">IF(E32=1,1000000000,texp2_s)</f>
        <v>1000000000</v>
      </c>
      <c r="I32" s="14" t="n">
        <f aca="false">FLOOR(MIN(t_fs_s,H32)/G32,1)</f>
        <v>1</v>
      </c>
      <c r="J32" s="14" t="n">
        <f aca="false">IF(C32=1,FLOOR(t_fs_s/tau_L_s,1),0)</f>
        <v>0</v>
      </c>
      <c r="K32" s="17" t="n">
        <f aca="false">IF(D32=1,1-p_cb,1)</f>
        <v>0.3</v>
      </c>
      <c r="L32" s="17" t="n">
        <f aca="false">IF(C32=1,p_L,0)</f>
        <v>0</v>
      </c>
      <c r="M32" s="35" t="n">
        <f aca="false">SUMPRODUCT(w_ie2,1-(1-(j_row&lt;=I32)*K32^j_row)*(1-(j_row&lt;=J32)*L32^j_row))</f>
        <v>0.3</v>
      </c>
      <c r="N32" s="31" t="n">
        <f aca="false">occ_st*SUMPRODUCT(w_ie2,(j_row&lt;=I32)*K32^j_row*(j_row&lt;=J32)*L32^j_row*(((j_row*G32&lt;rset_s)+(j_row*tau_L_s&lt;rset_s))&gt;0)+(j_row&lt;=I32)*K32^j_row*(1-(j_row&lt;=J32)*L32^j_row)*(j_row*G32&lt;rset_s)+(1-(j_row&lt;=I32)*K32^j_row)*(j_row&lt;=J32)*L32^j_row*(j_row*tau_L_s&lt;rset_s))</f>
        <v>1.5</v>
      </c>
      <c r="O32" s="35" t="n">
        <f aca="false">IF(O$8&lt;N_st,1,0)*(1-(1-(O$8&lt;=I32)*K32^O$8)*(1-(O$8&lt;=J32)*L32^O$8))</f>
        <v>0.3</v>
      </c>
      <c r="P32" s="35" t="n">
        <f aca="false">IF(P$8&lt;N_st,1,0)*(1-(1-(P$8&lt;=I32)*K32^P$8)*(1-(P$8&lt;=J32)*L32^P$8))</f>
        <v>0</v>
      </c>
      <c r="Q32" s="35" t="n">
        <f aca="false">IF(Q$8&lt;N_st,1,0)*(1-(1-(Q$8&lt;=I32)*K32^Q$8)*(1-(Q$8&lt;=J32)*L32^Q$8))</f>
        <v>0</v>
      </c>
      <c r="R32" s="35" t="n">
        <f aca="false">IF(R$8&lt;N_st,1,0)*(1-(1-(R$8&lt;=I32)*K32^R$8)*(1-(R$8&lt;=J32)*L32^R$8))</f>
        <v>0</v>
      </c>
      <c r="S32" s="35" t="n">
        <f aca="false">IF(S$8&lt;N_st,1,0)*(1-(1-(S$8&lt;=I32)*K32^S$8)*(1-(S$8&lt;=J32)*L32^S$8))</f>
        <v>0</v>
      </c>
      <c r="T32" s="35" t="n">
        <f aca="false">IF(T$8&lt;N_st,1,0)*(1-(1-(T$8&lt;=I32)*K32^T$8)*(1-(T$8&lt;=J32)*L32^T$8))</f>
        <v>0</v>
      </c>
      <c r="U32" s="35" t="n">
        <f aca="false">IF(U$8&lt;N_st,1,0)*(1-(1-(U$8&lt;=I32)*K32^U$8)*(1-(U$8&lt;=J32)*L32^U$8))</f>
        <v>0</v>
      </c>
      <c r="V32" s="35" t="n">
        <f aca="false">IF(V$8&lt;N_st,1,0)*(1-(1-(V$8&lt;=I32)*K32^V$8)*(1-(V$8&lt;=J32)*L32^V$8))</f>
        <v>0</v>
      </c>
      <c r="W32" s="35" t="n">
        <f aca="false">IF(W$8&lt;N_st,1,0)*(1-(1-(W$8&lt;=I32)*K32^W$8)*(1-(W$8&lt;=J32)*L32^W$8))</f>
        <v>0</v>
      </c>
      <c r="X32" s="35" t="n">
        <f aca="false">IF(X$8&lt;N_st,1,0)*(1-(1-(X$8&lt;=I32)*K32^X$8)*(1-(X$8&lt;=J32)*L32^X$8))</f>
        <v>0</v>
      </c>
      <c r="Y32" s="35" t="n">
        <f aca="false">IF(Y$8&lt;N_st,1,0)*(1-(1-(Y$8&lt;=I32)*K32^Y$8)*(1-(Y$8&lt;=J32)*L32^Y$8))</f>
        <v>0</v>
      </c>
      <c r="Z32" s="35" t="n">
        <f aca="false">IF(Z$8&lt;N_st,1,0)*(1-(1-(Z$8&lt;=I32)*K32^Z$8)*(1-(Z$8&lt;=J32)*L32^Z$8))</f>
        <v>0</v>
      </c>
      <c r="AA32" s="35" t="n">
        <f aca="false">IF(AA$8&lt;N_st,1,0)*(1-(1-(AA$8&lt;=I32)*K32^AA$8)*(1-(AA$8&lt;=J32)*L32^AA$8))</f>
        <v>0</v>
      </c>
      <c r="AB32" s="35" t="n">
        <f aca="false">IF(AB$8&lt;N_st,1,0)*(1-(1-(AB$8&lt;=I32)*K32^AB$8)*(1-(AB$8&lt;=J32)*L32^AB$8))</f>
        <v>0</v>
      </c>
      <c r="AC32" s="35" t="n">
        <f aca="false">IF(AC$8&lt;N_st,1,0)*(1-(1-(AC$8&lt;=I32)*K32^AC$8)*(1-(AC$8&lt;=J32)*L32^AC$8))</f>
        <v>0</v>
      </c>
      <c r="AD32" s="35" t="n">
        <f aca="false">IF(AD$8&lt;N_st,1,0)*(1-(1-(AD$8&lt;=I32)*K32^AD$8)*(1-(AD$8&lt;=J32)*L32^AD$8))</f>
        <v>0</v>
      </c>
      <c r="AE32" s="35" t="n">
        <f aca="false">IF(AE$8&lt;N_st,1,0)*(1-(1-(AE$8&lt;=I32)*K32^AE$8)*(1-(AE$8&lt;=J32)*L32^AE$8))</f>
        <v>0</v>
      </c>
      <c r="AF32" s="35" t="n">
        <f aca="false">IF(AF$8&lt;N_st,1,0)*(1-(1-(AF$8&lt;=I32)*K32^AF$8)*(1-(AF$8&lt;=J32)*L32^AF$8))</f>
        <v>0</v>
      </c>
      <c r="AG32" s="35" t="n">
        <f aca="false">IF(AG$8&lt;N_st,1,0)*(1-(1-(AG$8&lt;=I32)*K32^AG$8)*(1-(AG$8&lt;=J32)*L32^AG$8))</f>
        <v>0</v>
      </c>
      <c r="AH32" s="35" t="n">
        <f aca="false">IF(AH$8&lt;N_st,1,0)*(1-(1-(AH$8&lt;=I32)*K32^AH$8)*(1-(AH$8&lt;=J32)*L32^AH$8))</f>
        <v>0</v>
      </c>
    </row>
    <row r="33" customFormat="false" ht="15" hidden="false" customHeight="false" outlineLevel="0" collapsed="false">
      <c r="A33" s="24" t="s">
        <v>199</v>
      </c>
      <c r="B33" s="14" t="s">
        <v>177</v>
      </c>
      <c r="C33" s="14" t="n">
        <v>2</v>
      </c>
      <c r="D33" s="14" t="n">
        <v>1</v>
      </c>
      <c r="E33" s="14" t="n">
        <v>0</v>
      </c>
      <c r="F33" s="32" t="n">
        <f aca="false">(1/2_시험자료!$D$21)*(1-2_시험자료!$F$21)</f>
        <v>0.291666666666667</v>
      </c>
      <c r="G33" s="33" t="n">
        <f aca="false">2_시험자료!G9</f>
        <v>487.5</v>
      </c>
      <c r="H33" s="34" t="n">
        <f aca="false">IF(E33=1,1000000000,texp2_s)</f>
        <v>750</v>
      </c>
      <c r="I33" s="14" t="n">
        <f aca="false">FLOOR(MIN(t_fs_s,H33)/G33,1)</f>
        <v>1</v>
      </c>
      <c r="J33" s="14" t="n">
        <f aca="false">IF(C33=1,FLOOR(t_fs_s/tau_L_s,1),0)</f>
        <v>0</v>
      </c>
      <c r="K33" s="17" t="n">
        <f aca="false">IF(D33=1,1-p_cb,1)</f>
        <v>0.3</v>
      </c>
      <c r="L33" s="17" t="n">
        <f aca="false">IF(C33=1,p_L,0)</f>
        <v>0</v>
      </c>
      <c r="M33" s="35" t="n">
        <f aca="false">SUMPRODUCT(w_ie2,1-(1-(j_row&lt;=I33)*K33^j_row)*(1-(j_row&lt;=J33)*L33^j_row))</f>
        <v>0.3</v>
      </c>
      <c r="N33" s="31" t="n">
        <f aca="false">occ_st*SUMPRODUCT(w_ie2,(j_row&lt;=I33)*K33^j_row*(j_row&lt;=J33)*L33^j_row*(((j_row*G33&lt;rset_s)+(j_row*tau_L_s&lt;rset_s))&gt;0)+(j_row&lt;=I33)*K33^j_row*(1-(j_row&lt;=J33)*L33^j_row)*(j_row*G33&lt;rset_s)+(1-(j_row&lt;=I33)*K33^j_row)*(j_row&lt;=J33)*L33^j_row*(j_row*tau_L_s&lt;rset_s))</f>
        <v>1.5</v>
      </c>
      <c r="O33" s="35" t="n">
        <f aca="false">IF(O$8&lt;N_st,1,0)*(1-(1-(O$8&lt;=I33)*K33^O$8)*(1-(O$8&lt;=J33)*L33^O$8))</f>
        <v>0.3</v>
      </c>
      <c r="P33" s="35" t="n">
        <f aca="false">IF(P$8&lt;N_st,1,0)*(1-(1-(P$8&lt;=I33)*K33^P$8)*(1-(P$8&lt;=J33)*L33^P$8))</f>
        <v>0</v>
      </c>
      <c r="Q33" s="35" t="n">
        <f aca="false">IF(Q$8&lt;N_st,1,0)*(1-(1-(Q$8&lt;=I33)*K33^Q$8)*(1-(Q$8&lt;=J33)*L33^Q$8))</f>
        <v>0</v>
      </c>
      <c r="R33" s="35" t="n">
        <f aca="false">IF(R$8&lt;N_st,1,0)*(1-(1-(R$8&lt;=I33)*K33^R$8)*(1-(R$8&lt;=J33)*L33^R$8))</f>
        <v>0</v>
      </c>
      <c r="S33" s="35" t="n">
        <f aca="false">IF(S$8&lt;N_st,1,0)*(1-(1-(S$8&lt;=I33)*K33^S$8)*(1-(S$8&lt;=J33)*L33^S$8))</f>
        <v>0</v>
      </c>
      <c r="T33" s="35" t="n">
        <f aca="false">IF(T$8&lt;N_st,1,0)*(1-(1-(T$8&lt;=I33)*K33^T$8)*(1-(T$8&lt;=J33)*L33^T$8))</f>
        <v>0</v>
      </c>
      <c r="U33" s="35" t="n">
        <f aca="false">IF(U$8&lt;N_st,1,0)*(1-(1-(U$8&lt;=I33)*K33^U$8)*(1-(U$8&lt;=J33)*L33^U$8))</f>
        <v>0</v>
      </c>
      <c r="V33" s="35" t="n">
        <f aca="false">IF(V$8&lt;N_st,1,0)*(1-(1-(V$8&lt;=I33)*K33^V$8)*(1-(V$8&lt;=J33)*L33^V$8))</f>
        <v>0</v>
      </c>
      <c r="W33" s="35" t="n">
        <f aca="false">IF(W$8&lt;N_st,1,0)*(1-(1-(W$8&lt;=I33)*K33^W$8)*(1-(W$8&lt;=J33)*L33^W$8))</f>
        <v>0</v>
      </c>
      <c r="X33" s="35" t="n">
        <f aca="false">IF(X$8&lt;N_st,1,0)*(1-(1-(X$8&lt;=I33)*K33^X$8)*(1-(X$8&lt;=J33)*L33^X$8))</f>
        <v>0</v>
      </c>
      <c r="Y33" s="35" t="n">
        <f aca="false">IF(Y$8&lt;N_st,1,0)*(1-(1-(Y$8&lt;=I33)*K33^Y$8)*(1-(Y$8&lt;=J33)*L33^Y$8))</f>
        <v>0</v>
      </c>
      <c r="Z33" s="35" t="n">
        <f aca="false">IF(Z$8&lt;N_st,1,0)*(1-(1-(Z$8&lt;=I33)*K33^Z$8)*(1-(Z$8&lt;=J33)*L33^Z$8))</f>
        <v>0</v>
      </c>
      <c r="AA33" s="35" t="n">
        <f aca="false">IF(AA$8&lt;N_st,1,0)*(1-(1-(AA$8&lt;=I33)*K33^AA$8)*(1-(AA$8&lt;=J33)*L33^AA$8))</f>
        <v>0</v>
      </c>
      <c r="AB33" s="35" t="n">
        <f aca="false">IF(AB$8&lt;N_st,1,0)*(1-(1-(AB$8&lt;=I33)*K33^AB$8)*(1-(AB$8&lt;=J33)*L33^AB$8))</f>
        <v>0</v>
      </c>
      <c r="AC33" s="35" t="n">
        <f aca="false">IF(AC$8&lt;N_st,1,0)*(1-(1-(AC$8&lt;=I33)*K33^AC$8)*(1-(AC$8&lt;=J33)*L33^AC$8))</f>
        <v>0</v>
      </c>
      <c r="AD33" s="35" t="n">
        <f aca="false">IF(AD$8&lt;N_st,1,0)*(1-(1-(AD$8&lt;=I33)*K33^AD$8)*(1-(AD$8&lt;=J33)*L33^AD$8))</f>
        <v>0</v>
      </c>
      <c r="AE33" s="35" t="n">
        <f aca="false">IF(AE$8&lt;N_st,1,0)*(1-(1-(AE$8&lt;=I33)*K33^AE$8)*(1-(AE$8&lt;=J33)*L33^AE$8))</f>
        <v>0</v>
      </c>
      <c r="AF33" s="35" t="n">
        <f aca="false">IF(AF$8&lt;N_st,1,0)*(1-(1-(AF$8&lt;=I33)*K33^AF$8)*(1-(AF$8&lt;=J33)*L33^AF$8))</f>
        <v>0</v>
      </c>
      <c r="AG33" s="35" t="n">
        <f aca="false">IF(AG$8&lt;N_st,1,0)*(1-(1-(AG$8&lt;=I33)*K33^AG$8)*(1-(AG$8&lt;=J33)*L33^AG$8))</f>
        <v>0</v>
      </c>
      <c r="AH33" s="35" t="n">
        <f aca="false">IF(AH$8&lt;N_st,1,0)*(1-(1-(AH$8&lt;=I33)*K33^AH$8)*(1-(AH$8&lt;=J33)*L33^AH$8))</f>
        <v>0</v>
      </c>
    </row>
    <row r="34" customFormat="false" ht="15" hidden="false" customHeight="false" outlineLevel="0" collapsed="false">
      <c r="A34" s="24" t="s">
        <v>201</v>
      </c>
      <c r="B34" s="14" t="s">
        <v>178</v>
      </c>
      <c r="C34" s="14" t="n">
        <v>1</v>
      </c>
      <c r="D34" s="14" t="n">
        <v>0</v>
      </c>
      <c r="E34" s="14" t="n">
        <v>1</v>
      </c>
      <c r="F34" s="32" t="n">
        <f aca="false">(1/2_시험자료!$D$22)*2_시험자료!$F$22</f>
        <v>0.0833333333333333</v>
      </c>
      <c r="G34" s="33" t="n">
        <f aca="false">2_시험자료!G10</f>
        <v>15.5</v>
      </c>
      <c r="H34" s="34" t="n">
        <f aca="false">IF(E34=1,1000000000,texp1_s)</f>
        <v>1000000000</v>
      </c>
      <c r="I34" s="14" t="n">
        <f aca="false">FLOOR(MIN(t_fs_s,H34)/G34,1)</f>
        <v>58</v>
      </c>
      <c r="J34" s="14" t="n">
        <f aca="false">IF(C34=1,FLOOR(t_fs_s/tau_L_s,1),0)</f>
        <v>1</v>
      </c>
      <c r="K34" s="17" t="n">
        <f aca="false">IF(D34=1,1-p_cb,1)</f>
        <v>1</v>
      </c>
      <c r="L34" s="17" t="n">
        <f aca="false">IF(C34=1,p_L,0)</f>
        <v>0.15</v>
      </c>
      <c r="M34" s="35" t="n">
        <f aca="false">SUMPRODUCT(w_ie1,1-(1-(j_row&lt;=I34)*K34^j_row)*(1-(j_row&lt;=J34)*L34^j_row))</f>
        <v>7</v>
      </c>
      <c r="N34" s="31" t="n">
        <f aca="false">occ_st*SUMPRODUCT(w_ie1,(j_row&lt;=I34)*K34^j_row*(j_row&lt;=J34)*L34^j_row*(((j_row*G34&lt;rset_s)+(j_row*tau_L_s&lt;rset_s))&gt;0)+(j_row&lt;=I34)*K34^j_row*(1-(j_row&lt;=J34)*L34^j_row)*(j_row*G34&lt;rset_s)+(1-(j_row&lt;=I34)*K34^j_row)*(j_row&lt;=J34)*L34^j_row*(j_row*tau_L_s&lt;rset_s))</f>
        <v>35</v>
      </c>
      <c r="O34" s="35" t="n">
        <f aca="false">IF(O$8&lt;N_st,(N_st-O$8)/N_st,0)*(1-(1-(O$8&lt;=I34)*K34^O$8)*(1-(O$8&lt;=J34)*L34^O$8))</f>
        <v>0.933333333333333</v>
      </c>
      <c r="P34" s="35" t="n">
        <f aca="false">IF(P$8&lt;N_st,(N_st-P$8)/N_st,0)*(1-(1-(P$8&lt;=I34)*K34^P$8)*(1-(P$8&lt;=J34)*L34^P$8))</f>
        <v>0.866666666666667</v>
      </c>
      <c r="Q34" s="35" t="n">
        <f aca="false">IF(Q$8&lt;N_st,(N_st-Q$8)/N_st,0)*(1-(1-(Q$8&lt;=I34)*K34^Q$8)*(1-(Q$8&lt;=J34)*L34^Q$8))</f>
        <v>0.8</v>
      </c>
      <c r="R34" s="35" t="n">
        <f aca="false">IF(R$8&lt;N_st,(N_st-R$8)/N_st,0)*(1-(1-(R$8&lt;=I34)*K34^R$8)*(1-(R$8&lt;=J34)*L34^R$8))</f>
        <v>0.733333333333333</v>
      </c>
      <c r="S34" s="35" t="n">
        <f aca="false">IF(S$8&lt;N_st,(N_st-S$8)/N_st,0)*(1-(1-(S$8&lt;=I34)*K34^S$8)*(1-(S$8&lt;=J34)*L34^S$8))</f>
        <v>0.666666666666667</v>
      </c>
      <c r="T34" s="35" t="n">
        <f aca="false">IF(T$8&lt;N_st,(N_st-T$8)/N_st,0)*(1-(1-(T$8&lt;=I34)*K34^T$8)*(1-(T$8&lt;=J34)*L34^T$8))</f>
        <v>0.6</v>
      </c>
      <c r="U34" s="35" t="n">
        <f aca="false">IF(U$8&lt;N_st,(N_st-U$8)/N_st,0)*(1-(1-(U$8&lt;=I34)*K34^U$8)*(1-(U$8&lt;=J34)*L34^U$8))</f>
        <v>0.533333333333333</v>
      </c>
      <c r="V34" s="35" t="n">
        <f aca="false">IF(V$8&lt;N_st,(N_st-V$8)/N_st,0)*(1-(1-(V$8&lt;=I34)*K34^V$8)*(1-(V$8&lt;=J34)*L34^V$8))</f>
        <v>0.466666666666667</v>
      </c>
      <c r="W34" s="35" t="n">
        <f aca="false">IF(W$8&lt;N_st,(N_st-W$8)/N_st,0)*(1-(1-(W$8&lt;=I34)*K34^W$8)*(1-(W$8&lt;=J34)*L34^W$8))</f>
        <v>0.4</v>
      </c>
      <c r="X34" s="35" t="n">
        <f aca="false">IF(X$8&lt;N_st,(N_st-X$8)/N_st,0)*(1-(1-(X$8&lt;=I34)*K34^X$8)*(1-(X$8&lt;=J34)*L34^X$8))</f>
        <v>0.333333333333333</v>
      </c>
      <c r="Y34" s="35" t="n">
        <f aca="false">IF(Y$8&lt;N_st,(N_st-Y$8)/N_st,0)*(1-(1-(Y$8&lt;=I34)*K34^Y$8)*(1-(Y$8&lt;=J34)*L34^Y$8))</f>
        <v>0.266666666666667</v>
      </c>
      <c r="Z34" s="35" t="n">
        <f aca="false">IF(Z$8&lt;N_st,(N_st-Z$8)/N_st,0)*(1-(1-(Z$8&lt;=I34)*K34^Z$8)*(1-(Z$8&lt;=J34)*L34^Z$8))</f>
        <v>0.2</v>
      </c>
      <c r="AA34" s="35" t="n">
        <f aca="false">IF(AA$8&lt;N_st,(N_st-AA$8)/N_st,0)*(1-(1-(AA$8&lt;=I34)*K34^AA$8)*(1-(AA$8&lt;=J34)*L34^AA$8))</f>
        <v>0.133333333333333</v>
      </c>
      <c r="AB34" s="35" t="n">
        <f aca="false">IF(AB$8&lt;N_st,(N_st-AB$8)/N_st,0)*(1-(1-(AB$8&lt;=I34)*K34^AB$8)*(1-(AB$8&lt;=J34)*L34^AB$8))</f>
        <v>0.0666666666666667</v>
      </c>
      <c r="AC34" s="35" t="n">
        <f aca="false">IF(AC$8&lt;N_st,(N_st-AC$8)/N_st,0)*(1-(1-(AC$8&lt;=I34)*K34^AC$8)*(1-(AC$8&lt;=J34)*L34^AC$8))</f>
        <v>0</v>
      </c>
      <c r="AD34" s="35" t="n">
        <f aca="false">IF(AD$8&lt;N_st,(N_st-AD$8)/N_st,0)*(1-(1-(AD$8&lt;=I34)*K34^AD$8)*(1-(AD$8&lt;=J34)*L34^AD$8))</f>
        <v>0</v>
      </c>
      <c r="AE34" s="35" t="n">
        <f aca="false">IF(AE$8&lt;N_st,(N_st-AE$8)/N_st,0)*(1-(1-(AE$8&lt;=I34)*K34^AE$8)*(1-(AE$8&lt;=J34)*L34^AE$8))</f>
        <v>0</v>
      </c>
      <c r="AF34" s="35" t="n">
        <f aca="false">IF(AF$8&lt;N_st,(N_st-AF$8)/N_st,0)*(1-(1-(AF$8&lt;=I34)*K34^AF$8)*(1-(AF$8&lt;=J34)*L34^AF$8))</f>
        <v>0</v>
      </c>
      <c r="AG34" s="35" t="n">
        <f aca="false">IF(AG$8&lt;N_st,(N_st-AG$8)/N_st,0)*(1-(1-(AG$8&lt;=I34)*K34^AG$8)*(1-(AG$8&lt;=J34)*L34^AG$8))</f>
        <v>0</v>
      </c>
      <c r="AH34" s="35" t="n">
        <f aca="false">IF(AH$8&lt;N_st,(N_st-AH$8)/N_st,0)*(1-(1-(AH$8&lt;=I34)*K34^AH$8)*(1-(AH$8&lt;=J34)*L34^AH$8))</f>
        <v>0</v>
      </c>
    </row>
    <row r="35" customFormat="false" ht="15" hidden="false" customHeight="false" outlineLevel="0" collapsed="false">
      <c r="A35" s="24" t="s">
        <v>201</v>
      </c>
      <c r="B35" s="14" t="s">
        <v>178</v>
      </c>
      <c r="C35" s="14" t="n">
        <v>1</v>
      </c>
      <c r="D35" s="14" t="n">
        <v>0</v>
      </c>
      <c r="E35" s="14" t="n">
        <v>0</v>
      </c>
      <c r="F35" s="32" t="n">
        <f aca="false">(1/2_시험자료!$D$22)*(1-2_시험자료!$F$22)</f>
        <v>0.416666666666667</v>
      </c>
      <c r="G35" s="33" t="n">
        <f aca="false">2_시험자료!G10</f>
        <v>15.5</v>
      </c>
      <c r="H35" s="34" t="n">
        <f aca="false">IF(E35=1,1000000000,texp1_s)</f>
        <v>1200</v>
      </c>
      <c r="I35" s="14" t="n">
        <f aca="false">FLOOR(MIN(t_fs_s,H35)/G35,1)</f>
        <v>58</v>
      </c>
      <c r="J35" s="14" t="n">
        <f aca="false">IF(C35=1,FLOOR(t_fs_s/tau_L_s,1),0)</f>
        <v>1</v>
      </c>
      <c r="K35" s="17" t="n">
        <f aca="false">IF(D35=1,1-p_cb,1)</f>
        <v>1</v>
      </c>
      <c r="L35" s="17" t="n">
        <f aca="false">IF(C35=1,p_L,0)</f>
        <v>0.15</v>
      </c>
      <c r="M35" s="35" t="n">
        <f aca="false">SUMPRODUCT(w_ie1,1-(1-(j_row&lt;=I35)*K35^j_row)*(1-(j_row&lt;=J35)*L35^j_row))</f>
        <v>7</v>
      </c>
      <c r="N35" s="31" t="n">
        <f aca="false">occ_st*SUMPRODUCT(w_ie1,(j_row&lt;=I35)*K35^j_row*(j_row&lt;=J35)*L35^j_row*(((j_row*G35&lt;rset_s)+(j_row*tau_L_s&lt;rset_s))&gt;0)+(j_row&lt;=I35)*K35^j_row*(1-(j_row&lt;=J35)*L35^j_row)*(j_row*G35&lt;rset_s)+(1-(j_row&lt;=I35)*K35^j_row)*(j_row&lt;=J35)*L35^j_row*(j_row*tau_L_s&lt;rset_s))</f>
        <v>35</v>
      </c>
      <c r="O35" s="35" t="n">
        <f aca="false">IF(O$8&lt;N_st,(N_st-O$8)/N_st,0)*(1-(1-(O$8&lt;=I35)*K35^O$8)*(1-(O$8&lt;=J35)*L35^O$8))</f>
        <v>0.933333333333333</v>
      </c>
      <c r="P35" s="35" t="n">
        <f aca="false">IF(P$8&lt;N_st,(N_st-P$8)/N_st,0)*(1-(1-(P$8&lt;=I35)*K35^P$8)*(1-(P$8&lt;=J35)*L35^P$8))</f>
        <v>0.866666666666667</v>
      </c>
      <c r="Q35" s="35" t="n">
        <f aca="false">IF(Q$8&lt;N_st,(N_st-Q$8)/N_st,0)*(1-(1-(Q$8&lt;=I35)*K35^Q$8)*(1-(Q$8&lt;=J35)*L35^Q$8))</f>
        <v>0.8</v>
      </c>
      <c r="R35" s="35" t="n">
        <f aca="false">IF(R$8&lt;N_st,(N_st-R$8)/N_st,0)*(1-(1-(R$8&lt;=I35)*K35^R$8)*(1-(R$8&lt;=J35)*L35^R$8))</f>
        <v>0.733333333333333</v>
      </c>
      <c r="S35" s="35" t="n">
        <f aca="false">IF(S$8&lt;N_st,(N_st-S$8)/N_st,0)*(1-(1-(S$8&lt;=I35)*K35^S$8)*(1-(S$8&lt;=J35)*L35^S$8))</f>
        <v>0.666666666666667</v>
      </c>
      <c r="T35" s="35" t="n">
        <f aca="false">IF(T$8&lt;N_st,(N_st-T$8)/N_st,0)*(1-(1-(T$8&lt;=I35)*K35^T$8)*(1-(T$8&lt;=J35)*L35^T$8))</f>
        <v>0.6</v>
      </c>
      <c r="U35" s="35" t="n">
        <f aca="false">IF(U$8&lt;N_st,(N_st-U$8)/N_st,0)*(1-(1-(U$8&lt;=I35)*K35^U$8)*(1-(U$8&lt;=J35)*L35^U$8))</f>
        <v>0.533333333333333</v>
      </c>
      <c r="V35" s="35" t="n">
        <f aca="false">IF(V$8&lt;N_st,(N_st-V$8)/N_st,0)*(1-(1-(V$8&lt;=I35)*K35^V$8)*(1-(V$8&lt;=J35)*L35^V$8))</f>
        <v>0.466666666666667</v>
      </c>
      <c r="W35" s="35" t="n">
        <f aca="false">IF(W$8&lt;N_st,(N_st-W$8)/N_st,0)*(1-(1-(W$8&lt;=I35)*K35^W$8)*(1-(W$8&lt;=J35)*L35^W$8))</f>
        <v>0.4</v>
      </c>
      <c r="X35" s="35" t="n">
        <f aca="false">IF(X$8&lt;N_st,(N_st-X$8)/N_st,0)*(1-(1-(X$8&lt;=I35)*K35^X$8)*(1-(X$8&lt;=J35)*L35^X$8))</f>
        <v>0.333333333333333</v>
      </c>
      <c r="Y35" s="35" t="n">
        <f aca="false">IF(Y$8&lt;N_st,(N_st-Y$8)/N_st,0)*(1-(1-(Y$8&lt;=I35)*K35^Y$8)*(1-(Y$8&lt;=J35)*L35^Y$8))</f>
        <v>0.266666666666667</v>
      </c>
      <c r="Z35" s="35" t="n">
        <f aca="false">IF(Z$8&lt;N_st,(N_st-Z$8)/N_st,0)*(1-(1-(Z$8&lt;=I35)*K35^Z$8)*(1-(Z$8&lt;=J35)*L35^Z$8))</f>
        <v>0.2</v>
      </c>
      <c r="AA35" s="35" t="n">
        <f aca="false">IF(AA$8&lt;N_st,(N_st-AA$8)/N_st,0)*(1-(1-(AA$8&lt;=I35)*K35^AA$8)*(1-(AA$8&lt;=J35)*L35^AA$8))</f>
        <v>0.133333333333333</v>
      </c>
      <c r="AB35" s="35" t="n">
        <f aca="false">IF(AB$8&lt;N_st,(N_st-AB$8)/N_st,0)*(1-(1-(AB$8&lt;=I35)*K35^AB$8)*(1-(AB$8&lt;=J35)*L35^AB$8))</f>
        <v>0.0666666666666667</v>
      </c>
      <c r="AC35" s="35" t="n">
        <f aca="false">IF(AC$8&lt;N_st,(N_st-AC$8)/N_st,0)*(1-(1-(AC$8&lt;=I35)*K35^AC$8)*(1-(AC$8&lt;=J35)*L35^AC$8))</f>
        <v>0</v>
      </c>
      <c r="AD35" s="35" t="n">
        <f aca="false">IF(AD$8&lt;N_st,(N_st-AD$8)/N_st,0)*(1-(1-(AD$8&lt;=I35)*K35^AD$8)*(1-(AD$8&lt;=J35)*L35^AD$8))</f>
        <v>0</v>
      </c>
      <c r="AE35" s="35" t="n">
        <f aca="false">IF(AE$8&lt;N_st,(N_st-AE$8)/N_st,0)*(1-(1-(AE$8&lt;=I35)*K35^AE$8)*(1-(AE$8&lt;=J35)*L35^AE$8))</f>
        <v>0</v>
      </c>
      <c r="AF35" s="35" t="n">
        <f aca="false">IF(AF$8&lt;N_st,(N_st-AF$8)/N_st,0)*(1-(1-(AF$8&lt;=I35)*K35^AF$8)*(1-(AF$8&lt;=J35)*L35^AF$8))</f>
        <v>0</v>
      </c>
      <c r="AG35" s="35" t="n">
        <f aca="false">IF(AG$8&lt;N_st,(N_st-AG$8)/N_st,0)*(1-(1-(AG$8&lt;=I35)*K35^AG$8)*(1-(AG$8&lt;=J35)*L35^AG$8))</f>
        <v>0</v>
      </c>
      <c r="AH35" s="35" t="n">
        <f aca="false">IF(AH$8&lt;N_st,(N_st-AH$8)/N_st,0)*(1-(1-(AH$8&lt;=I35)*K35^AH$8)*(1-(AH$8&lt;=J35)*L35^AH$8))</f>
        <v>0</v>
      </c>
    </row>
    <row r="36" customFormat="false" ht="15" hidden="false" customHeight="false" outlineLevel="0" collapsed="false">
      <c r="A36" s="24" t="s">
        <v>201</v>
      </c>
      <c r="B36" s="14" t="s">
        <v>178</v>
      </c>
      <c r="C36" s="14" t="n">
        <v>1</v>
      </c>
      <c r="D36" s="14" t="n">
        <v>1</v>
      </c>
      <c r="E36" s="14" t="n">
        <v>1</v>
      </c>
      <c r="F36" s="32" t="n">
        <f aca="false">(1/2_시험자료!$D$22)*2_시험자료!$F$22</f>
        <v>0.0833333333333333</v>
      </c>
      <c r="G36" s="33" t="n">
        <f aca="false">2_시험자료!G10</f>
        <v>15.5</v>
      </c>
      <c r="H36" s="34" t="n">
        <f aca="false">IF(E36=1,1000000000,texp1_s)</f>
        <v>1000000000</v>
      </c>
      <c r="I36" s="14" t="n">
        <f aca="false">FLOOR(MIN(t_fs_s,H36)/G36,1)</f>
        <v>58</v>
      </c>
      <c r="J36" s="14" t="n">
        <f aca="false">IF(C36=1,FLOOR(t_fs_s/tau_L_s,1),0)</f>
        <v>1</v>
      </c>
      <c r="K36" s="17" t="n">
        <f aca="false">IF(D36=1,1-p_cb,1)</f>
        <v>0.3</v>
      </c>
      <c r="L36" s="17" t="n">
        <f aca="false">IF(C36=1,p_L,0)</f>
        <v>0.15</v>
      </c>
      <c r="M36" s="35" t="n">
        <f aca="false">SUMPRODUCT(w_ie1,1-(1-(j_row&lt;=I36)*K36^j_row)*(1-(j_row&lt;=J36)*L36^j_row))</f>
        <v>0.485755102626486</v>
      </c>
      <c r="N36" s="31" t="n">
        <f aca="false">occ_st*SUMPRODUCT(w_ie1,(j_row&lt;=I36)*K36^j_row*(j_row&lt;=J36)*L36^j_row*(((j_row*G36&lt;rset_s)+(j_row*tau_L_s&lt;rset_s))&gt;0)+(j_row&lt;=I36)*K36^j_row*(1-(j_row&lt;=J36)*L36^j_row)*(j_row*G36&lt;rset_s)+(1-(j_row&lt;=I36)*K36^j_row)*(j_row&lt;=J36)*L36^j_row*(j_row*tau_L_s&lt;rset_s))</f>
        <v>2.42877551313243</v>
      </c>
      <c r="O36" s="35" t="n">
        <f aca="false">IF(O$8&lt;N_st,(N_st-O$8)/N_st,0)*(1-(1-(O$8&lt;=I36)*K36^O$8)*(1-(O$8&lt;=J36)*L36^O$8))</f>
        <v>0.378</v>
      </c>
      <c r="P36" s="35" t="n">
        <f aca="false">IF(P$8&lt;N_st,(N_st-P$8)/N_st,0)*(1-(1-(P$8&lt;=I36)*K36^P$8)*(1-(P$8&lt;=J36)*L36^P$8))</f>
        <v>0.0780000000000001</v>
      </c>
      <c r="Q36" s="35" t="n">
        <f aca="false">IF(Q$8&lt;N_st,(N_st-Q$8)/N_st,0)*(1-(1-(Q$8&lt;=I36)*K36^Q$8)*(1-(Q$8&lt;=J36)*L36^Q$8))</f>
        <v>0.0216</v>
      </c>
      <c r="R36" s="35" t="n">
        <f aca="false">IF(R$8&lt;N_st,(N_st-R$8)/N_st,0)*(1-(1-(R$8&lt;=I36)*K36^R$8)*(1-(R$8&lt;=J36)*L36^R$8))</f>
        <v>0.00594</v>
      </c>
      <c r="S36" s="35" t="n">
        <f aca="false">IF(S$8&lt;N_st,(N_st-S$8)/N_st,0)*(1-(1-(S$8&lt;=I36)*K36^S$8)*(1-(S$8&lt;=J36)*L36^S$8))</f>
        <v>0.00162000000000003</v>
      </c>
      <c r="T36" s="35" t="n">
        <f aca="false">IF(T$8&lt;N_st,(N_st-T$8)/N_st,0)*(1-(1-(T$8&lt;=I36)*K36^T$8)*(1-(T$8&lt;=J36)*L36^T$8))</f>
        <v>0.000437399999999988</v>
      </c>
      <c r="U36" s="35" t="n">
        <f aca="false">IF(U$8&lt;N_st,(N_st-U$8)/N_st,0)*(1-(1-(U$8&lt;=I36)*K36^U$8)*(1-(U$8&lt;=J36)*L36^U$8))</f>
        <v>0.000116640000000009</v>
      </c>
      <c r="V36" s="35" t="n">
        <f aca="false">IF(V$8&lt;N_st,(N_st-V$8)/N_st,0)*(1-(1-(V$8&lt;=I36)*K36^V$8)*(1-(V$8&lt;=J36)*L36^V$8))</f>
        <v>3.0618000000023E-005</v>
      </c>
      <c r="W36" s="35" t="n">
        <f aca="false">IF(W$8&lt;N_st,(N_st-W$8)/N_st,0)*(1-(1-(W$8&lt;=I36)*K36^W$8)*(1-(W$8&lt;=J36)*L36^W$8))</f>
        <v>7.87319999999703E-006</v>
      </c>
      <c r="X36" s="35" t="n">
        <f aca="false">IF(X$8&lt;N_st,(N_st-X$8)/N_st,0)*(1-(1-(X$8&lt;=I36)*K36^X$8)*(1-(X$8&lt;=J36)*L36^X$8))</f>
        <v>1.96829999998815E-006</v>
      </c>
      <c r="Y36" s="35" t="n">
        <f aca="false">IF(Y$8&lt;N_st,(N_st-Y$8)/N_st,0)*(1-(1-(Y$8&lt;=I36)*K36^Y$8)*(1-(Y$8&lt;=J36)*L36^Y$8))</f>
        <v>4.72392000006039E-007</v>
      </c>
      <c r="Z36" s="35" t="n">
        <f aca="false">IF(Z$8&lt;N_st,(N_st-Z$8)/N_st,0)*(1-(1-(Z$8&lt;=I36)*K36^Z$8)*(1-(Z$8&lt;=J36)*L36^Z$8))</f>
        <v>1.06288199996918E-007</v>
      </c>
      <c r="AA36" s="35" t="n">
        <f aca="false">IF(AA$8&lt;N_st,(N_st-AA$8)/N_st,0)*(1-(1-(AA$8&lt;=I36)*K36^AA$8)*(1-(AA$8&lt;=J36)*L36^AA$8))</f>
        <v>2.12576400038245E-008</v>
      </c>
      <c r="AB36" s="35" t="n">
        <f aca="false">IF(AB$8&lt;N_st,(N_st-AB$8)/N_st,0)*(1-(1-(AB$8&lt;=I36)*K36^AB$8)*(1-(AB$8&lt;=J36)*L36^AB$8))</f>
        <v>3.18864599909337E-009</v>
      </c>
      <c r="AC36" s="35" t="n">
        <f aca="false">IF(AC$8&lt;N_st,(N_st-AC$8)/N_st,0)*(1-(1-(AC$8&lt;=I36)*K36^AC$8)*(1-(AC$8&lt;=J36)*L36^AC$8))</f>
        <v>0</v>
      </c>
      <c r="AD36" s="35" t="n">
        <f aca="false">IF(AD$8&lt;N_st,(N_st-AD$8)/N_st,0)*(1-(1-(AD$8&lt;=I36)*K36^AD$8)*(1-(AD$8&lt;=J36)*L36^AD$8))</f>
        <v>0</v>
      </c>
      <c r="AE36" s="35" t="n">
        <f aca="false">IF(AE$8&lt;N_st,(N_st-AE$8)/N_st,0)*(1-(1-(AE$8&lt;=I36)*K36^AE$8)*(1-(AE$8&lt;=J36)*L36^AE$8))</f>
        <v>0</v>
      </c>
      <c r="AF36" s="35" t="n">
        <f aca="false">IF(AF$8&lt;N_st,(N_st-AF$8)/N_st,0)*(1-(1-(AF$8&lt;=I36)*K36^AF$8)*(1-(AF$8&lt;=J36)*L36^AF$8))</f>
        <v>0</v>
      </c>
      <c r="AG36" s="35" t="n">
        <f aca="false">IF(AG$8&lt;N_st,(N_st-AG$8)/N_st,0)*(1-(1-(AG$8&lt;=I36)*K36^AG$8)*(1-(AG$8&lt;=J36)*L36^AG$8))</f>
        <v>0</v>
      </c>
      <c r="AH36" s="35" t="n">
        <f aca="false">IF(AH$8&lt;N_st,(N_st-AH$8)/N_st,0)*(1-(1-(AH$8&lt;=I36)*K36^AH$8)*(1-(AH$8&lt;=J36)*L36^AH$8))</f>
        <v>0</v>
      </c>
    </row>
    <row r="37" customFormat="false" ht="15" hidden="false" customHeight="false" outlineLevel="0" collapsed="false">
      <c r="A37" s="24" t="s">
        <v>201</v>
      </c>
      <c r="B37" s="14" t="s">
        <v>178</v>
      </c>
      <c r="C37" s="14" t="n">
        <v>1</v>
      </c>
      <c r="D37" s="14" t="n">
        <v>1</v>
      </c>
      <c r="E37" s="14" t="n">
        <v>0</v>
      </c>
      <c r="F37" s="32" t="n">
        <f aca="false">(1/2_시험자료!$D$22)*(1-2_시험자료!$F$22)</f>
        <v>0.416666666666667</v>
      </c>
      <c r="G37" s="33" t="n">
        <f aca="false">2_시험자료!G10</f>
        <v>15.5</v>
      </c>
      <c r="H37" s="34" t="n">
        <f aca="false">IF(E37=1,1000000000,texp1_s)</f>
        <v>1200</v>
      </c>
      <c r="I37" s="14" t="n">
        <f aca="false">FLOOR(MIN(t_fs_s,H37)/G37,1)</f>
        <v>58</v>
      </c>
      <c r="J37" s="14" t="n">
        <f aca="false">IF(C37=1,FLOOR(t_fs_s/tau_L_s,1),0)</f>
        <v>1</v>
      </c>
      <c r="K37" s="17" t="n">
        <f aca="false">IF(D37=1,1-p_cb,1)</f>
        <v>0.3</v>
      </c>
      <c r="L37" s="17" t="n">
        <f aca="false">IF(C37=1,p_L,0)</f>
        <v>0.15</v>
      </c>
      <c r="M37" s="35" t="n">
        <f aca="false">SUMPRODUCT(w_ie1,1-(1-(j_row&lt;=I37)*K37^j_row)*(1-(j_row&lt;=J37)*L37^j_row))</f>
        <v>0.485755102626486</v>
      </c>
      <c r="N37" s="31" t="n">
        <f aca="false">occ_st*SUMPRODUCT(w_ie1,(j_row&lt;=I37)*K37^j_row*(j_row&lt;=J37)*L37^j_row*(((j_row*G37&lt;rset_s)+(j_row*tau_L_s&lt;rset_s))&gt;0)+(j_row&lt;=I37)*K37^j_row*(1-(j_row&lt;=J37)*L37^j_row)*(j_row*G37&lt;rset_s)+(1-(j_row&lt;=I37)*K37^j_row)*(j_row&lt;=J37)*L37^j_row*(j_row*tau_L_s&lt;rset_s))</f>
        <v>2.42877551313243</v>
      </c>
      <c r="O37" s="35" t="n">
        <f aca="false">IF(O$8&lt;N_st,(N_st-O$8)/N_st,0)*(1-(1-(O$8&lt;=I37)*K37^O$8)*(1-(O$8&lt;=J37)*L37^O$8))</f>
        <v>0.378</v>
      </c>
      <c r="P37" s="35" t="n">
        <f aca="false">IF(P$8&lt;N_st,(N_st-P$8)/N_st,0)*(1-(1-(P$8&lt;=I37)*K37^P$8)*(1-(P$8&lt;=J37)*L37^P$8))</f>
        <v>0.0780000000000001</v>
      </c>
      <c r="Q37" s="35" t="n">
        <f aca="false">IF(Q$8&lt;N_st,(N_st-Q$8)/N_st,0)*(1-(1-(Q$8&lt;=I37)*K37^Q$8)*(1-(Q$8&lt;=J37)*L37^Q$8))</f>
        <v>0.0216</v>
      </c>
      <c r="R37" s="35" t="n">
        <f aca="false">IF(R$8&lt;N_st,(N_st-R$8)/N_st,0)*(1-(1-(R$8&lt;=I37)*K37^R$8)*(1-(R$8&lt;=J37)*L37^R$8))</f>
        <v>0.00594</v>
      </c>
      <c r="S37" s="35" t="n">
        <f aca="false">IF(S$8&lt;N_st,(N_st-S$8)/N_st,0)*(1-(1-(S$8&lt;=I37)*K37^S$8)*(1-(S$8&lt;=J37)*L37^S$8))</f>
        <v>0.00162000000000003</v>
      </c>
      <c r="T37" s="35" t="n">
        <f aca="false">IF(T$8&lt;N_st,(N_st-T$8)/N_st,0)*(1-(1-(T$8&lt;=I37)*K37^T$8)*(1-(T$8&lt;=J37)*L37^T$8))</f>
        <v>0.000437399999999988</v>
      </c>
      <c r="U37" s="35" t="n">
        <f aca="false">IF(U$8&lt;N_st,(N_st-U$8)/N_st,0)*(1-(1-(U$8&lt;=I37)*K37^U$8)*(1-(U$8&lt;=J37)*L37^U$8))</f>
        <v>0.000116640000000009</v>
      </c>
      <c r="V37" s="35" t="n">
        <f aca="false">IF(V$8&lt;N_st,(N_st-V$8)/N_st,0)*(1-(1-(V$8&lt;=I37)*K37^V$8)*(1-(V$8&lt;=J37)*L37^V$8))</f>
        <v>3.0618000000023E-005</v>
      </c>
      <c r="W37" s="35" t="n">
        <f aca="false">IF(W$8&lt;N_st,(N_st-W$8)/N_st,0)*(1-(1-(W$8&lt;=I37)*K37^W$8)*(1-(W$8&lt;=J37)*L37^W$8))</f>
        <v>7.87319999999703E-006</v>
      </c>
      <c r="X37" s="35" t="n">
        <f aca="false">IF(X$8&lt;N_st,(N_st-X$8)/N_st,0)*(1-(1-(X$8&lt;=I37)*K37^X$8)*(1-(X$8&lt;=J37)*L37^X$8))</f>
        <v>1.96829999998815E-006</v>
      </c>
      <c r="Y37" s="35" t="n">
        <f aca="false">IF(Y$8&lt;N_st,(N_st-Y$8)/N_st,0)*(1-(1-(Y$8&lt;=I37)*K37^Y$8)*(1-(Y$8&lt;=J37)*L37^Y$8))</f>
        <v>4.72392000006039E-007</v>
      </c>
      <c r="Z37" s="35" t="n">
        <f aca="false">IF(Z$8&lt;N_st,(N_st-Z$8)/N_st,0)*(1-(1-(Z$8&lt;=I37)*K37^Z$8)*(1-(Z$8&lt;=J37)*L37^Z$8))</f>
        <v>1.06288199996918E-007</v>
      </c>
      <c r="AA37" s="35" t="n">
        <f aca="false">IF(AA$8&lt;N_st,(N_st-AA$8)/N_st,0)*(1-(1-(AA$8&lt;=I37)*K37^AA$8)*(1-(AA$8&lt;=J37)*L37^AA$8))</f>
        <v>2.12576400038245E-008</v>
      </c>
      <c r="AB37" s="35" t="n">
        <f aca="false">IF(AB$8&lt;N_st,(N_st-AB$8)/N_st,0)*(1-(1-(AB$8&lt;=I37)*K37^AB$8)*(1-(AB$8&lt;=J37)*L37^AB$8))</f>
        <v>3.18864599909337E-009</v>
      </c>
      <c r="AC37" s="35" t="n">
        <f aca="false">IF(AC$8&lt;N_st,(N_st-AC$8)/N_st,0)*(1-(1-(AC$8&lt;=I37)*K37^AC$8)*(1-(AC$8&lt;=J37)*L37^AC$8))</f>
        <v>0</v>
      </c>
      <c r="AD37" s="35" t="n">
        <f aca="false">IF(AD$8&lt;N_st,(N_st-AD$8)/N_st,0)*(1-(1-(AD$8&lt;=I37)*K37^AD$8)*(1-(AD$8&lt;=J37)*L37^AD$8))</f>
        <v>0</v>
      </c>
      <c r="AE37" s="35" t="n">
        <f aca="false">IF(AE$8&lt;N_st,(N_st-AE$8)/N_st,0)*(1-(1-(AE$8&lt;=I37)*K37^AE$8)*(1-(AE$8&lt;=J37)*L37^AE$8))</f>
        <v>0</v>
      </c>
      <c r="AF37" s="35" t="n">
        <f aca="false">IF(AF$8&lt;N_st,(N_st-AF$8)/N_st,0)*(1-(1-(AF$8&lt;=I37)*K37^AF$8)*(1-(AF$8&lt;=J37)*L37^AF$8))</f>
        <v>0</v>
      </c>
      <c r="AG37" s="35" t="n">
        <f aca="false">IF(AG$8&lt;N_st,(N_st-AG$8)/N_st,0)*(1-(1-(AG$8&lt;=I37)*K37^AG$8)*(1-(AG$8&lt;=J37)*L37^AG$8))</f>
        <v>0</v>
      </c>
      <c r="AH37" s="35" t="n">
        <f aca="false">IF(AH$8&lt;N_st,(N_st-AH$8)/N_st,0)*(1-(1-(AH$8&lt;=I37)*K37^AH$8)*(1-(AH$8&lt;=J37)*L37^AH$8))</f>
        <v>0</v>
      </c>
    </row>
    <row r="38" customFormat="false" ht="15" hidden="false" customHeight="false" outlineLevel="0" collapsed="false">
      <c r="A38" s="24" t="s">
        <v>201</v>
      </c>
      <c r="B38" s="14" t="s">
        <v>178</v>
      </c>
      <c r="C38" s="14" t="n">
        <v>2</v>
      </c>
      <c r="D38" s="14" t="n">
        <v>0</v>
      </c>
      <c r="E38" s="14" t="n">
        <v>1</v>
      </c>
      <c r="F38" s="32" t="n">
        <f aca="false">(1/2_시험자료!$D$22)*2_시험자료!$F$22</f>
        <v>0.0833333333333333</v>
      </c>
      <c r="G38" s="33" t="n">
        <f aca="false">2_시험자료!G10</f>
        <v>15.5</v>
      </c>
      <c r="H38" s="34" t="n">
        <f aca="false">IF(E38=1,1000000000,texp2_s)</f>
        <v>1000000000</v>
      </c>
      <c r="I38" s="14" t="n">
        <f aca="false">FLOOR(MIN(t_fs_s,H38)/G38,1)</f>
        <v>58</v>
      </c>
      <c r="J38" s="14" t="n">
        <f aca="false">IF(C38=1,FLOOR(t_fs_s/tau_L_s,1),0)</f>
        <v>0</v>
      </c>
      <c r="K38" s="17" t="n">
        <f aca="false">IF(D38=1,1-p_cb,1)</f>
        <v>1</v>
      </c>
      <c r="L38" s="17" t="n">
        <f aca="false">IF(C38=1,p_L,0)</f>
        <v>0</v>
      </c>
      <c r="M38" s="35" t="n">
        <f aca="false">SUMPRODUCT(w_ie2,1-(1-(j_row&lt;=I38)*K38^j_row)*(1-(j_row&lt;=J38)*L38^j_row))</f>
        <v>14</v>
      </c>
      <c r="N38" s="31" t="n">
        <f aca="false">occ_st*SUMPRODUCT(w_ie2,(j_row&lt;=I38)*K38^j_row*(j_row&lt;=J38)*L38^j_row*(((j_row*G38&lt;rset_s)+(j_row*tau_L_s&lt;rset_s))&gt;0)+(j_row&lt;=I38)*K38^j_row*(1-(j_row&lt;=J38)*L38^j_row)*(j_row*G38&lt;rset_s)+(1-(j_row&lt;=I38)*K38^j_row)*(j_row&lt;=J38)*L38^j_row*(j_row*tau_L_s&lt;rset_s))</f>
        <v>70</v>
      </c>
      <c r="O38" s="35" t="n">
        <f aca="false">IF(O$8&lt;N_st,1,0)*(1-(1-(O$8&lt;=I38)*K38^O$8)*(1-(O$8&lt;=J38)*L38^O$8))</f>
        <v>1</v>
      </c>
      <c r="P38" s="35" t="n">
        <f aca="false">IF(P$8&lt;N_st,1,0)*(1-(1-(P$8&lt;=I38)*K38^P$8)*(1-(P$8&lt;=J38)*L38^P$8))</f>
        <v>1</v>
      </c>
      <c r="Q38" s="35" t="n">
        <f aca="false">IF(Q$8&lt;N_st,1,0)*(1-(1-(Q$8&lt;=I38)*K38^Q$8)*(1-(Q$8&lt;=J38)*L38^Q$8))</f>
        <v>1</v>
      </c>
      <c r="R38" s="35" t="n">
        <f aca="false">IF(R$8&lt;N_st,1,0)*(1-(1-(R$8&lt;=I38)*K38^R$8)*(1-(R$8&lt;=J38)*L38^R$8))</f>
        <v>1</v>
      </c>
      <c r="S38" s="35" t="n">
        <f aca="false">IF(S$8&lt;N_st,1,0)*(1-(1-(S$8&lt;=I38)*K38^S$8)*(1-(S$8&lt;=J38)*L38^S$8))</f>
        <v>1</v>
      </c>
      <c r="T38" s="35" t="n">
        <f aca="false">IF(T$8&lt;N_st,1,0)*(1-(1-(T$8&lt;=I38)*K38^T$8)*(1-(T$8&lt;=J38)*L38^T$8))</f>
        <v>1</v>
      </c>
      <c r="U38" s="35" t="n">
        <f aca="false">IF(U$8&lt;N_st,1,0)*(1-(1-(U$8&lt;=I38)*K38^U$8)*(1-(U$8&lt;=J38)*L38^U$8))</f>
        <v>1</v>
      </c>
      <c r="V38" s="35" t="n">
        <f aca="false">IF(V$8&lt;N_st,1,0)*(1-(1-(V$8&lt;=I38)*K38^V$8)*(1-(V$8&lt;=J38)*L38^V$8))</f>
        <v>1</v>
      </c>
      <c r="W38" s="35" t="n">
        <f aca="false">IF(W$8&lt;N_st,1,0)*(1-(1-(W$8&lt;=I38)*K38^W$8)*(1-(W$8&lt;=J38)*L38^W$8))</f>
        <v>1</v>
      </c>
      <c r="X38" s="35" t="n">
        <f aca="false">IF(X$8&lt;N_st,1,0)*(1-(1-(X$8&lt;=I38)*K38^X$8)*(1-(X$8&lt;=J38)*L38^X$8))</f>
        <v>1</v>
      </c>
      <c r="Y38" s="35" t="n">
        <f aca="false">IF(Y$8&lt;N_st,1,0)*(1-(1-(Y$8&lt;=I38)*K38^Y$8)*(1-(Y$8&lt;=J38)*L38^Y$8))</f>
        <v>1</v>
      </c>
      <c r="Z38" s="35" t="n">
        <f aca="false">IF(Z$8&lt;N_st,1,0)*(1-(1-(Z$8&lt;=I38)*K38^Z$8)*(1-(Z$8&lt;=J38)*L38^Z$8))</f>
        <v>1</v>
      </c>
      <c r="AA38" s="35" t="n">
        <f aca="false">IF(AA$8&lt;N_st,1,0)*(1-(1-(AA$8&lt;=I38)*K38^AA$8)*(1-(AA$8&lt;=J38)*L38^AA$8))</f>
        <v>1</v>
      </c>
      <c r="AB38" s="35" t="n">
        <f aca="false">IF(AB$8&lt;N_st,1,0)*(1-(1-(AB$8&lt;=I38)*K38^AB$8)*(1-(AB$8&lt;=J38)*L38^AB$8))</f>
        <v>1</v>
      </c>
      <c r="AC38" s="35" t="n">
        <f aca="false">IF(AC$8&lt;N_st,1,0)*(1-(1-(AC$8&lt;=I38)*K38^AC$8)*(1-(AC$8&lt;=J38)*L38^AC$8))</f>
        <v>0</v>
      </c>
      <c r="AD38" s="35" t="n">
        <f aca="false">IF(AD$8&lt;N_st,1,0)*(1-(1-(AD$8&lt;=I38)*K38^AD$8)*(1-(AD$8&lt;=J38)*L38^AD$8))</f>
        <v>0</v>
      </c>
      <c r="AE38" s="35" t="n">
        <f aca="false">IF(AE$8&lt;N_st,1,0)*(1-(1-(AE$8&lt;=I38)*K38^AE$8)*(1-(AE$8&lt;=J38)*L38^AE$8))</f>
        <v>0</v>
      </c>
      <c r="AF38" s="35" t="n">
        <f aca="false">IF(AF$8&lt;N_st,1,0)*(1-(1-(AF$8&lt;=I38)*K38^AF$8)*(1-(AF$8&lt;=J38)*L38^AF$8))</f>
        <v>0</v>
      </c>
      <c r="AG38" s="35" t="n">
        <f aca="false">IF(AG$8&lt;N_st,1,0)*(1-(1-(AG$8&lt;=I38)*K38^AG$8)*(1-(AG$8&lt;=J38)*L38^AG$8))</f>
        <v>0</v>
      </c>
      <c r="AH38" s="35" t="n">
        <f aca="false">IF(AH$8&lt;N_st,1,0)*(1-(1-(AH$8&lt;=I38)*K38^AH$8)*(1-(AH$8&lt;=J38)*L38^AH$8))</f>
        <v>0</v>
      </c>
    </row>
    <row r="39" customFormat="false" ht="15" hidden="false" customHeight="false" outlineLevel="0" collapsed="false">
      <c r="A39" s="24" t="s">
        <v>201</v>
      </c>
      <c r="B39" s="14" t="s">
        <v>178</v>
      </c>
      <c r="C39" s="14" t="n">
        <v>2</v>
      </c>
      <c r="D39" s="14" t="n">
        <v>0</v>
      </c>
      <c r="E39" s="14" t="n">
        <v>0</v>
      </c>
      <c r="F39" s="32" t="n">
        <f aca="false">(1/2_시험자료!$D$22)*(1-2_시험자료!$F$22)</f>
        <v>0.416666666666667</v>
      </c>
      <c r="G39" s="33" t="n">
        <f aca="false">2_시험자료!G10</f>
        <v>15.5</v>
      </c>
      <c r="H39" s="34" t="n">
        <f aca="false">IF(E39=1,1000000000,texp2_s)</f>
        <v>750</v>
      </c>
      <c r="I39" s="14" t="n">
        <f aca="false">FLOOR(MIN(t_fs_s,H39)/G39,1)</f>
        <v>48</v>
      </c>
      <c r="J39" s="14" t="n">
        <f aca="false">IF(C39=1,FLOOR(t_fs_s/tau_L_s,1),0)</f>
        <v>0</v>
      </c>
      <c r="K39" s="17" t="n">
        <f aca="false">IF(D39=1,1-p_cb,1)</f>
        <v>1</v>
      </c>
      <c r="L39" s="17" t="n">
        <f aca="false">IF(C39=1,p_L,0)</f>
        <v>0</v>
      </c>
      <c r="M39" s="35" t="n">
        <f aca="false">SUMPRODUCT(w_ie2,1-(1-(j_row&lt;=I39)*K39^j_row)*(1-(j_row&lt;=J39)*L39^j_row))</f>
        <v>14</v>
      </c>
      <c r="N39" s="31" t="n">
        <f aca="false">occ_st*SUMPRODUCT(w_ie2,(j_row&lt;=I39)*K39^j_row*(j_row&lt;=J39)*L39^j_row*(((j_row*G39&lt;rset_s)+(j_row*tau_L_s&lt;rset_s))&gt;0)+(j_row&lt;=I39)*K39^j_row*(1-(j_row&lt;=J39)*L39^j_row)*(j_row*G39&lt;rset_s)+(1-(j_row&lt;=I39)*K39^j_row)*(j_row&lt;=J39)*L39^j_row*(j_row*tau_L_s&lt;rset_s))</f>
        <v>70</v>
      </c>
      <c r="O39" s="35" t="n">
        <f aca="false">IF(O$8&lt;N_st,1,0)*(1-(1-(O$8&lt;=I39)*K39^O$8)*(1-(O$8&lt;=J39)*L39^O$8))</f>
        <v>1</v>
      </c>
      <c r="P39" s="35" t="n">
        <f aca="false">IF(P$8&lt;N_st,1,0)*(1-(1-(P$8&lt;=I39)*K39^P$8)*(1-(P$8&lt;=J39)*L39^P$8))</f>
        <v>1</v>
      </c>
      <c r="Q39" s="35" t="n">
        <f aca="false">IF(Q$8&lt;N_st,1,0)*(1-(1-(Q$8&lt;=I39)*K39^Q$8)*(1-(Q$8&lt;=J39)*L39^Q$8))</f>
        <v>1</v>
      </c>
      <c r="R39" s="35" t="n">
        <f aca="false">IF(R$8&lt;N_st,1,0)*(1-(1-(R$8&lt;=I39)*K39^R$8)*(1-(R$8&lt;=J39)*L39^R$8))</f>
        <v>1</v>
      </c>
      <c r="S39" s="35" t="n">
        <f aca="false">IF(S$8&lt;N_st,1,0)*(1-(1-(S$8&lt;=I39)*K39^S$8)*(1-(S$8&lt;=J39)*L39^S$8))</f>
        <v>1</v>
      </c>
      <c r="T39" s="35" t="n">
        <f aca="false">IF(T$8&lt;N_st,1,0)*(1-(1-(T$8&lt;=I39)*K39^T$8)*(1-(T$8&lt;=J39)*L39^T$8))</f>
        <v>1</v>
      </c>
      <c r="U39" s="35" t="n">
        <f aca="false">IF(U$8&lt;N_st,1,0)*(1-(1-(U$8&lt;=I39)*K39^U$8)*(1-(U$8&lt;=J39)*L39^U$8))</f>
        <v>1</v>
      </c>
      <c r="V39" s="35" t="n">
        <f aca="false">IF(V$8&lt;N_st,1,0)*(1-(1-(V$8&lt;=I39)*K39^V$8)*(1-(V$8&lt;=J39)*L39^V$8))</f>
        <v>1</v>
      </c>
      <c r="W39" s="35" t="n">
        <f aca="false">IF(W$8&lt;N_st,1,0)*(1-(1-(W$8&lt;=I39)*K39^W$8)*(1-(W$8&lt;=J39)*L39^W$8))</f>
        <v>1</v>
      </c>
      <c r="X39" s="35" t="n">
        <f aca="false">IF(X$8&lt;N_st,1,0)*(1-(1-(X$8&lt;=I39)*K39^X$8)*(1-(X$8&lt;=J39)*L39^X$8))</f>
        <v>1</v>
      </c>
      <c r="Y39" s="35" t="n">
        <f aca="false">IF(Y$8&lt;N_st,1,0)*(1-(1-(Y$8&lt;=I39)*K39^Y$8)*(1-(Y$8&lt;=J39)*L39^Y$8))</f>
        <v>1</v>
      </c>
      <c r="Z39" s="35" t="n">
        <f aca="false">IF(Z$8&lt;N_st,1,0)*(1-(1-(Z$8&lt;=I39)*K39^Z$8)*(1-(Z$8&lt;=J39)*L39^Z$8))</f>
        <v>1</v>
      </c>
      <c r="AA39" s="35" t="n">
        <f aca="false">IF(AA$8&lt;N_st,1,0)*(1-(1-(AA$8&lt;=I39)*K39^AA$8)*(1-(AA$8&lt;=J39)*L39^AA$8))</f>
        <v>1</v>
      </c>
      <c r="AB39" s="35" t="n">
        <f aca="false">IF(AB$8&lt;N_st,1,0)*(1-(1-(AB$8&lt;=I39)*K39^AB$8)*(1-(AB$8&lt;=J39)*L39^AB$8))</f>
        <v>1</v>
      </c>
      <c r="AC39" s="35" t="n">
        <f aca="false">IF(AC$8&lt;N_st,1,0)*(1-(1-(AC$8&lt;=I39)*K39^AC$8)*(1-(AC$8&lt;=J39)*L39^AC$8))</f>
        <v>0</v>
      </c>
      <c r="AD39" s="35" t="n">
        <f aca="false">IF(AD$8&lt;N_st,1,0)*(1-(1-(AD$8&lt;=I39)*K39^AD$8)*(1-(AD$8&lt;=J39)*L39^AD$8))</f>
        <v>0</v>
      </c>
      <c r="AE39" s="35" t="n">
        <f aca="false">IF(AE$8&lt;N_st,1,0)*(1-(1-(AE$8&lt;=I39)*K39^AE$8)*(1-(AE$8&lt;=J39)*L39^AE$8))</f>
        <v>0</v>
      </c>
      <c r="AF39" s="35" t="n">
        <f aca="false">IF(AF$8&lt;N_st,1,0)*(1-(1-(AF$8&lt;=I39)*K39^AF$8)*(1-(AF$8&lt;=J39)*L39^AF$8))</f>
        <v>0</v>
      </c>
      <c r="AG39" s="35" t="n">
        <f aca="false">IF(AG$8&lt;N_st,1,0)*(1-(1-(AG$8&lt;=I39)*K39^AG$8)*(1-(AG$8&lt;=J39)*L39^AG$8))</f>
        <v>0</v>
      </c>
      <c r="AH39" s="35" t="n">
        <f aca="false">IF(AH$8&lt;N_st,1,0)*(1-(1-(AH$8&lt;=I39)*K39^AH$8)*(1-(AH$8&lt;=J39)*L39^AH$8))</f>
        <v>0</v>
      </c>
    </row>
    <row r="40" customFormat="false" ht="15" hidden="false" customHeight="false" outlineLevel="0" collapsed="false">
      <c r="A40" s="24" t="s">
        <v>201</v>
      </c>
      <c r="B40" s="14" t="s">
        <v>178</v>
      </c>
      <c r="C40" s="14" t="n">
        <v>2</v>
      </c>
      <c r="D40" s="14" t="n">
        <v>1</v>
      </c>
      <c r="E40" s="14" t="n">
        <v>1</v>
      </c>
      <c r="F40" s="32" t="n">
        <f aca="false">(1/2_시험자료!$D$22)*2_시험자료!$F$22</f>
        <v>0.0833333333333333</v>
      </c>
      <c r="G40" s="33" t="n">
        <f aca="false">2_시험자료!G10</f>
        <v>15.5</v>
      </c>
      <c r="H40" s="34" t="n">
        <f aca="false">IF(E40=1,1000000000,texp2_s)</f>
        <v>1000000000</v>
      </c>
      <c r="I40" s="14" t="n">
        <f aca="false">FLOOR(MIN(t_fs_s,H40)/G40,1)</f>
        <v>58</v>
      </c>
      <c r="J40" s="14" t="n">
        <f aca="false">IF(C40=1,FLOOR(t_fs_s/tau_L_s,1),0)</f>
        <v>0</v>
      </c>
      <c r="K40" s="17" t="n">
        <f aca="false">IF(D40=1,1-p_cb,1)</f>
        <v>0.3</v>
      </c>
      <c r="L40" s="17" t="n">
        <f aca="false">IF(C40=1,p_L,0)</f>
        <v>0</v>
      </c>
      <c r="M40" s="35" t="n">
        <f aca="false">SUMPRODUCT(w_ie2,1-(1-(j_row&lt;=I40)*K40^j_row)*(1-(j_row&lt;=J40)*L40^j_row))</f>
        <v>0.42857140807299</v>
      </c>
      <c r="N40" s="31" t="n">
        <f aca="false">occ_st*SUMPRODUCT(w_ie2,(j_row&lt;=I40)*K40^j_row*(j_row&lt;=J40)*L40^j_row*(((j_row*G40&lt;rset_s)+(j_row*tau_L_s&lt;rset_s))&gt;0)+(j_row&lt;=I40)*K40^j_row*(1-(j_row&lt;=J40)*L40^j_row)*(j_row*G40&lt;rset_s)+(1-(j_row&lt;=I40)*K40^j_row)*(j_row&lt;=J40)*L40^j_row*(j_row*tau_L_s&lt;rset_s))</f>
        <v>2.14285704036495</v>
      </c>
      <c r="O40" s="35" t="n">
        <f aca="false">IF(O$8&lt;N_st,1,0)*(1-(1-(O$8&lt;=I40)*K40^O$8)*(1-(O$8&lt;=J40)*L40^O$8))</f>
        <v>0.3</v>
      </c>
      <c r="P40" s="35" t="n">
        <f aca="false">IF(P$8&lt;N_st,1,0)*(1-(1-(P$8&lt;=I40)*K40^P$8)*(1-(P$8&lt;=J40)*L40^P$8))</f>
        <v>0.0900000000000001</v>
      </c>
      <c r="Q40" s="35" t="n">
        <f aca="false">IF(Q$8&lt;N_st,1,0)*(1-(1-(Q$8&lt;=I40)*K40^Q$8)*(1-(Q$8&lt;=J40)*L40^Q$8))</f>
        <v>0.027</v>
      </c>
      <c r="R40" s="35" t="n">
        <f aca="false">IF(R$8&lt;N_st,1,0)*(1-(1-(R$8&lt;=I40)*K40^R$8)*(1-(R$8&lt;=J40)*L40^R$8))</f>
        <v>0.0081</v>
      </c>
      <c r="S40" s="35" t="n">
        <f aca="false">IF(S$8&lt;N_st,1,0)*(1-(1-(S$8&lt;=I40)*K40^S$8)*(1-(S$8&lt;=J40)*L40^S$8))</f>
        <v>0.00243000000000004</v>
      </c>
      <c r="T40" s="35" t="n">
        <f aca="false">IF(T$8&lt;N_st,1,0)*(1-(1-(T$8&lt;=I40)*K40^T$8)*(1-(T$8&lt;=J40)*L40^T$8))</f>
        <v>0.00072899999999998</v>
      </c>
      <c r="U40" s="35" t="n">
        <f aca="false">IF(U$8&lt;N_st,1,0)*(1-(1-(U$8&lt;=I40)*K40^U$8)*(1-(U$8&lt;=J40)*L40^U$8))</f>
        <v>0.000218700000000016</v>
      </c>
      <c r="V40" s="35" t="n">
        <f aca="false">IF(V$8&lt;N_st,1,0)*(1-(1-(V$8&lt;=I40)*K40^V$8)*(1-(V$8&lt;=J40)*L40^V$8))</f>
        <v>6.56100000000492E-005</v>
      </c>
      <c r="W40" s="35" t="n">
        <f aca="false">IF(W$8&lt;N_st,1,0)*(1-(1-(W$8&lt;=I40)*K40^W$8)*(1-(W$8&lt;=J40)*L40^W$8))</f>
        <v>1.96829999999926E-005</v>
      </c>
      <c r="X40" s="35" t="n">
        <f aca="false">IF(X$8&lt;N_st,1,0)*(1-(1-(X$8&lt;=I40)*K40^X$8)*(1-(X$8&lt;=J40)*L40^X$8))</f>
        <v>5.90489999996446E-006</v>
      </c>
      <c r="Y40" s="35" t="n">
        <f aca="false">IF(Y$8&lt;N_st,1,0)*(1-(1-(Y$8&lt;=I40)*K40^Y$8)*(1-(Y$8&lt;=J40)*L40^Y$8))</f>
        <v>1.77147000002265E-006</v>
      </c>
      <c r="Z40" s="35" t="n">
        <f aca="false">IF(Z$8&lt;N_st,1,0)*(1-(1-(Z$8&lt;=I40)*K40^Z$8)*(1-(Z$8&lt;=J40)*L40^Z$8))</f>
        <v>5.31440999984589E-007</v>
      </c>
      <c r="AA40" s="35" t="n">
        <f aca="false">IF(AA$8&lt;N_st,1,0)*(1-(1-(AA$8&lt;=I40)*K40^AA$8)*(1-(AA$8&lt;=J40)*L40^AA$8))</f>
        <v>1.59432300028683E-007</v>
      </c>
      <c r="AB40" s="35" t="n">
        <f aca="false">IF(AB$8&lt;N_st,1,0)*(1-(1-(AB$8&lt;=I40)*K40^AB$8)*(1-(AB$8&lt;=J40)*L40^AB$8))</f>
        <v>4.78296899864006E-008</v>
      </c>
      <c r="AC40" s="35" t="n">
        <f aca="false">IF(AC$8&lt;N_st,1,0)*(1-(1-(AC$8&lt;=I40)*K40^AC$8)*(1-(AC$8&lt;=J40)*L40^AC$8))</f>
        <v>0</v>
      </c>
      <c r="AD40" s="35" t="n">
        <f aca="false">IF(AD$8&lt;N_st,1,0)*(1-(1-(AD$8&lt;=I40)*K40^AD$8)*(1-(AD$8&lt;=J40)*L40^AD$8))</f>
        <v>0</v>
      </c>
      <c r="AE40" s="35" t="n">
        <f aca="false">IF(AE$8&lt;N_st,1,0)*(1-(1-(AE$8&lt;=I40)*K40^AE$8)*(1-(AE$8&lt;=J40)*L40^AE$8))</f>
        <v>0</v>
      </c>
      <c r="AF40" s="35" t="n">
        <f aca="false">IF(AF$8&lt;N_st,1,0)*(1-(1-(AF$8&lt;=I40)*K40^AF$8)*(1-(AF$8&lt;=J40)*L40^AF$8))</f>
        <v>0</v>
      </c>
      <c r="AG40" s="35" t="n">
        <f aca="false">IF(AG$8&lt;N_st,1,0)*(1-(1-(AG$8&lt;=I40)*K40^AG$8)*(1-(AG$8&lt;=J40)*L40^AG$8))</f>
        <v>0</v>
      </c>
      <c r="AH40" s="35" t="n">
        <f aca="false">IF(AH$8&lt;N_st,1,0)*(1-(1-(AH$8&lt;=I40)*K40^AH$8)*(1-(AH$8&lt;=J40)*L40^AH$8))</f>
        <v>0</v>
      </c>
    </row>
    <row r="41" customFormat="false" ht="15" hidden="false" customHeight="false" outlineLevel="0" collapsed="false">
      <c r="A41" s="24" t="s">
        <v>201</v>
      </c>
      <c r="B41" s="14" t="s">
        <v>178</v>
      </c>
      <c r="C41" s="14" t="n">
        <v>2</v>
      </c>
      <c r="D41" s="14" t="n">
        <v>1</v>
      </c>
      <c r="E41" s="14" t="n">
        <v>0</v>
      </c>
      <c r="F41" s="32" t="n">
        <f aca="false">(1/2_시험자료!$D$22)*(1-2_시험자료!$F$22)</f>
        <v>0.416666666666667</v>
      </c>
      <c r="G41" s="33" t="n">
        <f aca="false">2_시험자료!G10</f>
        <v>15.5</v>
      </c>
      <c r="H41" s="34" t="n">
        <f aca="false">IF(E41=1,1000000000,texp2_s)</f>
        <v>750</v>
      </c>
      <c r="I41" s="14" t="n">
        <f aca="false">FLOOR(MIN(t_fs_s,H41)/G41,1)</f>
        <v>48</v>
      </c>
      <c r="J41" s="14" t="n">
        <f aca="false">IF(C41=1,FLOOR(t_fs_s/tau_L_s,1),0)</f>
        <v>0</v>
      </c>
      <c r="K41" s="17" t="n">
        <f aca="false">IF(D41=1,1-p_cb,1)</f>
        <v>0.3</v>
      </c>
      <c r="L41" s="17" t="n">
        <f aca="false">IF(C41=1,p_L,0)</f>
        <v>0</v>
      </c>
      <c r="M41" s="35" t="n">
        <f aca="false">SUMPRODUCT(w_ie2,1-(1-(j_row&lt;=I41)*K41^j_row)*(1-(j_row&lt;=J41)*L41^j_row))</f>
        <v>0.42857140807299</v>
      </c>
      <c r="N41" s="31" t="n">
        <f aca="false">occ_st*SUMPRODUCT(w_ie2,(j_row&lt;=I41)*K41^j_row*(j_row&lt;=J41)*L41^j_row*(((j_row*G41&lt;rset_s)+(j_row*tau_L_s&lt;rset_s))&gt;0)+(j_row&lt;=I41)*K41^j_row*(1-(j_row&lt;=J41)*L41^j_row)*(j_row*G41&lt;rset_s)+(1-(j_row&lt;=I41)*K41^j_row)*(j_row&lt;=J41)*L41^j_row*(j_row*tau_L_s&lt;rset_s))</f>
        <v>2.14285704036495</v>
      </c>
      <c r="O41" s="35" t="n">
        <f aca="false">IF(O$8&lt;N_st,1,0)*(1-(1-(O$8&lt;=I41)*K41^O$8)*(1-(O$8&lt;=J41)*L41^O$8))</f>
        <v>0.3</v>
      </c>
      <c r="P41" s="35" t="n">
        <f aca="false">IF(P$8&lt;N_st,1,0)*(1-(1-(P$8&lt;=I41)*K41^P$8)*(1-(P$8&lt;=J41)*L41^P$8))</f>
        <v>0.0900000000000001</v>
      </c>
      <c r="Q41" s="35" t="n">
        <f aca="false">IF(Q$8&lt;N_st,1,0)*(1-(1-(Q$8&lt;=I41)*K41^Q$8)*(1-(Q$8&lt;=J41)*L41^Q$8))</f>
        <v>0.027</v>
      </c>
      <c r="R41" s="35" t="n">
        <f aca="false">IF(R$8&lt;N_st,1,0)*(1-(1-(R$8&lt;=I41)*K41^R$8)*(1-(R$8&lt;=J41)*L41^R$8))</f>
        <v>0.0081</v>
      </c>
      <c r="S41" s="35" t="n">
        <f aca="false">IF(S$8&lt;N_st,1,0)*(1-(1-(S$8&lt;=I41)*K41^S$8)*(1-(S$8&lt;=J41)*L41^S$8))</f>
        <v>0.00243000000000004</v>
      </c>
      <c r="T41" s="35" t="n">
        <f aca="false">IF(T$8&lt;N_st,1,0)*(1-(1-(T$8&lt;=I41)*K41^T$8)*(1-(T$8&lt;=J41)*L41^T$8))</f>
        <v>0.00072899999999998</v>
      </c>
      <c r="U41" s="35" t="n">
        <f aca="false">IF(U$8&lt;N_st,1,0)*(1-(1-(U$8&lt;=I41)*K41^U$8)*(1-(U$8&lt;=J41)*L41^U$8))</f>
        <v>0.000218700000000016</v>
      </c>
      <c r="V41" s="35" t="n">
        <f aca="false">IF(V$8&lt;N_st,1,0)*(1-(1-(V$8&lt;=I41)*K41^V$8)*(1-(V$8&lt;=J41)*L41^V$8))</f>
        <v>6.56100000000492E-005</v>
      </c>
      <c r="W41" s="35" t="n">
        <f aca="false">IF(W$8&lt;N_st,1,0)*(1-(1-(W$8&lt;=I41)*K41^W$8)*(1-(W$8&lt;=J41)*L41^W$8))</f>
        <v>1.96829999999926E-005</v>
      </c>
      <c r="X41" s="35" t="n">
        <f aca="false">IF(X$8&lt;N_st,1,0)*(1-(1-(X$8&lt;=I41)*K41^X$8)*(1-(X$8&lt;=J41)*L41^X$8))</f>
        <v>5.90489999996446E-006</v>
      </c>
      <c r="Y41" s="35" t="n">
        <f aca="false">IF(Y$8&lt;N_st,1,0)*(1-(1-(Y$8&lt;=I41)*K41^Y$8)*(1-(Y$8&lt;=J41)*L41^Y$8))</f>
        <v>1.77147000002265E-006</v>
      </c>
      <c r="Z41" s="35" t="n">
        <f aca="false">IF(Z$8&lt;N_st,1,0)*(1-(1-(Z$8&lt;=I41)*K41^Z$8)*(1-(Z$8&lt;=J41)*L41^Z$8))</f>
        <v>5.31440999984589E-007</v>
      </c>
      <c r="AA41" s="35" t="n">
        <f aca="false">IF(AA$8&lt;N_st,1,0)*(1-(1-(AA$8&lt;=I41)*K41^AA$8)*(1-(AA$8&lt;=J41)*L41^AA$8))</f>
        <v>1.59432300028683E-007</v>
      </c>
      <c r="AB41" s="35" t="n">
        <f aca="false">IF(AB$8&lt;N_st,1,0)*(1-(1-(AB$8&lt;=I41)*K41^AB$8)*(1-(AB$8&lt;=J41)*L41^AB$8))</f>
        <v>4.78296899864006E-008</v>
      </c>
      <c r="AC41" s="35" t="n">
        <f aca="false">IF(AC$8&lt;N_st,1,0)*(1-(1-(AC$8&lt;=I41)*K41^AC$8)*(1-(AC$8&lt;=J41)*L41^AC$8))</f>
        <v>0</v>
      </c>
      <c r="AD41" s="35" t="n">
        <f aca="false">IF(AD$8&lt;N_st,1,0)*(1-(1-(AD$8&lt;=I41)*K41^AD$8)*(1-(AD$8&lt;=J41)*L41^AD$8))</f>
        <v>0</v>
      </c>
      <c r="AE41" s="35" t="n">
        <f aca="false">IF(AE$8&lt;N_st,1,0)*(1-(1-(AE$8&lt;=I41)*K41^AE$8)*(1-(AE$8&lt;=J41)*L41^AE$8))</f>
        <v>0</v>
      </c>
      <c r="AF41" s="35" t="n">
        <f aca="false">IF(AF$8&lt;N_st,1,0)*(1-(1-(AF$8&lt;=I41)*K41^AF$8)*(1-(AF$8&lt;=J41)*L41^AF$8))</f>
        <v>0</v>
      </c>
      <c r="AG41" s="35" t="n">
        <f aca="false">IF(AG$8&lt;N_st,1,0)*(1-(1-(AG$8&lt;=I41)*K41^AG$8)*(1-(AG$8&lt;=J41)*L41^AG$8))</f>
        <v>0</v>
      </c>
      <c r="AH41" s="35" t="n">
        <f aca="false">IF(AH$8&lt;N_st,1,0)*(1-(1-(AH$8&lt;=I41)*K41^AH$8)*(1-(AH$8&lt;=J41)*L41^AH$8))</f>
        <v>0</v>
      </c>
    </row>
    <row r="42" customFormat="false" ht="15" hidden="false" customHeight="false" outlineLevel="0" collapsed="false">
      <c r="A42" s="24" t="s">
        <v>201</v>
      </c>
      <c r="B42" s="14" t="s">
        <v>181</v>
      </c>
      <c r="C42" s="14" t="n">
        <v>1</v>
      </c>
      <c r="D42" s="14" t="n">
        <v>0</v>
      </c>
      <c r="E42" s="14" t="n">
        <v>1</v>
      </c>
      <c r="F42" s="32" t="n">
        <f aca="false">(1/2_시험자료!$D$22)*2_시험자료!$F$22</f>
        <v>0.0833333333333333</v>
      </c>
      <c r="G42" s="33" t="n">
        <f aca="false">2_시험자료!G11</f>
        <v>14.5</v>
      </c>
      <c r="H42" s="34" t="n">
        <f aca="false">IF(E42=1,1000000000,texp1_s)</f>
        <v>1000000000</v>
      </c>
      <c r="I42" s="14" t="n">
        <f aca="false">FLOOR(MIN(t_fs_s,H42)/G42,1)</f>
        <v>62</v>
      </c>
      <c r="J42" s="14" t="n">
        <f aca="false">IF(C42=1,FLOOR(t_fs_s/tau_L_s,1),0)</f>
        <v>1</v>
      </c>
      <c r="K42" s="17" t="n">
        <f aca="false">IF(D42=1,1-p_cb,1)</f>
        <v>1</v>
      </c>
      <c r="L42" s="17" t="n">
        <f aca="false">IF(C42=1,p_L,0)</f>
        <v>0.15</v>
      </c>
      <c r="M42" s="35" t="n">
        <f aca="false">SUMPRODUCT(w_ie1,1-(1-(j_row&lt;=I42)*K42^j_row)*(1-(j_row&lt;=J42)*L42^j_row))</f>
        <v>7</v>
      </c>
      <c r="N42" s="31" t="n">
        <f aca="false">occ_st*SUMPRODUCT(w_ie1,(j_row&lt;=I42)*K42^j_row*(j_row&lt;=J42)*L42^j_row*(((j_row*G42&lt;rset_s)+(j_row*tau_L_s&lt;rset_s))&gt;0)+(j_row&lt;=I42)*K42^j_row*(1-(j_row&lt;=J42)*L42^j_row)*(j_row*G42&lt;rset_s)+(1-(j_row&lt;=I42)*K42^j_row)*(j_row&lt;=J42)*L42^j_row*(j_row*tau_L_s&lt;rset_s))</f>
        <v>35</v>
      </c>
      <c r="O42" s="35" t="n">
        <f aca="false">IF(O$8&lt;N_st,(N_st-O$8)/N_st,0)*(1-(1-(O$8&lt;=I42)*K42^O$8)*(1-(O$8&lt;=J42)*L42^O$8))</f>
        <v>0.933333333333333</v>
      </c>
      <c r="P42" s="35" t="n">
        <f aca="false">IF(P$8&lt;N_st,(N_st-P$8)/N_st,0)*(1-(1-(P$8&lt;=I42)*K42^P$8)*(1-(P$8&lt;=J42)*L42^P$8))</f>
        <v>0.866666666666667</v>
      </c>
      <c r="Q42" s="35" t="n">
        <f aca="false">IF(Q$8&lt;N_st,(N_st-Q$8)/N_st,0)*(1-(1-(Q$8&lt;=I42)*K42^Q$8)*(1-(Q$8&lt;=J42)*L42^Q$8))</f>
        <v>0.8</v>
      </c>
      <c r="R42" s="35" t="n">
        <f aca="false">IF(R$8&lt;N_st,(N_st-R$8)/N_st,0)*(1-(1-(R$8&lt;=I42)*K42^R$8)*(1-(R$8&lt;=J42)*L42^R$8))</f>
        <v>0.733333333333333</v>
      </c>
      <c r="S42" s="35" t="n">
        <f aca="false">IF(S$8&lt;N_st,(N_st-S$8)/N_st,0)*(1-(1-(S$8&lt;=I42)*K42^S$8)*(1-(S$8&lt;=J42)*L42^S$8))</f>
        <v>0.666666666666667</v>
      </c>
      <c r="T42" s="35" t="n">
        <f aca="false">IF(T$8&lt;N_st,(N_st-T$8)/N_st,0)*(1-(1-(T$8&lt;=I42)*K42^T$8)*(1-(T$8&lt;=J42)*L42^T$8))</f>
        <v>0.6</v>
      </c>
      <c r="U42" s="35" t="n">
        <f aca="false">IF(U$8&lt;N_st,(N_st-U$8)/N_st,0)*(1-(1-(U$8&lt;=I42)*K42^U$8)*(1-(U$8&lt;=J42)*L42^U$8))</f>
        <v>0.533333333333333</v>
      </c>
      <c r="V42" s="35" t="n">
        <f aca="false">IF(V$8&lt;N_st,(N_st-V$8)/N_st,0)*(1-(1-(V$8&lt;=I42)*K42^V$8)*(1-(V$8&lt;=J42)*L42^V$8))</f>
        <v>0.466666666666667</v>
      </c>
      <c r="W42" s="35" t="n">
        <f aca="false">IF(W$8&lt;N_st,(N_st-W$8)/N_st,0)*(1-(1-(W$8&lt;=I42)*K42^W$8)*(1-(W$8&lt;=J42)*L42^W$8))</f>
        <v>0.4</v>
      </c>
      <c r="X42" s="35" t="n">
        <f aca="false">IF(X$8&lt;N_st,(N_st-X$8)/N_st,0)*(1-(1-(X$8&lt;=I42)*K42^X$8)*(1-(X$8&lt;=J42)*L42^X$8))</f>
        <v>0.333333333333333</v>
      </c>
      <c r="Y42" s="35" t="n">
        <f aca="false">IF(Y$8&lt;N_st,(N_st-Y$8)/N_st,0)*(1-(1-(Y$8&lt;=I42)*K42^Y$8)*(1-(Y$8&lt;=J42)*L42^Y$8))</f>
        <v>0.266666666666667</v>
      </c>
      <c r="Z42" s="35" t="n">
        <f aca="false">IF(Z$8&lt;N_st,(N_st-Z$8)/N_st,0)*(1-(1-(Z$8&lt;=I42)*K42^Z$8)*(1-(Z$8&lt;=J42)*L42^Z$8))</f>
        <v>0.2</v>
      </c>
      <c r="AA42" s="35" t="n">
        <f aca="false">IF(AA$8&lt;N_st,(N_st-AA$8)/N_st,0)*(1-(1-(AA$8&lt;=I42)*K42^AA$8)*(1-(AA$8&lt;=J42)*L42^AA$8))</f>
        <v>0.133333333333333</v>
      </c>
      <c r="AB42" s="35" t="n">
        <f aca="false">IF(AB$8&lt;N_st,(N_st-AB$8)/N_st,0)*(1-(1-(AB$8&lt;=I42)*K42^AB$8)*(1-(AB$8&lt;=J42)*L42^AB$8))</f>
        <v>0.0666666666666667</v>
      </c>
      <c r="AC42" s="35" t="n">
        <f aca="false">IF(AC$8&lt;N_st,(N_st-AC$8)/N_st,0)*(1-(1-(AC$8&lt;=I42)*K42^AC$8)*(1-(AC$8&lt;=J42)*L42^AC$8))</f>
        <v>0</v>
      </c>
      <c r="AD42" s="35" t="n">
        <f aca="false">IF(AD$8&lt;N_st,(N_st-AD$8)/N_st,0)*(1-(1-(AD$8&lt;=I42)*K42^AD$8)*(1-(AD$8&lt;=J42)*L42^AD$8))</f>
        <v>0</v>
      </c>
      <c r="AE42" s="35" t="n">
        <f aca="false">IF(AE$8&lt;N_st,(N_st-AE$8)/N_st,0)*(1-(1-(AE$8&lt;=I42)*K42^AE$8)*(1-(AE$8&lt;=J42)*L42^AE$8))</f>
        <v>0</v>
      </c>
      <c r="AF42" s="35" t="n">
        <f aca="false">IF(AF$8&lt;N_st,(N_st-AF$8)/N_st,0)*(1-(1-(AF$8&lt;=I42)*K42^AF$8)*(1-(AF$8&lt;=J42)*L42^AF$8))</f>
        <v>0</v>
      </c>
      <c r="AG42" s="35" t="n">
        <f aca="false">IF(AG$8&lt;N_st,(N_st-AG$8)/N_st,0)*(1-(1-(AG$8&lt;=I42)*K42^AG$8)*(1-(AG$8&lt;=J42)*L42^AG$8))</f>
        <v>0</v>
      </c>
      <c r="AH42" s="35" t="n">
        <f aca="false">IF(AH$8&lt;N_st,(N_st-AH$8)/N_st,0)*(1-(1-(AH$8&lt;=I42)*K42^AH$8)*(1-(AH$8&lt;=J42)*L42^AH$8))</f>
        <v>0</v>
      </c>
    </row>
    <row r="43" customFormat="false" ht="15" hidden="false" customHeight="false" outlineLevel="0" collapsed="false">
      <c r="A43" s="24" t="s">
        <v>201</v>
      </c>
      <c r="B43" s="14" t="s">
        <v>181</v>
      </c>
      <c r="C43" s="14" t="n">
        <v>1</v>
      </c>
      <c r="D43" s="14" t="n">
        <v>0</v>
      </c>
      <c r="E43" s="14" t="n">
        <v>0</v>
      </c>
      <c r="F43" s="32" t="n">
        <f aca="false">(1/2_시험자료!$D$22)*(1-2_시험자료!$F$22)</f>
        <v>0.416666666666667</v>
      </c>
      <c r="G43" s="33" t="n">
        <f aca="false">2_시험자료!G11</f>
        <v>14.5</v>
      </c>
      <c r="H43" s="34" t="n">
        <f aca="false">IF(E43=1,1000000000,texp1_s)</f>
        <v>1200</v>
      </c>
      <c r="I43" s="14" t="n">
        <f aca="false">FLOOR(MIN(t_fs_s,H43)/G43,1)</f>
        <v>62</v>
      </c>
      <c r="J43" s="14" t="n">
        <f aca="false">IF(C43=1,FLOOR(t_fs_s/tau_L_s,1),0)</f>
        <v>1</v>
      </c>
      <c r="K43" s="17" t="n">
        <f aca="false">IF(D43=1,1-p_cb,1)</f>
        <v>1</v>
      </c>
      <c r="L43" s="17" t="n">
        <f aca="false">IF(C43=1,p_L,0)</f>
        <v>0.15</v>
      </c>
      <c r="M43" s="35" t="n">
        <f aca="false">SUMPRODUCT(w_ie1,1-(1-(j_row&lt;=I43)*K43^j_row)*(1-(j_row&lt;=J43)*L43^j_row))</f>
        <v>7</v>
      </c>
      <c r="N43" s="31" t="n">
        <f aca="false">occ_st*SUMPRODUCT(w_ie1,(j_row&lt;=I43)*K43^j_row*(j_row&lt;=J43)*L43^j_row*(((j_row*G43&lt;rset_s)+(j_row*tau_L_s&lt;rset_s))&gt;0)+(j_row&lt;=I43)*K43^j_row*(1-(j_row&lt;=J43)*L43^j_row)*(j_row*G43&lt;rset_s)+(1-(j_row&lt;=I43)*K43^j_row)*(j_row&lt;=J43)*L43^j_row*(j_row*tau_L_s&lt;rset_s))</f>
        <v>35</v>
      </c>
      <c r="O43" s="35" t="n">
        <f aca="false">IF(O$8&lt;N_st,(N_st-O$8)/N_st,0)*(1-(1-(O$8&lt;=I43)*K43^O$8)*(1-(O$8&lt;=J43)*L43^O$8))</f>
        <v>0.933333333333333</v>
      </c>
      <c r="P43" s="35" t="n">
        <f aca="false">IF(P$8&lt;N_st,(N_st-P$8)/N_st,0)*(1-(1-(P$8&lt;=I43)*K43^P$8)*(1-(P$8&lt;=J43)*L43^P$8))</f>
        <v>0.866666666666667</v>
      </c>
      <c r="Q43" s="35" t="n">
        <f aca="false">IF(Q$8&lt;N_st,(N_st-Q$8)/N_st,0)*(1-(1-(Q$8&lt;=I43)*K43^Q$8)*(1-(Q$8&lt;=J43)*L43^Q$8))</f>
        <v>0.8</v>
      </c>
      <c r="R43" s="35" t="n">
        <f aca="false">IF(R$8&lt;N_st,(N_st-R$8)/N_st,0)*(1-(1-(R$8&lt;=I43)*K43^R$8)*(1-(R$8&lt;=J43)*L43^R$8))</f>
        <v>0.733333333333333</v>
      </c>
      <c r="S43" s="35" t="n">
        <f aca="false">IF(S$8&lt;N_st,(N_st-S$8)/N_st,0)*(1-(1-(S$8&lt;=I43)*K43^S$8)*(1-(S$8&lt;=J43)*L43^S$8))</f>
        <v>0.666666666666667</v>
      </c>
      <c r="T43" s="35" t="n">
        <f aca="false">IF(T$8&lt;N_st,(N_st-T$8)/N_st,0)*(1-(1-(T$8&lt;=I43)*K43^T$8)*(1-(T$8&lt;=J43)*L43^T$8))</f>
        <v>0.6</v>
      </c>
      <c r="U43" s="35" t="n">
        <f aca="false">IF(U$8&lt;N_st,(N_st-U$8)/N_st,0)*(1-(1-(U$8&lt;=I43)*K43^U$8)*(1-(U$8&lt;=J43)*L43^U$8))</f>
        <v>0.533333333333333</v>
      </c>
      <c r="V43" s="35" t="n">
        <f aca="false">IF(V$8&lt;N_st,(N_st-V$8)/N_st,0)*(1-(1-(V$8&lt;=I43)*K43^V$8)*(1-(V$8&lt;=J43)*L43^V$8))</f>
        <v>0.466666666666667</v>
      </c>
      <c r="W43" s="35" t="n">
        <f aca="false">IF(W$8&lt;N_st,(N_st-W$8)/N_st,0)*(1-(1-(W$8&lt;=I43)*K43^W$8)*(1-(W$8&lt;=J43)*L43^W$8))</f>
        <v>0.4</v>
      </c>
      <c r="X43" s="35" t="n">
        <f aca="false">IF(X$8&lt;N_st,(N_st-X$8)/N_st,0)*(1-(1-(X$8&lt;=I43)*K43^X$8)*(1-(X$8&lt;=J43)*L43^X$8))</f>
        <v>0.333333333333333</v>
      </c>
      <c r="Y43" s="35" t="n">
        <f aca="false">IF(Y$8&lt;N_st,(N_st-Y$8)/N_st,0)*(1-(1-(Y$8&lt;=I43)*K43^Y$8)*(1-(Y$8&lt;=J43)*L43^Y$8))</f>
        <v>0.266666666666667</v>
      </c>
      <c r="Z43" s="35" t="n">
        <f aca="false">IF(Z$8&lt;N_st,(N_st-Z$8)/N_st,0)*(1-(1-(Z$8&lt;=I43)*K43^Z$8)*(1-(Z$8&lt;=J43)*L43^Z$8))</f>
        <v>0.2</v>
      </c>
      <c r="AA43" s="35" t="n">
        <f aca="false">IF(AA$8&lt;N_st,(N_st-AA$8)/N_st,0)*(1-(1-(AA$8&lt;=I43)*K43^AA$8)*(1-(AA$8&lt;=J43)*L43^AA$8))</f>
        <v>0.133333333333333</v>
      </c>
      <c r="AB43" s="35" t="n">
        <f aca="false">IF(AB$8&lt;N_st,(N_st-AB$8)/N_st,0)*(1-(1-(AB$8&lt;=I43)*K43^AB$8)*(1-(AB$8&lt;=J43)*L43^AB$8))</f>
        <v>0.0666666666666667</v>
      </c>
      <c r="AC43" s="35" t="n">
        <f aca="false">IF(AC$8&lt;N_st,(N_st-AC$8)/N_st,0)*(1-(1-(AC$8&lt;=I43)*K43^AC$8)*(1-(AC$8&lt;=J43)*L43^AC$8))</f>
        <v>0</v>
      </c>
      <c r="AD43" s="35" t="n">
        <f aca="false">IF(AD$8&lt;N_st,(N_st-AD$8)/N_st,0)*(1-(1-(AD$8&lt;=I43)*K43^AD$8)*(1-(AD$8&lt;=J43)*L43^AD$8))</f>
        <v>0</v>
      </c>
      <c r="AE43" s="35" t="n">
        <f aca="false">IF(AE$8&lt;N_st,(N_st-AE$8)/N_st,0)*(1-(1-(AE$8&lt;=I43)*K43^AE$8)*(1-(AE$8&lt;=J43)*L43^AE$8))</f>
        <v>0</v>
      </c>
      <c r="AF43" s="35" t="n">
        <f aca="false">IF(AF$8&lt;N_st,(N_st-AF$8)/N_st,0)*(1-(1-(AF$8&lt;=I43)*K43^AF$8)*(1-(AF$8&lt;=J43)*L43^AF$8))</f>
        <v>0</v>
      </c>
      <c r="AG43" s="35" t="n">
        <f aca="false">IF(AG$8&lt;N_st,(N_st-AG$8)/N_st,0)*(1-(1-(AG$8&lt;=I43)*K43^AG$8)*(1-(AG$8&lt;=J43)*L43^AG$8))</f>
        <v>0</v>
      </c>
      <c r="AH43" s="35" t="n">
        <f aca="false">IF(AH$8&lt;N_st,(N_st-AH$8)/N_st,0)*(1-(1-(AH$8&lt;=I43)*K43^AH$8)*(1-(AH$8&lt;=J43)*L43^AH$8))</f>
        <v>0</v>
      </c>
    </row>
    <row r="44" customFormat="false" ht="15" hidden="false" customHeight="false" outlineLevel="0" collapsed="false">
      <c r="A44" s="24" t="s">
        <v>201</v>
      </c>
      <c r="B44" s="14" t="s">
        <v>181</v>
      </c>
      <c r="C44" s="14" t="n">
        <v>1</v>
      </c>
      <c r="D44" s="14" t="n">
        <v>1</v>
      </c>
      <c r="E44" s="14" t="n">
        <v>1</v>
      </c>
      <c r="F44" s="32" t="n">
        <f aca="false">(1/2_시험자료!$D$22)*2_시험자료!$F$22</f>
        <v>0.0833333333333333</v>
      </c>
      <c r="G44" s="33" t="n">
        <f aca="false">2_시험자료!G11</f>
        <v>14.5</v>
      </c>
      <c r="H44" s="34" t="n">
        <f aca="false">IF(E44=1,1000000000,texp1_s)</f>
        <v>1000000000</v>
      </c>
      <c r="I44" s="14" t="n">
        <f aca="false">FLOOR(MIN(t_fs_s,H44)/G44,1)</f>
        <v>62</v>
      </c>
      <c r="J44" s="14" t="n">
        <f aca="false">IF(C44=1,FLOOR(t_fs_s/tau_L_s,1),0)</f>
        <v>1</v>
      </c>
      <c r="K44" s="17" t="n">
        <f aca="false">IF(D44=1,1-p_cb,1)</f>
        <v>0.3</v>
      </c>
      <c r="L44" s="17" t="n">
        <f aca="false">IF(C44=1,p_L,0)</f>
        <v>0.15</v>
      </c>
      <c r="M44" s="35" t="n">
        <f aca="false">SUMPRODUCT(w_ie1,1-(1-(j_row&lt;=I44)*K44^j_row)*(1-(j_row&lt;=J44)*L44^j_row))</f>
        <v>0.485755102626486</v>
      </c>
      <c r="N44" s="31" t="n">
        <f aca="false">occ_st*SUMPRODUCT(w_ie1,(j_row&lt;=I44)*K44^j_row*(j_row&lt;=J44)*L44^j_row*(((j_row*G44&lt;rset_s)+(j_row*tau_L_s&lt;rset_s))&gt;0)+(j_row&lt;=I44)*K44^j_row*(1-(j_row&lt;=J44)*L44^j_row)*(j_row*G44&lt;rset_s)+(1-(j_row&lt;=I44)*K44^j_row)*(j_row&lt;=J44)*L44^j_row*(j_row*tau_L_s&lt;rset_s))</f>
        <v>2.42877551313243</v>
      </c>
      <c r="O44" s="35" t="n">
        <f aca="false">IF(O$8&lt;N_st,(N_st-O$8)/N_st,0)*(1-(1-(O$8&lt;=I44)*K44^O$8)*(1-(O$8&lt;=J44)*L44^O$8))</f>
        <v>0.378</v>
      </c>
      <c r="P44" s="35" t="n">
        <f aca="false">IF(P$8&lt;N_st,(N_st-P$8)/N_st,0)*(1-(1-(P$8&lt;=I44)*K44^P$8)*(1-(P$8&lt;=J44)*L44^P$8))</f>
        <v>0.0780000000000001</v>
      </c>
      <c r="Q44" s="35" t="n">
        <f aca="false">IF(Q$8&lt;N_st,(N_st-Q$8)/N_st,0)*(1-(1-(Q$8&lt;=I44)*K44^Q$8)*(1-(Q$8&lt;=J44)*L44^Q$8))</f>
        <v>0.0216</v>
      </c>
      <c r="R44" s="35" t="n">
        <f aca="false">IF(R$8&lt;N_st,(N_st-R$8)/N_st,0)*(1-(1-(R$8&lt;=I44)*K44^R$8)*(1-(R$8&lt;=J44)*L44^R$8))</f>
        <v>0.00594</v>
      </c>
      <c r="S44" s="35" t="n">
        <f aca="false">IF(S$8&lt;N_st,(N_st-S$8)/N_st,0)*(1-(1-(S$8&lt;=I44)*K44^S$8)*(1-(S$8&lt;=J44)*L44^S$8))</f>
        <v>0.00162000000000003</v>
      </c>
      <c r="T44" s="35" t="n">
        <f aca="false">IF(T$8&lt;N_st,(N_st-T$8)/N_st,0)*(1-(1-(T$8&lt;=I44)*K44^T$8)*(1-(T$8&lt;=J44)*L44^T$8))</f>
        <v>0.000437399999999988</v>
      </c>
      <c r="U44" s="35" t="n">
        <f aca="false">IF(U$8&lt;N_st,(N_st-U$8)/N_st,0)*(1-(1-(U$8&lt;=I44)*K44^U$8)*(1-(U$8&lt;=J44)*L44^U$8))</f>
        <v>0.000116640000000009</v>
      </c>
      <c r="V44" s="35" t="n">
        <f aca="false">IF(V$8&lt;N_st,(N_st-V$8)/N_st,0)*(1-(1-(V$8&lt;=I44)*K44^V$8)*(1-(V$8&lt;=J44)*L44^V$8))</f>
        <v>3.0618000000023E-005</v>
      </c>
      <c r="W44" s="35" t="n">
        <f aca="false">IF(W$8&lt;N_st,(N_st-W$8)/N_st,0)*(1-(1-(W$8&lt;=I44)*K44^W$8)*(1-(W$8&lt;=J44)*L44^W$8))</f>
        <v>7.87319999999703E-006</v>
      </c>
      <c r="X44" s="35" t="n">
        <f aca="false">IF(X$8&lt;N_st,(N_st-X$8)/N_st,0)*(1-(1-(X$8&lt;=I44)*K44^X$8)*(1-(X$8&lt;=J44)*L44^X$8))</f>
        <v>1.96829999998815E-006</v>
      </c>
      <c r="Y44" s="35" t="n">
        <f aca="false">IF(Y$8&lt;N_st,(N_st-Y$8)/N_st,0)*(1-(1-(Y$8&lt;=I44)*K44^Y$8)*(1-(Y$8&lt;=J44)*L44^Y$8))</f>
        <v>4.72392000006039E-007</v>
      </c>
      <c r="Z44" s="35" t="n">
        <f aca="false">IF(Z$8&lt;N_st,(N_st-Z$8)/N_st,0)*(1-(1-(Z$8&lt;=I44)*K44^Z$8)*(1-(Z$8&lt;=J44)*L44^Z$8))</f>
        <v>1.06288199996918E-007</v>
      </c>
      <c r="AA44" s="35" t="n">
        <f aca="false">IF(AA$8&lt;N_st,(N_st-AA$8)/N_st,0)*(1-(1-(AA$8&lt;=I44)*K44^AA$8)*(1-(AA$8&lt;=J44)*L44^AA$8))</f>
        <v>2.12576400038245E-008</v>
      </c>
      <c r="AB44" s="35" t="n">
        <f aca="false">IF(AB$8&lt;N_st,(N_st-AB$8)/N_st,0)*(1-(1-(AB$8&lt;=I44)*K44^AB$8)*(1-(AB$8&lt;=J44)*L44^AB$8))</f>
        <v>3.18864599909337E-009</v>
      </c>
      <c r="AC44" s="35" t="n">
        <f aca="false">IF(AC$8&lt;N_st,(N_st-AC$8)/N_st,0)*(1-(1-(AC$8&lt;=I44)*K44^AC$8)*(1-(AC$8&lt;=J44)*L44^AC$8))</f>
        <v>0</v>
      </c>
      <c r="AD44" s="35" t="n">
        <f aca="false">IF(AD$8&lt;N_st,(N_st-AD$8)/N_st,0)*(1-(1-(AD$8&lt;=I44)*K44^AD$8)*(1-(AD$8&lt;=J44)*L44^AD$8))</f>
        <v>0</v>
      </c>
      <c r="AE44" s="35" t="n">
        <f aca="false">IF(AE$8&lt;N_st,(N_st-AE$8)/N_st,0)*(1-(1-(AE$8&lt;=I44)*K44^AE$8)*(1-(AE$8&lt;=J44)*L44^AE$8))</f>
        <v>0</v>
      </c>
      <c r="AF44" s="35" t="n">
        <f aca="false">IF(AF$8&lt;N_st,(N_st-AF$8)/N_st,0)*(1-(1-(AF$8&lt;=I44)*K44^AF$8)*(1-(AF$8&lt;=J44)*L44^AF$8))</f>
        <v>0</v>
      </c>
      <c r="AG44" s="35" t="n">
        <f aca="false">IF(AG$8&lt;N_st,(N_st-AG$8)/N_st,0)*(1-(1-(AG$8&lt;=I44)*K44^AG$8)*(1-(AG$8&lt;=J44)*L44^AG$8))</f>
        <v>0</v>
      </c>
      <c r="AH44" s="35" t="n">
        <f aca="false">IF(AH$8&lt;N_st,(N_st-AH$8)/N_st,0)*(1-(1-(AH$8&lt;=I44)*K44^AH$8)*(1-(AH$8&lt;=J44)*L44^AH$8))</f>
        <v>0</v>
      </c>
    </row>
    <row r="45" customFormat="false" ht="15" hidden="false" customHeight="false" outlineLevel="0" collapsed="false">
      <c r="A45" s="24" t="s">
        <v>201</v>
      </c>
      <c r="B45" s="14" t="s">
        <v>181</v>
      </c>
      <c r="C45" s="14" t="n">
        <v>1</v>
      </c>
      <c r="D45" s="14" t="n">
        <v>1</v>
      </c>
      <c r="E45" s="14" t="n">
        <v>0</v>
      </c>
      <c r="F45" s="32" t="n">
        <f aca="false">(1/2_시험자료!$D$22)*(1-2_시험자료!$F$22)</f>
        <v>0.416666666666667</v>
      </c>
      <c r="G45" s="33" t="n">
        <f aca="false">2_시험자료!G11</f>
        <v>14.5</v>
      </c>
      <c r="H45" s="34" t="n">
        <f aca="false">IF(E45=1,1000000000,texp1_s)</f>
        <v>1200</v>
      </c>
      <c r="I45" s="14" t="n">
        <f aca="false">FLOOR(MIN(t_fs_s,H45)/G45,1)</f>
        <v>62</v>
      </c>
      <c r="J45" s="14" t="n">
        <f aca="false">IF(C45=1,FLOOR(t_fs_s/tau_L_s,1),0)</f>
        <v>1</v>
      </c>
      <c r="K45" s="17" t="n">
        <f aca="false">IF(D45=1,1-p_cb,1)</f>
        <v>0.3</v>
      </c>
      <c r="L45" s="17" t="n">
        <f aca="false">IF(C45=1,p_L,0)</f>
        <v>0.15</v>
      </c>
      <c r="M45" s="35" t="n">
        <f aca="false">SUMPRODUCT(w_ie1,1-(1-(j_row&lt;=I45)*K45^j_row)*(1-(j_row&lt;=J45)*L45^j_row))</f>
        <v>0.485755102626486</v>
      </c>
      <c r="N45" s="31" t="n">
        <f aca="false">occ_st*SUMPRODUCT(w_ie1,(j_row&lt;=I45)*K45^j_row*(j_row&lt;=J45)*L45^j_row*(((j_row*G45&lt;rset_s)+(j_row*tau_L_s&lt;rset_s))&gt;0)+(j_row&lt;=I45)*K45^j_row*(1-(j_row&lt;=J45)*L45^j_row)*(j_row*G45&lt;rset_s)+(1-(j_row&lt;=I45)*K45^j_row)*(j_row&lt;=J45)*L45^j_row*(j_row*tau_L_s&lt;rset_s))</f>
        <v>2.42877551313243</v>
      </c>
      <c r="O45" s="35" t="n">
        <f aca="false">IF(O$8&lt;N_st,(N_st-O$8)/N_st,0)*(1-(1-(O$8&lt;=I45)*K45^O$8)*(1-(O$8&lt;=J45)*L45^O$8))</f>
        <v>0.378</v>
      </c>
      <c r="P45" s="35" t="n">
        <f aca="false">IF(P$8&lt;N_st,(N_st-P$8)/N_st,0)*(1-(1-(P$8&lt;=I45)*K45^P$8)*(1-(P$8&lt;=J45)*L45^P$8))</f>
        <v>0.0780000000000001</v>
      </c>
      <c r="Q45" s="35" t="n">
        <f aca="false">IF(Q$8&lt;N_st,(N_st-Q$8)/N_st,0)*(1-(1-(Q$8&lt;=I45)*K45^Q$8)*(1-(Q$8&lt;=J45)*L45^Q$8))</f>
        <v>0.0216</v>
      </c>
      <c r="R45" s="35" t="n">
        <f aca="false">IF(R$8&lt;N_st,(N_st-R$8)/N_st,0)*(1-(1-(R$8&lt;=I45)*K45^R$8)*(1-(R$8&lt;=J45)*L45^R$8))</f>
        <v>0.00594</v>
      </c>
      <c r="S45" s="35" t="n">
        <f aca="false">IF(S$8&lt;N_st,(N_st-S$8)/N_st,0)*(1-(1-(S$8&lt;=I45)*K45^S$8)*(1-(S$8&lt;=J45)*L45^S$8))</f>
        <v>0.00162000000000003</v>
      </c>
      <c r="T45" s="35" t="n">
        <f aca="false">IF(T$8&lt;N_st,(N_st-T$8)/N_st,0)*(1-(1-(T$8&lt;=I45)*K45^T$8)*(1-(T$8&lt;=J45)*L45^T$8))</f>
        <v>0.000437399999999988</v>
      </c>
      <c r="U45" s="35" t="n">
        <f aca="false">IF(U$8&lt;N_st,(N_st-U$8)/N_st,0)*(1-(1-(U$8&lt;=I45)*K45^U$8)*(1-(U$8&lt;=J45)*L45^U$8))</f>
        <v>0.000116640000000009</v>
      </c>
      <c r="V45" s="35" t="n">
        <f aca="false">IF(V$8&lt;N_st,(N_st-V$8)/N_st,0)*(1-(1-(V$8&lt;=I45)*K45^V$8)*(1-(V$8&lt;=J45)*L45^V$8))</f>
        <v>3.0618000000023E-005</v>
      </c>
      <c r="W45" s="35" t="n">
        <f aca="false">IF(W$8&lt;N_st,(N_st-W$8)/N_st,0)*(1-(1-(W$8&lt;=I45)*K45^W$8)*(1-(W$8&lt;=J45)*L45^W$8))</f>
        <v>7.87319999999703E-006</v>
      </c>
      <c r="X45" s="35" t="n">
        <f aca="false">IF(X$8&lt;N_st,(N_st-X$8)/N_st,0)*(1-(1-(X$8&lt;=I45)*K45^X$8)*(1-(X$8&lt;=J45)*L45^X$8))</f>
        <v>1.96829999998815E-006</v>
      </c>
      <c r="Y45" s="35" t="n">
        <f aca="false">IF(Y$8&lt;N_st,(N_st-Y$8)/N_st,0)*(1-(1-(Y$8&lt;=I45)*K45^Y$8)*(1-(Y$8&lt;=J45)*L45^Y$8))</f>
        <v>4.72392000006039E-007</v>
      </c>
      <c r="Z45" s="35" t="n">
        <f aca="false">IF(Z$8&lt;N_st,(N_st-Z$8)/N_st,0)*(1-(1-(Z$8&lt;=I45)*K45^Z$8)*(1-(Z$8&lt;=J45)*L45^Z$8))</f>
        <v>1.06288199996918E-007</v>
      </c>
      <c r="AA45" s="35" t="n">
        <f aca="false">IF(AA$8&lt;N_st,(N_st-AA$8)/N_st,0)*(1-(1-(AA$8&lt;=I45)*K45^AA$8)*(1-(AA$8&lt;=J45)*L45^AA$8))</f>
        <v>2.12576400038245E-008</v>
      </c>
      <c r="AB45" s="35" t="n">
        <f aca="false">IF(AB$8&lt;N_st,(N_st-AB$8)/N_st,0)*(1-(1-(AB$8&lt;=I45)*K45^AB$8)*(1-(AB$8&lt;=J45)*L45^AB$8))</f>
        <v>3.18864599909337E-009</v>
      </c>
      <c r="AC45" s="35" t="n">
        <f aca="false">IF(AC$8&lt;N_st,(N_st-AC$8)/N_st,0)*(1-(1-(AC$8&lt;=I45)*K45^AC$8)*(1-(AC$8&lt;=J45)*L45^AC$8))</f>
        <v>0</v>
      </c>
      <c r="AD45" s="35" t="n">
        <f aca="false">IF(AD$8&lt;N_st,(N_st-AD$8)/N_st,0)*(1-(1-(AD$8&lt;=I45)*K45^AD$8)*(1-(AD$8&lt;=J45)*L45^AD$8))</f>
        <v>0</v>
      </c>
      <c r="AE45" s="35" t="n">
        <f aca="false">IF(AE$8&lt;N_st,(N_st-AE$8)/N_st,0)*(1-(1-(AE$8&lt;=I45)*K45^AE$8)*(1-(AE$8&lt;=J45)*L45^AE$8))</f>
        <v>0</v>
      </c>
      <c r="AF45" s="35" t="n">
        <f aca="false">IF(AF$8&lt;N_st,(N_st-AF$8)/N_st,0)*(1-(1-(AF$8&lt;=I45)*K45^AF$8)*(1-(AF$8&lt;=J45)*L45^AF$8))</f>
        <v>0</v>
      </c>
      <c r="AG45" s="35" t="n">
        <f aca="false">IF(AG$8&lt;N_st,(N_st-AG$8)/N_st,0)*(1-(1-(AG$8&lt;=I45)*K45^AG$8)*(1-(AG$8&lt;=J45)*L45^AG$8))</f>
        <v>0</v>
      </c>
      <c r="AH45" s="35" t="n">
        <f aca="false">IF(AH$8&lt;N_st,(N_st-AH$8)/N_st,0)*(1-(1-(AH$8&lt;=I45)*K45^AH$8)*(1-(AH$8&lt;=J45)*L45^AH$8))</f>
        <v>0</v>
      </c>
    </row>
    <row r="46" customFormat="false" ht="15" hidden="false" customHeight="false" outlineLevel="0" collapsed="false">
      <c r="A46" s="24" t="s">
        <v>201</v>
      </c>
      <c r="B46" s="14" t="s">
        <v>181</v>
      </c>
      <c r="C46" s="14" t="n">
        <v>2</v>
      </c>
      <c r="D46" s="14" t="n">
        <v>0</v>
      </c>
      <c r="E46" s="14" t="n">
        <v>1</v>
      </c>
      <c r="F46" s="32" t="n">
        <f aca="false">(1/2_시험자료!$D$22)*2_시험자료!$F$22</f>
        <v>0.0833333333333333</v>
      </c>
      <c r="G46" s="33" t="n">
        <f aca="false">2_시험자료!G11</f>
        <v>14.5</v>
      </c>
      <c r="H46" s="34" t="n">
        <f aca="false">IF(E46=1,1000000000,texp2_s)</f>
        <v>1000000000</v>
      </c>
      <c r="I46" s="14" t="n">
        <f aca="false">FLOOR(MIN(t_fs_s,H46)/G46,1)</f>
        <v>62</v>
      </c>
      <c r="J46" s="14" t="n">
        <f aca="false">IF(C46=1,FLOOR(t_fs_s/tau_L_s,1),0)</f>
        <v>0</v>
      </c>
      <c r="K46" s="17" t="n">
        <f aca="false">IF(D46=1,1-p_cb,1)</f>
        <v>1</v>
      </c>
      <c r="L46" s="17" t="n">
        <f aca="false">IF(C46=1,p_L,0)</f>
        <v>0</v>
      </c>
      <c r="M46" s="35" t="n">
        <f aca="false">SUMPRODUCT(w_ie2,1-(1-(j_row&lt;=I46)*K46^j_row)*(1-(j_row&lt;=J46)*L46^j_row))</f>
        <v>14</v>
      </c>
      <c r="N46" s="31" t="n">
        <f aca="false">occ_st*SUMPRODUCT(w_ie2,(j_row&lt;=I46)*K46^j_row*(j_row&lt;=J46)*L46^j_row*(((j_row*G46&lt;rset_s)+(j_row*tau_L_s&lt;rset_s))&gt;0)+(j_row&lt;=I46)*K46^j_row*(1-(j_row&lt;=J46)*L46^j_row)*(j_row*G46&lt;rset_s)+(1-(j_row&lt;=I46)*K46^j_row)*(j_row&lt;=J46)*L46^j_row*(j_row*tau_L_s&lt;rset_s))</f>
        <v>70</v>
      </c>
      <c r="O46" s="35" t="n">
        <f aca="false">IF(O$8&lt;N_st,1,0)*(1-(1-(O$8&lt;=I46)*K46^O$8)*(1-(O$8&lt;=J46)*L46^O$8))</f>
        <v>1</v>
      </c>
      <c r="P46" s="35" t="n">
        <f aca="false">IF(P$8&lt;N_st,1,0)*(1-(1-(P$8&lt;=I46)*K46^P$8)*(1-(P$8&lt;=J46)*L46^P$8))</f>
        <v>1</v>
      </c>
      <c r="Q46" s="35" t="n">
        <f aca="false">IF(Q$8&lt;N_st,1,0)*(1-(1-(Q$8&lt;=I46)*K46^Q$8)*(1-(Q$8&lt;=J46)*L46^Q$8))</f>
        <v>1</v>
      </c>
      <c r="R46" s="35" t="n">
        <f aca="false">IF(R$8&lt;N_st,1,0)*(1-(1-(R$8&lt;=I46)*K46^R$8)*(1-(R$8&lt;=J46)*L46^R$8))</f>
        <v>1</v>
      </c>
      <c r="S46" s="35" t="n">
        <f aca="false">IF(S$8&lt;N_st,1,0)*(1-(1-(S$8&lt;=I46)*K46^S$8)*(1-(S$8&lt;=J46)*L46^S$8))</f>
        <v>1</v>
      </c>
      <c r="T46" s="35" t="n">
        <f aca="false">IF(T$8&lt;N_st,1,0)*(1-(1-(T$8&lt;=I46)*K46^T$8)*(1-(T$8&lt;=J46)*L46^T$8))</f>
        <v>1</v>
      </c>
      <c r="U46" s="35" t="n">
        <f aca="false">IF(U$8&lt;N_st,1,0)*(1-(1-(U$8&lt;=I46)*K46^U$8)*(1-(U$8&lt;=J46)*L46^U$8))</f>
        <v>1</v>
      </c>
      <c r="V46" s="35" t="n">
        <f aca="false">IF(V$8&lt;N_st,1,0)*(1-(1-(V$8&lt;=I46)*K46^V$8)*(1-(V$8&lt;=J46)*L46^V$8))</f>
        <v>1</v>
      </c>
      <c r="W46" s="35" t="n">
        <f aca="false">IF(W$8&lt;N_st,1,0)*(1-(1-(W$8&lt;=I46)*K46^W$8)*(1-(W$8&lt;=J46)*L46^W$8))</f>
        <v>1</v>
      </c>
      <c r="X46" s="35" t="n">
        <f aca="false">IF(X$8&lt;N_st,1,0)*(1-(1-(X$8&lt;=I46)*K46^X$8)*(1-(X$8&lt;=J46)*L46^X$8))</f>
        <v>1</v>
      </c>
      <c r="Y46" s="35" t="n">
        <f aca="false">IF(Y$8&lt;N_st,1,0)*(1-(1-(Y$8&lt;=I46)*K46^Y$8)*(1-(Y$8&lt;=J46)*L46^Y$8))</f>
        <v>1</v>
      </c>
      <c r="Z46" s="35" t="n">
        <f aca="false">IF(Z$8&lt;N_st,1,0)*(1-(1-(Z$8&lt;=I46)*K46^Z$8)*(1-(Z$8&lt;=J46)*L46^Z$8))</f>
        <v>1</v>
      </c>
      <c r="AA46" s="35" t="n">
        <f aca="false">IF(AA$8&lt;N_st,1,0)*(1-(1-(AA$8&lt;=I46)*K46^AA$8)*(1-(AA$8&lt;=J46)*L46^AA$8))</f>
        <v>1</v>
      </c>
      <c r="AB46" s="35" t="n">
        <f aca="false">IF(AB$8&lt;N_st,1,0)*(1-(1-(AB$8&lt;=I46)*K46^AB$8)*(1-(AB$8&lt;=J46)*L46^AB$8))</f>
        <v>1</v>
      </c>
      <c r="AC46" s="35" t="n">
        <f aca="false">IF(AC$8&lt;N_st,1,0)*(1-(1-(AC$8&lt;=I46)*K46^AC$8)*(1-(AC$8&lt;=J46)*L46^AC$8))</f>
        <v>0</v>
      </c>
      <c r="AD46" s="35" t="n">
        <f aca="false">IF(AD$8&lt;N_st,1,0)*(1-(1-(AD$8&lt;=I46)*K46^AD$8)*(1-(AD$8&lt;=J46)*L46^AD$8))</f>
        <v>0</v>
      </c>
      <c r="AE46" s="35" t="n">
        <f aca="false">IF(AE$8&lt;N_st,1,0)*(1-(1-(AE$8&lt;=I46)*K46^AE$8)*(1-(AE$8&lt;=J46)*L46^AE$8))</f>
        <v>0</v>
      </c>
      <c r="AF46" s="35" t="n">
        <f aca="false">IF(AF$8&lt;N_st,1,0)*(1-(1-(AF$8&lt;=I46)*K46^AF$8)*(1-(AF$8&lt;=J46)*L46^AF$8))</f>
        <v>0</v>
      </c>
      <c r="AG46" s="35" t="n">
        <f aca="false">IF(AG$8&lt;N_st,1,0)*(1-(1-(AG$8&lt;=I46)*K46^AG$8)*(1-(AG$8&lt;=J46)*L46^AG$8))</f>
        <v>0</v>
      </c>
      <c r="AH46" s="35" t="n">
        <f aca="false">IF(AH$8&lt;N_st,1,0)*(1-(1-(AH$8&lt;=I46)*K46^AH$8)*(1-(AH$8&lt;=J46)*L46^AH$8))</f>
        <v>0</v>
      </c>
    </row>
    <row r="47" customFormat="false" ht="15" hidden="false" customHeight="false" outlineLevel="0" collapsed="false">
      <c r="A47" s="24" t="s">
        <v>201</v>
      </c>
      <c r="B47" s="14" t="s">
        <v>181</v>
      </c>
      <c r="C47" s="14" t="n">
        <v>2</v>
      </c>
      <c r="D47" s="14" t="n">
        <v>0</v>
      </c>
      <c r="E47" s="14" t="n">
        <v>0</v>
      </c>
      <c r="F47" s="32" t="n">
        <f aca="false">(1/2_시험자료!$D$22)*(1-2_시험자료!$F$22)</f>
        <v>0.416666666666667</v>
      </c>
      <c r="G47" s="33" t="n">
        <f aca="false">2_시험자료!G11</f>
        <v>14.5</v>
      </c>
      <c r="H47" s="34" t="n">
        <f aca="false">IF(E47=1,1000000000,texp2_s)</f>
        <v>750</v>
      </c>
      <c r="I47" s="14" t="n">
        <f aca="false">FLOOR(MIN(t_fs_s,H47)/G47,1)</f>
        <v>51</v>
      </c>
      <c r="J47" s="14" t="n">
        <f aca="false">IF(C47=1,FLOOR(t_fs_s/tau_L_s,1),0)</f>
        <v>0</v>
      </c>
      <c r="K47" s="17" t="n">
        <f aca="false">IF(D47=1,1-p_cb,1)</f>
        <v>1</v>
      </c>
      <c r="L47" s="17" t="n">
        <f aca="false">IF(C47=1,p_L,0)</f>
        <v>0</v>
      </c>
      <c r="M47" s="35" t="n">
        <f aca="false">SUMPRODUCT(w_ie2,1-(1-(j_row&lt;=I47)*K47^j_row)*(1-(j_row&lt;=J47)*L47^j_row))</f>
        <v>14</v>
      </c>
      <c r="N47" s="31" t="n">
        <f aca="false">occ_st*SUMPRODUCT(w_ie2,(j_row&lt;=I47)*K47^j_row*(j_row&lt;=J47)*L47^j_row*(((j_row*G47&lt;rset_s)+(j_row*tau_L_s&lt;rset_s))&gt;0)+(j_row&lt;=I47)*K47^j_row*(1-(j_row&lt;=J47)*L47^j_row)*(j_row*G47&lt;rset_s)+(1-(j_row&lt;=I47)*K47^j_row)*(j_row&lt;=J47)*L47^j_row*(j_row*tau_L_s&lt;rset_s))</f>
        <v>70</v>
      </c>
      <c r="O47" s="35" t="n">
        <f aca="false">IF(O$8&lt;N_st,1,0)*(1-(1-(O$8&lt;=I47)*K47^O$8)*(1-(O$8&lt;=J47)*L47^O$8))</f>
        <v>1</v>
      </c>
      <c r="P47" s="35" t="n">
        <f aca="false">IF(P$8&lt;N_st,1,0)*(1-(1-(P$8&lt;=I47)*K47^P$8)*(1-(P$8&lt;=J47)*L47^P$8))</f>
        <v>1</v>
      </c>
      <c r="Q47" s="35" t="n">
        <f aca="false">IF(Q$8&lt;N_st,1,0)*(1-(1-(Q$8&lt;=I47)*K47^Q$8)*(1-(Q$8&lt;=J47)*L47^Q$8))</f>
        <v>1</v>
      </c>
      <c r="R47" s="35" t="n">
        <f aca="false">IF(R$8&lt;N_st,1,0)*(1-(1-(R$8&lt;=I47)*K47^R$8)*(1-(R$8&lt;=J47)*L47^R$8))</f>
        <v>1</v>
      </c>
      <c r="S47" s="35" t="n">
        <f aca="false">IF(S$8&lt;N_st,1,0)*(1-(1-(S$8&lt;=I47)*K47^S$8)*(1-(S$8&lt;=J47)*L47^S$8))</f>
        <v>1</v>
      </c>
      <c r="T47" s="35" t="n">
        <f aca="false">IF(T$8&lt;N_st,1,0)*(1-(1-(T$8&lt;=I47)*K47^T$8)*(1-(T$8&lt;=J47)*L47^T$8))</f>
        <v>1</v>
      </c>
      <c r="U47" s="35" t="n">
        <f aca="false">IF(U$8&lt;N_st,1,0)*(1-(1-(U$8&lt;=I47)*K47^U$8)*(1-(U$8&lt;=J47)*L47^U$8))</f>
        <v>1</v>
      </c>
      <c r="V47" s="35" t="n">
        <f aca="false">IF(V$8&lt;N_st,1,0)*(1-(1-(V$8&lt;=I47)*K47^V$8)*(1-(V$8&lt;=J47)*L47^V$8))</f>
        <v>1</v>
      </c>
      <c r="W47" s="35" t="n">
        <f aca="false">IF(W$8&lt;N_st,1,0)*(1-(1-(W$8&lt;=I47)*K47^W$8)*(1-(W$8&lt;=J47)*L47^W$8))</f>
        <v>1</v>
      </c>
      <c r="X47" s="35" t="n">
        <f aca="false">IF(X$8&lt;N_st,1,0)*(1-(1-(X$8&lt;=I47)*K47^X$8)*(1-(X$8&lt;=J47)*L47^X$8))</f>
        <v>1</v>
      </c>
      <c r="Y47" s="35" t="n">
        <f aca="false">IF(Y$8&lt;N_st,1,0)*(1-(1-(Y$8&lt;=I47)*K47^Y$8)*(1-(Y$8&lt;=J47)*L47^Y$8))</f>
        <v>1</v>
      </c>
      <c r="Z47" s="35" t="n">
        <f aca="false">IF(Z$8&lt;N_st,1,0)*(1-(1-(Z$8&lt;=I47)*K47^Z$8)*(1-(Z$8&lt;=J47)*L47^Z$8))</f>
        <v>1</v>
      </c>
      <c r="AA47" s="35" t="n">
        <f aca="false">IF(AA$8&lt;N_st,1,0)*(1-(1-(AA$8&lt;=I47)*K47^AA$8)*(1-(AA$8&lt;=J47)*L47^AA$8))</f>
        <v>1</v>
      </c>
      <c r="AB47" s="35" t="n">
        <f aca="false">IF(AB$8&lt;N_st,1,0)*(1-(1-(AB$8&lt;=I47)*K47^AB$8)*(1-(AB$8&lt;=J47)*L47^AB$8))</f>
        <v>1</v>
      </c>
      <c r="AC47" s="35" t="n">
        <f aca="false">IF(AC$8&lt;N_st,1,0)*(1-(1-(AC$8&lt;=I47)*K47^AC$8)*(1-(AC$8&lt;=J47)*L47^AC$8))</f>
        <v>0</v>
      </c>
      <c r="AD47" s="35" t="n">
        <f aca="false">IF(AD$8&lt;N_st,1,0)*(1-(1-(AD$8&lt;=I47)*K47^AD$8)*(1-(AD$8&lt;=J47)*L47^AD$8))</f>
        <v>0</v>
      </c>
      <c r="AE47" s="35" t="n">
        <f aca="false">IF(AE$8&lt;N_st,1,0)*(1-(1-(AE$8&lt;=I47)*K47^AE$8)*(1-(AE$8&lt;=J47)*L47^AE$8))</f>
        <v>0</v>
      </c>
      <c r="AF47" s="35" t="n">
        <f aca="false">IF(AF$8&lt;N_st,1,0)*(1-(1-(AF$8&lt;=I47)*K47^AF$8)*(1-(AF$8&lt;=J47)*L47^AF$8))</f>
        <v>0</v>
      </c>
      <c r="AG47" s="35" t="n">
        <f aca="false">IF(AG$8&lt;N_st,1,0)*(1-(1-(AG$8&lt;=I47)*K47^AG$8)*(1-(AG$8&lt;=J47)*L47^AG$8))</f>
        <v>0</v>
      </c>
      <c r="AH47" s="35" t="n">
        <f aca="false">IF(AH$8&lt;N_st,1,0)*(1-(1-(AH$8&lt;=I47)*K47^AH$8)*(1-(AH$8&lt;=J47)*L47^AH$8))</f>
        <v>0</v>
      </c>
    </row>
    <row r="48" customFormat="false" ht="15" hidden="false" customHeight="false" outlineLevel="0" collapsed="false">
      <c r="A48" s="24" t="s">
        <v>201</v>
      </c>
      <c r="B48" s="14" t="s">
        <v>181</v>
      </c>
      <c r="C48" s="14" t="n">
        <v>2</v>
      </c>
      <c r="D48" s="14" t="n">
        <v>1</v>
      </c>
      <c r="E48" s="14" t="n">
        <v>1</v>
      </c>
      <c r="F48" s="32" t="n">
        <f aca="false">(1/2_시험자료!$D$22)*2_시험자료!$F$22</f>
        <v>0.0833333333333333</v>
      </c>
      <c r="G48" s="33" t="n">
        <f aca="false">2_시험자료!G11</f>
        <v>14.5</v>
      </c>
      <c r="H48" s="34" t="n">
        <f aca="false">IF(E48=1,1000000000,texp2_s)</f>
        <v>1000000000</v>
      </c>
      <c r="I48" s="14" t="n">
        <f aca="false">FLOOR(MIN(t_fs_s,H48)/G48,1)</f>
        <v>62</v>
      </c>
      <c r="J48" s="14" t="n">
        <f aca="false">IF(C48=1,FLOOR(t_fs_s/tau_L_s,1),0)</f>
        <v>0</v>
      </c>
      <c r="K48" s="17" t="n">
        <f aca="false">IF(D48=1,1-p_cb,1)</f>
        <v>0.3</v>
      </c>
      <c r="L48" s="17" t="n">
        <f aca="false">IF(C48=1,p_L,0)</f>
        <v>0</v>
      </c>
      <c r="M48" s="35" t="n">
        <f aca="false">SUMPRODUCT(w_ie2,1-(1-(j_row&lt;=I48)*K48^j_row)*(1-(j_row&lt;=J48)*L48^j_row))</f>
        <v>0.42857140807299</v>
      </c>
      <c r="N48" s="31" t="n">
        <f aca="false">occ_st*SUMPRODUCT(w_ie2,(j_row&lt;=I48)*K48^j_row*(j_row&lt;=J48)*L48^j_row*(((j_row*G48&lt;rset_s)+(j_row*tau_L_s&lt;rset_s))&gt;0)+(j_row&lt;=I48)*K48^j_row*(1-(j_row&lt;=J48)*L48^j_row)*(j_row*G48&lt;rset_s)+(1-(j_row&lt;=I48)*K48^j_row)*(j_row&lt;=J48)*L48^j_row*(j_row*tau_L_s&lt;rset_s))</f>
        <v>2.14285704036495</v>
      </c>
      <c r="O48" s="35" t="n">
        <f aca="false">IF(O$8&lt;N_st,1,0)*(1-(1-(O$8&lt;=I48)*K48^O$8)*(1-(O$8&lt;=J48)*L48^O$8))</f>
        <v>0.3</v>
      </c>
      <c r="P48" s="35" t="n">
        <f aca="false">IF(P$8&lt;N_st,1,0)*(1-(1-(P$8&lt;=I48)*K48^P$8)*(1-(P$8&lt;=J48)*L48^P$8))</f>
        <v>0.0900000000000001</v>
      </c>
      <c r="Q48" s="35" t="n">
        <f aca="false">IF(Q$8&lt;N_st,1,0)*(1-(1-(Q$8&lt;=I48)*K48^Q$8)*(1-(Q$8&lt;=J48)*L48^Q$8))</f>
        <v>0.027</v>
      </c>
      <c r="R48" s="35" t="n">
        <f aca="false">IF(R$8&lt;N_st,1,0)*(1-(1-(R$8&lt;=I48)*K48^R$8)*(1-(R$8&lt;=J48)*L48^R$8))</f>
        <v>0.0081</v>
      </c>
      <c r="S48" s="35" t="n">
        <f aca="false">IF(S$8&lt;N_st,1,0)*(1-(1-(S$8&lt;=I48)*K48^S$8)*(1-(S$8&lt;=J48)*L48^S$8))</f>
        <v>0.00243000000000004</v>
      </c>
      <c r="T48" s="35" t="n">
        <f aca="false">IF(T$8&lt;N_st,1,0)*(1-(1-(T$8&lt;=I48)*K48^T$8)*(1-(T$8&lt;=J48)*L48^T$8))</f>
        <v>0.00072899999999998</v>
      </c>
      <c r="U48" s="35" t="n">
        <f aca="false">IF(U$8&lt;N_st,1,0)*(1-(1-(U$8&lt;=I48)*K48^U$8)*(1-(U$8&lt;=J48)*L48^U$8))</f>
        <v>0.000218700000000016</v>
      </c>
      <c r="V48" s="35" t="n">
        <f aca="false">IF(V$8&lt;N_st,1,0)*(1-(1-(V$8&lt;=I48)*K48^V$8)*(1-(V$8&lt;=J48)*L48^V$8))</f>
        <v>6.56100000000492E-005</v>
      </c>
      <c r="W48" s="35" t="n">
        <f aca="false">IF(W$8&lt;N_st,1,0)*(1-(1-(W$8&lt;=I48)*K48^W$8)*(1-(W$8&lt;=J48)*L48^W$8))</f>
        <v>1.96829999999926E-005</v>
      </c>
      <c r="X48" s="35" t="n">
        <f aca="false">IF(X$8&lt;N_st,1,0)*(1-(1-(X$8&lt;=I48)*K48^X$8)*(1-(X$8&lt;=J48)*L48^X$8))</f>
        <v>5.90489999996446E-006</v>
      </c>
      <c r="Y48" s="35" t="n">
        <f aca="false">IF(Y$8&lt;N_st,1,0)*(1-(1-(Y$8&lt;=I48)*K48^Y$8)*(1-(Y$8&lt;=J48)*L48^Y$8))</f>
        <v>1.77147000002265E-006</v>
      </c>
      <c r="Z48" s="35" t="n">
        <f aca="false">IF(Z$8&lt;N_st,1,0)*(1-(1-(Z$8&lt;=I48)*K48^Z$8)*(1-(Z$8&lt;=J48)*L48^Z$8))</f>
        <v>5.31440999984589E-007</v>
      </c>
      <c r="AA48" s="35" t="n">
        <f aca="false">IF(AA$8&lt;N_st,1,0)*(1-(1-(AA$8&lt;=I48)*K48^AA$8)*(1-(AA$8&lt;=J48)*L48^AA$8))</f>
        <v>1.59432300028683E-007</v>
      </c>
      <c r="AB48" s="35" t="n">
        <f aca="false">IF(AB$8&lt;N_st,1,0)*(1-(1-(AB$8&lt;=I48)*K48^AB$8)*(1-(AB$8&lt;=J48)*L48^AB$8))</f>
        <v>4.78296899864006E-008</v>
      </c>
      <c r="AC48" s="35" t="n">
        <f aca="false">IF(AC$8&lt;N_st,1,0)*(1-(1-(AC$8&lt;=I48)*K48^AC$8)*(1-(AC$8&lt;=J48)*L48^AC$8))</f>
        <v>0</v>
      </c>
      <c r="AD48" s="35" t="n">
        <f aca="false">IF(AD$8&lt;N_st,1,0)*(1-(1-(AD$8&lt;=I48)*K48^AD$8)*(1-(AD$8&lt;=J48)*L48^AD$8))</f>
        <v>0</v>
      </c>
      <c r="AE48" s="35" t="n">
        <f aca="false">IF(AE$8&lt;N_st,1,0)*(1-(1-(AE$8&lt;=I48)*K48^AE$8)*(1-(AE$8&lt;=J48)*L48^AE$8))</f>
        <v>0</v>
      </c>
      <c r="AF48" s="35" t="n">
        <f aca="false">IF(AF$8&lt;N_st,1,0)*(1-(1-(AF$8&lt;=I48)*K48^AF$8)*(1-(AF$8&lt;=J48)*L48^AF$8))</f>
        <v>0</v>
      </c>
      <c r="AG48" s="35" t="n">
        <f aca="false">IF(AG$8&lt;N_st,1,0)*(1-(1-(AG$8&lt;=I48)*K48^AG$8)*(1-(AG$8&lt;=J48)*L48^AG$8))</f>
        <v>0</v>
      </c>
      <c r="AH48" s="35" t="n">
        <f aca="false">IF(AH$8&lt;N_st,1,0)*(1-(1-(AH$8&lt;=I48)*K48^AH$8)*(1-(AH$8&lt;=J48)*L48^AH$8))</f>
        <v>0</v>
      </c>
    </row>
    <row r="49" customFormat="false" ht="15" hidden="false" customHeight="false" outlineLevel="0" collapsed="false">
      <c r="A49" s="24" t="s">
        <v>201</v>
      </c>
      <c r="B49" s="14" t="s">
        <v>181</v>
      </c>
      <c r="C49" s="14" t="n">
        <v>2</v>
      </c>
      <c r="D49" s="14" t="n">
        <v>1</v>
      </c>
      <c r="E49" s="14" t="n">
        <v>0</v>
      </c>
      <c r="F49" s="32" t="n">
        <f aca="false">(1/2_시험자료!$D$22)*(1-2_시험자료!$F$22)</f>
        <v>0.416666666666667</v>
      </c>
      <c r="G49" s="33" t="n">
        <f aca="false">2_시험자료!G11</f>
        <v>14.5</v>
      </c>
      <c r="H49" s="34" t="n">
        <f aca="false">IF(E49=1,1000000000,texp2_s)</f>
        <v>750</v>
      </c>
      <c r="I49" s="14" t="n">
        <f aca="false">FLOOR(MIN(t_fs_s,H49)/G49,1)</f>
        <v>51</v>
      </c>
      <c r="J49" s="14" t="n">
        <f aca="false">IF(C49=1,FLOOR(t_fs_s/tau_L_s,1),0)</f>
        <v>0</v>
      </c>
      <c r="K49" s="17" t="n">
        <f aca="false">IF(D49=1,1-p_cb,1)</f>
        <v>0.3</v>
      </c>
      <c r="L49" s="17" t="n">
        <f aca="false">IF(C49=1,p_L,0)</f>
        <v>0</v>
      </c>
      <c r="M49" s="35" t="n">
        <f aca="false">SUMPRODUCT(w_ie2,1-(1-(j_row&lt;=I49)*K49^j_row)*(1-(j_row&lt;=J49)*L49^j_row))</f>
        <v>0.42857140807299</v>
      </c>
      <c r="N49" s="31" t="n">
        <f aca="false">occ_st*SUMPRODUCT(w_ie2,(j_row&lt;=I49)*K49^j_row*(j_row&lt;=J49)*L49^j_row*(((j_row*G49&lt;rset_s)+(j_row*tau_L_s&lt;rset_s))&gt;0)+(j_row&lt;=I49)*K49^j_row*(1-(j_row&lt;=J49)*L49^j_row)*(j_row*G49&lt;rset_s)+(1-(j_row&lt;=I49)*K49^j_row)*(j_row&lt;=J49)*L49^j_row*(j_row*tau_L_s&lt;rset_s))</f>
        <v>2.14285704036495</v>
      </c>
      <c r="O49" s="35" t="n">
        <f aca="false">IF(O$8&lt;N_st,1,0)*(1-(1-(O$8&lt;=I49)*K49^O$8)*(1-(O$8&lt;=J49)*L49^O$8))</f>
        <v>0.3</v>
      </c>
      <c r="P49" s="35" t="n">
        <f aca="false">IF(P$8&lt;N_st,1,0)*(1-(1-(P$8&lt;=I49)*K49^P$8)*(1-(P$8&lt;=J49)*L49^P$8))</f>
        <v>0.0900000000000001</v>
      </c>
      <c r="Q49" s="35" t="n">
        <f aca="false">IF(Q$8&lt;N_st,1,0)*(1-(1-(Q$8&lt;=I49)*K49^Q$8)*(1-(Q$8&lt;=J49)*L49^Q$8))</f>
        <v>0.027</v>
      </c>
      <c r="R49" s="35" t="n">
        <f aca="false">IF(R$8&lt;N_st,1,0)*(1-(1-(R$8&lt;=I49)*K49^R$8)*(1-(R$8&lt;=J49)*L49^R$8))</f>
        <v>0.0081</v>
      </c>
      <c r="S49" s="35" t="n">
        <f aca="false">IF(S$8&lt;N_st,1,0)*(1-(1-(S$8&lt;=I49)*K49^S$8)*(1-(S$8&lt;=J49)*L49^S$8))</f>
        <v>0.00243000000000004</v>
      </c>
      <c r="T49" s="35" t="n">
        <f aca="false">IF(T$8&lt;N_st,1,0)*(1-(1-(T$8&lt;=I49)*K49^T$8)*(1-(T$8&lt;=J49)*L49^T$8))</f>
        <v>0.00072899999999998</v>
      </c>
      <c r="U49" s="35" t="n">
        <f aca="false">IF(U$8&lt;N_st,1,0)*(1-(1-(U$8&lt;=I49)*K49^U$8)*(1-(U$8&lt;=J49)*L49^U$8))</f>
        <v>0.000218700000000016</v>
      </c>
      <c r="V49" s="35" t="n">
        <f aca="false">IF(V$8&lt;N_st,1,0)*(1-(1-(V$8&lt;=I49)*K49^V$8)*(1-(V$8&lt;=J49)*L49^V$8))</f>
        <v>6.56100000000492E-005</v>
      </c>
      <c r="W49" s="35" t="n">
        <f aca="false">IF(W$8&lt;N_st,1,0)*(1-(1-(W$8&lt;=I49)*K49^W$8)*(1-(W$8&lt;=J49)*L49^W$8))</f>
        <v>1.96829999999926E-005</v>
      </c>
      <c r="X49" s="35" t="n">
        <f aca="false">IF(X$8&lt;N_st,1,0)*(1-(1-(X$8&lt;=I49)*K49^X$8)*(1-(X$8&lt;=J49)*L49^X$8))</f>
        <v>5.90489999996446E-006</v>
      </c>
      <c r="Y49" s="35" t="n">
        <f aca="false">IF(Y$8&lt;N_st,1,0)*(1-(1-(Y$8&lt;=I49)*K49^Y$8)*(1-(Y$8&lt;=J49)*L49^Y$8))</f>
        <v>1.77147000002265E-006</v>
      </c>
      <c r="Z49" s="35" t="n">
        <f aca="false">IF(Z$8&lt;N_st,1,0)*(1-(1-(Z$8&lt;=I49)*K49^Z$8)*(1-(Z$8&lt;=J49)*L49^Z$8))</f>
        <v>5.31440999984589E-007</v>
      </c>
      <c r="AA49" s="35" t="n">
        <f aca="false">IF(AA$8&lt;N_st,1,0)*(1-(1-(AA$8&lt;=I49)*K49^AA$8)*(1-(AA$8&lt;=J49)*L49^AA$8))</f>
        <v>1.59432300028683E-007</v>
      </c>
      <c r="AB49" s="35" t="n">
        <f aca="false">IF(AB$8&lt;N_st,1,0)*(1-(1-(AB$8&lt;=I49)*K49^AB$8)*(1-(AB$8&lt;=J49)*L49^AB$8))</f>
        <v>4.78296899864006E-008</v>
      </c>
      <c r="AC49" s="35" t="n">
        <f aca="false">IF(AC$8&lt;N_st,1,0)*(1-(1-(AC$8&lt;=I49)*K49^AC$8)*(1-(AC$8&lt;=J49)*L49^AC$8))</f>
        <v>0</v>
      </c>
      <c r="AD49" s="35" t="n">
        <f aca="false">IF(AD$8&lt;N_st,1,0)*(1-(1-(AD$8&lt;=I49)*K49^AD$8)*(1-(AD$8&lt;=J49)*L49^AD$8))</f>
        <v>0</v>
      </c>
      <c r="AE49" s="35" t="n">
        <f aca="false">IF(AE$8&lt;N_st,1,0)*(1-(1-(AE$8&lt;=I49)*K49^AE$8)*(1-(AE$8&lt;=J49)*L49^AE$8))</f>
        <v>0</v>
      </c>
      <c r="AF49" s="35" t="n">
        <f aca="false">IF(AF$8&lt;N_st,1,0)*(1-(1-(AF$8&lt;=I49)*K49^AF$8)*(1-(AF$8&lt;=J49)*L49^AF$8))</f>
        <v>0</v>
      </c>
      <c r="AG49" s="35" t="n">
        <f aca="false">IF(AG$8&lt;N_st,1,0)*(1-(1-(AG$8&lt;=I49)*K49^AG$8)*(1-(AG$8&lt;=J49)*L49^AG$8))</f>
        <v>0</v>
      </c>
      <c r="AH49" s="35" t="n">
        <f aca="false">IF(AH$8&lt;N_st,1,0)*(1-(1-(AH$8&lt;=I49)*K49^AH$8)*(1-(AH$8&lt;=J49)*L49^AH$8))</f>
        <v>0</v>
      </c>
    </row>
    <row r="50" customFormat="false" ht="15" hidden="false" customHeight="false" outlineLevel="0" collapsed="false">
      <c r="A50" s="24" t="s">
        <v>203</v>
      </c>
      <c r="B50" s="14" t="s">
        <v>182</v>
      </c>
      <c r="C50" s="14" t="n">
        <v>1</v>
      </c>
      <c r="D50" s="14" t="n">
        <v>0</v>
      </c>
      <c r="E50" s="14" t="n">
        <v>1</v>
      </c>
      <c r="F50" s="32" t="n">
        <f aca="false">(1/2_시험자료!$D$23)*2_시험자료!$F$23</f>
        <v>0.0833333333333333</v>
      </c>
      <c r="G50" s="33" t="n">
        <f aca="false">2_시험자료!G12</f>
        <v>534</v>
      </c>
      <c r="H50" s="34" t="n">
        <f aca="false">IF(E50=1,1000000000,texp1_s)</f>
        <v>1000000000</v>
      </c>
      <c r="I50" s="14" t="n">
        <f aca="false">FLOOR(MIN(t_fs_s,H50)/G50,1)</f>
        <v>1</v>
      </c>
      <c r="J50" s="14" t="n">
        <f aca="false">IF(C50=1,FLOOR(t_fs_s/tau_L_s,1),0)</f>
        <v>1</v>
      </c>
      <c r="K50" s="17" t="n">
        <f aca="false">IF(D50=1,1-p_cb,1)</f>
        <v>1</v>
      </c>
      <c r="L50" s="17" t="n">
        <f aca="false">IF(C50=1,p_L,0)</f>
        <v>0.15</v>
      </c>
      <c r="M50" s="35" t="n">
        <f aca="false">SUMPRODUCT(w_ie1,1-(1-(j_row&lt;=I50)*K50^j_row)*(1-(j_row&lt;=J50)*L50^j_row))</f>
        <v>0.933333333333333</v>
      </c>
      <c r="N50" s="31" t="n">
        <f aca="false">occ_st*SUMPRODUCT(w_ie1,(j_row&lt;=I50)*K50^j_row*(j_row&lt;=J50)*L50^j_row*(((j_row*G50&lt;rset_s)+(j_row*tau_L_s&lt;rset_s))&gt;0)+(j_row&lt;=I50)*K50^j_row*(1-(j_row&lt;=J50)*L50^j_row)*(j_row*G50&lt;rset_s)+(1-(j_row&lt;=I50)*K50^j_row)*(j_row&lt;=J50)*L50^j_row*(j_row*tau_L_s&lt;rset_s))</f>
        <v>4.66666666666667</v>
      </c>
      <c r="O50" s="35" t="n">
        <f aca="false">IF(O$8&lt;N_st,(N_st-O$8)/N_st,0)*(1-(1-(O$8&lt;=I50)*K50^O$8)*(1-(O$8&lt;=J50)*L50^O$8))</f>
        <v>0.933333333333333</v>
      </c>
      <c r="P50" s="35" t="n">
        <f aca="false">IF(P$8&lt;N_st,(N_st-P$8)/N_st,0)*(1-(1-(P$8&lt;=I50)*K50^P$8)*(1-(P$8&lt;=J50)*L50^P$8))</f>
        <v>0</v>
      </c>
      <c r="Q50" s="35" t="n">
        <f aca="false">IF(Q$8&lt;N_st,(N_st-Q$8)/N_st,0)*(1-(1-(Q$8&lt;=I50)*K50^Q$8)*(1-(Q$8&lt;=J50)*L50^Q$8))</f>
        <v>0</v>
      </c>
      <c r="R50" s="35" t="n">
        <f aca="false">IF(R$8&lt;N_st,(N_st-R$8)/N_st,0)*(1-(1-(R$8&lt;=I50)*K50^R$8)*(1-(R$8&lt;=J50)*L50^R$8))</f>
        <v>0</v>
      </c>
      <c r="S50" s="35" t="n">
        <f aca="false">IF(S$8&lt;N_st,(N_st-S$8)/N_st,0)*(1-(1-(S$8&lt;=I50)*K50^S$8)*(1-(S$8&lt;=J50)*L50^S$8))</f>
        <v>0</v>
      </c>
      <c r="T50" s="35" t="n">
        <f aca="false">IF(T$8&lt;N_st,(N_st-T$8)/N_st,0)*(1-(1-(T$8&lt;=I50)*K50^T$8)*(1-(T$8&lt;=J50)*L50^T$8))</f>
        <v>0</v>
      </c>
      <c r="U50" s="35" t="n">
        <f aca="false">IF(U$8&lt;N_st,(N_st-U$8)/N_st,0)*(1-(1-(U$8&lt;=I50)*K50^U$8)*(1-(U$8&lt;=J50)*L50^U$8))</f>
        <v>0</v>
      </c>
      <c r="V50" s="35" t="n">
        <f aca="false">IF(V$8&lt;N_st,(N_st-V$8)/N_st,0)*(1-(1-(V$8&lt;=I50)*K50^V$8)*(1-(V$8&lt;=J50)*L50^V$8))</f>
        <v>0</v>
      </c>
      <c r="W50" s="35" t="n">
        <f aca="false">IF(W$8&lt;N_st,(N_st-W$8)/N_st,0)*(1-(1-(W$8&lt;=I50)*K50^W$8)*(1-(W$8&lt;=J50)*L50^W$8))</f>
        <v>0</v>
      </c>
      <c r="X50" s="35" t="n">
        <f aca="false">IF(X$8&lt;N_st,(N_st-X$8)/N_st,0)*(1-(1-(X$8&lt;=I50)*K50^X$8)*(1-(X$8&lt;=J50)*L50^X$8))</f>
        <v>0</v>
      </c>
      <c r="Y50" s="35" t="n">
        <f aca="false">IF(Y$8&lt;N_st,(N_st-Y$8)/N_st,0)*(1-(1-(Y$8&lt;=I50)*K50^Y$8)*(1-(Y$8&lt;=J50)*L50^Y$8))</f>
        <v>0</v>
      </c>
      <c r="Z50" s="35" t="n">
        <f aca="false">IF(Z$8&lt;N_st,(N_st-Z$8)/N_st,0)*(1-(1-(Z$8&lt;=I50)*K50^Z$8)*(1-(Z$8&lt;=J50)*L50^Z$8))</f>
        <v>0</v>
      </c>
      <c r="AA50" s="35" t="n">
        <f aca="false">IF(AA$8&lt;N_st,(N_st-AA$8)/N_st,0)*(1-(1-(AA$8&lt;=I50)*K50^AA$8)*(1-(AA$8&lt;=J50)*L50^AA$8))</f>
        <v>0</v>
      </c>
      <c r="AB50" s="35" t="n">
        <f aca="false">IF(AB$8&lt;N_st,(N_st-AB$8)/N_st,0)*(1-(1-(AB$8&lt;=I50)*K50^AB$8)*(1-(AB$8&lt;=J50)*L50^AB$8))</f>
        <v>0</v>
      </c>
      <c r="AC50" s="35" t="n">
        <f aca="false">IF(AC$8&lt;N_st,(N_st-AC$8)/N_st,0)*(1-(1-(AC$8&lt;=I50)*K50^AC$8)*(1-(AC$8&lt;=J50)*L50^AC$8))</f>
        <v>0</v>
      </c>
      <c r="AD50" s="35" t="n">
        <f aca="false">IF(AD$8&lt;N_st,(N_st-AD$8)/N_st,0)*(1-(1-(AD$8&lt;=I50)*K50^AD$8)*(1-(AD$8&lt;=J50)*L50^AD$8))</f>
        <v>0</v>
      </c>
      <c r="AE50" s="35" t="n">
        <f aca="false">IF(AE$8&lt;N_st,(N_st-AE$8)/N_st,0)*(1-(1-(AE$8&lt;=I50)*K50^AE$8)*(1-(AE$8&lt;=J50)*L50^AE$8))</f>
        <v>0</v>
      </c>
      <c r="AF50" s="35" t="n">
        <f aca="false">IF(AF$8&lt;N_st,(N_st-AF$8)/N_st,0)*(1-(1-(AF$8&lt;=I50)*K50^AF$8)*(1-(AF$8&lt;=J50)*L50^AF$8))</f>
        <v>0</v>
      </c>
      <c r="AG50" s="35" t="n">
        <f aca="false">IF(AG$8&lt;N_st,(N_st-AG$8)/N_st,0)*(1-(1-(AG$8&lt;=I50)*K50^AG$8)*(1-(AG$8&lt;=J50)*L50^AG$8))</f>
        <v>0</v>
      </c>
      <c r="AH50" s="35" t="n">
        <f aca="false">IF(AH$8&lt;N_st,(N_st-AH$8)/N_st,0)*(1-(1-(AH$8&lt;=I50)*K50^AH$8)*(1-(AH$8&lt;=J50)*L50^AH$8))</f>
        <v>0</v>
      </c>
    </row>
    <row r="51" customFormat="false" ht="15" hidden="false" customHeight="false" outlineLevel="0" collapsed="false">
      <c r="A51" s="24" t="s">
        <v>203</v>
      </c>
      <c r="B51" s="14" t="s">
        <v>182</v>
      </c>
      <c r="C51" s="14" t="n">
        <v>1</v>
      </c>
      <c r="D51" s="14" t="n">
        <v>0</v>
      </c>
      <c r="E51" s="14" t="n">
        <v>0</v>
      </c>
      <c r="F51" s="32" t="n">
        <f aca="false">(1/2_시험자료!$D$23)*(1-2_시험자료!$F$23)</f>
        <v>0.416666666666667</v>
      </c>
      <c r="G51" s="33" t="n">
        <f aca="false">2_시험자료!G12</f>
        <v>534</v>
      </c>
      <c r="H51" s="34" t="n">
        <f aca="false">IF(E51=1,1000000000,texp1_s)</f>
        <v>1200</v>
      </c>
      <c r="I51" s="14" t="n">
        <f aca="false">FLOOR(MIN(t_fs_s,H51)/G51,1)</f>
        <v>1</v>
      </c>
      <c r="J51" s="14" t="n">
        <f aca="false">IF(C51=1,FLOOR(t_fs_s/tau_L_s,1),0)</f>
        <v>1</v>
      </c>
      <c r="K51" s="17" t="n">
        <f aca="false">IF(D51=1,1-p_cb,1)</f>
        <v>1</v>
      </c>
      <c r="L51" s="17" t="n">
        <f aca="false">IF(C51=1,p_L,0)</f>
        <v>0.15</v>
      </c>
      <c r="M51" s="35" t="n">
        <f aca="false">SUMPRODUCT(w_ie1,1-(1-(j_row&lt;=I51)*K51^j_row)*(1-(j_row&lt;=J51)*L51^j_row))</f>
        <v>0.933333333333333</v>
      </c>
      <c r="N51" s="31" t="n">
        <f aca="false">occ_st*SUMPRODUCT(w_ie1,(j_row&lt;=I51)*K51^j_row*(j_row&lt;=J51)*L51^j_row*(((j_row*G51&lt;rset_s)+(j_row*tau_L_s&lt;rset_s))&gt;0)+(j_row&lt;=I51)*K51^j_row*(1-(j_row&lt;=J51)*L51^j_row)*(j_row*G51&lt;rset_s)+(1-(j_row&lt;=I51)*K51^j_row)*(j_row&lt;=J51)*L51^j_row*(j_row*tau_L_s&lt;rset_s))</f>
        <v>4.66666666666667</v>
      </c>
      <c r="O51" s="35" t="n">
        <f aca="false">IF(O$8&lt;N_st,(N_st-O$8)/N_st,0)*(1-(1-(O$8&lt;=I51)*K51^O$8)*(1-(O$8&lt;=J51)*L51^O$8))</f>
        <v>0.933333333333333</v>
      </c>
      <c r="P51" s="35" t="n">
        <f aca="false">IF(P$8&lt;N_st,(N_st-P$8)/N_st,0)*(1-(1-(P$8&lt;=I51)*K51^P$8)*(1-(P$8&lt;=J51)*L51^P$8))</f>
        <v>0</v>
      </c>
      <c r="Q51" s="35" t="n">
        <f aca="false">IF(Q$8&lt;N_st,(N_st-Q$8)/N_st,0)*(1-(1-(Q$8&lt;=I51)*K51^Q$8)*(1-(Q$8&lt;=J51)*L51^Q$8))</f>
        <v>0</v>
      </c>
      <c r="R51" s="35" t="n">
        <f aca="false">IF(R$8&lt;N_st,(N_st-R$8)/N_st,0)*(1-(1-(R$8&lt;=I51)*K51^R$8)*(1-(R$8&lt;=J51)*L51^R$8))</f>
        <v>0</v>
      </c>
      <c r="S51" s="35" t="n">
        <f aca="false">IF(S$8&lt;N_st,(N_st-S$8)/N_st,0)*(1-(1-(S$8&lt;=I51)*K51^S$8)*(1-(S$8&lt;=J51)*L51^S$8))</f>
        <v>0</v>
      </c>
      <c r="T51" s="35" t="n">
        <f aca="false">IF(T$8&lt;N_st,(N_st-T$8)/N_st,0)*(1-(1-(T$8&lt;=I51)*K51^T$8)*(1-(T$8&lt;=J51)*L51^T$8))</f>
        <v>0</v>
      </c>
      <c r="U51" s="35" t="n">
        <f aca="false">IF(U$8&lt;N_st,(N_st-U$8)/N_st,0)*(1-(1-(U$8&lt;=I51)*K51^U$8)*(1-(U$8&lt;=J51)*L51^U$8))</f>
        <v>0</v>
      </c>
      <c r="V51" s="35" t="n">
        <f aca="false">IF(V$8&lt;N_st,(N_st-V$8)/N_st,0)*(1-(1-(V$8&lt;=I51)*K51^V$8)*(1-(V$8&lt;=J51)*L51^V$8))</f>
        <v>0</v>
      </c>
      <c r="W51" s="35" t="n">
        <f aca="false">IF(W$8&lt;N_st,(N_st-W$8)/N_st,0)*(1-(1-(W$8&lt;=I51)*K51^W$8)*(1-(W$8&lt;=J51)*L51^W$8))</f>
        <v>0</v>
      </c>
      <c r="X51" s="35" t="n">
        <f aca="false">IF(X$8&lt;N_st,(N_st-X$8)/N_st,0)*(1-(1-(X$8&lt;=I51)*K51^X$8)*(1-(X$8&lt;=J51)*L51^X$8))</f>
        <v>0</v>
      </c>
      <c r="Y51" s="35" t="n">
        <f aca="false">IF(Y$8&lt;N_st,(N_st-Y$8)/N_st,0)*(1-(1-(Y$8&lt;=I51)*K51^Y$8)*(1-(Y$8&lt;=J51)*L51^Y$8))</f>
        <v>0</v>
      </c>
      <c r="Z51" s="35" t="n">
        <f aca="false">IF(Z$8&lt;N_st,(N_st-Z$8)/N_st,0)*(1-(1-(Z$8&lt;=I51)*K51^Z$8)*(1-(Z$8&lt;=J51)*L51^Z$8))</f>
        <v>0</v>
      </c>
      <c r="AA51" s="35" t="n">
        <f aca="false">IF(AA$8&lt;N_st,(N_st-AA$8)/N_st,0)*(1-(1-(AA$8&lt;=I51)*K51^AA$8)*(1-(AA$8&lt;=J51)*L51^AA$8))</f>
        <v>0</v>
      </c>
      <c r="AB51" s="35" t="n">
        <f aca="false">IF(AB$8&lt;N_st,(N_st-AB$8)/N_st,0)*(1-(1-(AB$8&lt;=I51)*K51^AB$8)*(1-(AB$8&lt;=J51)*L51^AB$8))</f>
        <v>0</v>
      </c>
      <c r="AC51" s="35" t="n">
        <f aca="false">IF(AC$8&lt;N_st,(N_st-AC$8)/N_st,0)*(1-(1-(AC$8&lt;=I51)*K51^AC$8)*(1-(AC$8&lt;=J51)*L51^AC$8))</f>
        <v>0</v>
      </c>
      <c r="AD51" s="35" t="n">
        <f aca="false">IF(AD$8&lt;N_st,(N_st-AD$8)/N_st,0)*(1-(1-(AD$8&lt;=I51)*K51^AD$8)*(1-(AD$8&lt;=J51)*L51^AD$8))</f>
        <v>0</v>
      </c>
      <c r="AE51" s="35" t="n">
        <f aca="false">IF(AE$8&lt;N_st,(N_st-AE$8)/N_st,0)*(1-(1-(AE$8&lt;=I51)*K51^AE$8)*(1-(AE$8&lt;=J51)*L51^AE$8))</f>
        <v>0</v>
      </c>
      <c r="AF51" s="35" t="n">
        <f aca="false">IF(AF$8&lt;N_st,(N_st-AF$8)/N_st,0)*(1-(1-(AF$8&lt;=I51)*K51^AF$8)*(1-(AF$8&lt;=J51)*L51^AF$8))</f>
        <v>0</v>
      </c>
      <c r="AG51" s="35" t="n">
        <f aca="false">IF(AG$8&lt;N_st,(N_st-AG$8)/N_st,0)*(1-(1-(AG$8&lt;=I51)*K51^AG$8)*(1-(AG$8&lt;=J51)*L51^AG$8))</f>
        <v>0</v>
      </c>
      <c r="AH51" s="35" t="n">
        <f aca="false">IF(AH$8&lt;N_st,(N_st-AH$8)/N_st,0)*(1-(1-(AH$8&lt;=I51)*K51^AH$8)*(1-(AH$8&lt;=J51)*L51^AH$8))</f>
        <v>0</v>
      </c>
    </row>
    <row r="52" customFormat="false" ht="15" hidden="false" customHeight="false" outlineLevel="0" collapsed="false">
      <c r="A52" s="24" t="s">
        <v>203</v>
      </c>
      <c r="B52" s="14" t="s">
        <v>182</v>
      </c>
      <c r="C52" s="14" t="n">
        <v>1</v>
      </c>
      <c r="D52" s="14" t="n">
        <v>1</v>
      </c>
      <c r="E52" s="14" t="n">
        <v>1</v>
      </c>
      <c r="F52" s="32" t="n">
        <f aca="false">(1/2_시험자료!$D$23)*2_시험자료!$F$23</f>
        <v>0.0833333333333333</v>
      </c>
      <c r="G52" s="33" t="n">
        <f aca="false">2_시험자료!G12</f>
        <v>534</v>
      </c>
      <c r="H52" s="34" t="n">
        <f aca="false">IF(E52=1,1000000000,texp1_s)</f>
        <v>1000000000</v>
      </c>
      <c r="I52" s="14" t="n">
        <f aca="false">FLOOR(MIN(t_fs_s,H52)/G52,1)</f>
        <v>1</v>
      </c>
      <c r="J52" s="14" t="n">
        <f aca="false">IF(C52=1,FLOOR(t_fs_s/tau_L_s,1),0)</f>
        <v>1</v>
      </c>
      <c r="K52" s="17" t="n">
        <f aca="false">IF(D52=1,1-p_cb,1)</f>
        <v>0.3</v>
      </c>
      <c r="L52" s="17" t="n">
        <f aca="false">IF(C52=1,p_L,0)</f>
        <v>0.15</v>
      </c>
      <c r="M52" s="35" t="n">
        <f aca="false">SUMPRODUCT(w_ie1,1-(1-(j_row&lt;=I52)*K52^j_row)*(1-(j_row&lt;=J52)*L52^j_row))</f>
        <v>0.378</v>
      </c>
      <c r="N52" s="31" t="n">
        <f aca="false">occ_st*SUMPRODUCT(w_ie1,(j_row&lt;=I52)*K52^j_row*(j_row&lt;=J52)*L52^j_row*(((j_row*G52&lt;rset_s)+(j_row*tau_L_s&lt;rset_s))&gt;0)+(j_row&lt;=I52)*K52^j_row*(1-(j_row&lt;=J52)*L52^j_row)*(j_row*G52&lt;rset_s)+(1-(j_row&lt;=I52)*K52^j_row)*(j_row&lt;=J52)*L52^j_row*(j_row*tau_L_s&lt;rset_s))</f>
        <v>1.89</v>
      </c>
      <c r="O52" s="35" t="n">
        <f aca="false">IF(O$8&lt;N_st,(N_st-O$8)/N_st,0)*(1-(1-(O$8&lt;=I52)*K52^O$8)*(1-(O$8&lt;=J52)*L52^O$8))</f>
        <v>0.378</v>
      </c>
      <c r="P52" s="35" t="n">
        <f aca="false">IF(P$8&lt;N_st,(N_st-P$8)/N_st,0)*(1-(1-(P$8&lt;=I52)*K52^P$8)*(1-(P$8&lt;=J52)*L52^P$8))</f>
        <v>0</v>
      </c>
      <c r="Q52" s="35" t="n">
        <f aca="false">IF(Q$8&lt;N_st,(N_st-Q$8)/N_st,0)*(1-(1-(Q$8&lt;=I52)*K52^Q$8)*(1-(Q$8&lt;=J52)*L52^Q$8))</f>
        <v>0</v>
      </c>
      <c r="R52" s="35" t="n">
        <f aca="false">IF(R$8&lt;N_st,(N_st-R$8)/N_st,0)*(1-(1-(R$8&lt;=I52)*K52^R$8)*(1-(R$8&lt;=J52)*L52^R$8))</f>
        <v>0</v>
      </c>
      <c r="S52" s="35" t="n">
        <f aca="false">IF(S$8&lt;N_st,(N_st-S$8)/N_st,0)*(1-(1-(S$8&lt;=I52)*K52^S$8)*(1-(S$8&lt;=J52)*L52^S$8))</f>
        <v>0</v>
      </c>
      <c r="T52" s="35" t="n">
        <f aca="false">IF(T$8&lt;N_st,(N_st-T$8)/N_st,0)*(1-(1-(T$8&lt;=I52)*K52^T$8)*(1-(T$8&lt;=J52)*L52^T$8))</f>
        <v>0</v>
      </c>
      <c r="U52" s="35" t="n">
        <f aca="false">IF(U$8&lt;N_st,(N_st-U$8)/N_st,0)*(1-(1-(U$8&lt;=I52)*K52^U$8)*(1-(U$8&lt;=J52)*L52^U$8))</f>
        <v>0</v>
      </c>
      <c r="V52" s="35" t="n">
        <f aca="false">IF(V$8&lt;N_st,(N_st-V$8)/N_st,0)*(1-(1-(V$8&lt;=I52)*K52^V$8)*(1-(V$8&lt;=J52)*L52^V$8))</f>
        <v>0</v>
      </c>
      <c r="W52" s="35" t="n">
        <f aca="false">IF(W$8&lt;N_st,(N_st-W$8)/N_st,0)*(1-(1-(W$8&lt;=I52)*K52^W$8)*(1-(W$8&lt;=J52)*L52^W$8))</f>
        <v>0</v>
      </c>
      <c r="X52" s="35" t="n">
        <f aca="false">IF(X$8&lt;N_st,(N_st-X$8)/N_st,0)*(1-(1-(X$8&lt;=I52)*K52^X$8)*(1-(X$8&lt;=J52)*L52^X$8))</f>
        <v>0</v>
      </c>
      <c r="Y52" s="35" t="n">
        <f aca="false">IF(Y$8&lt;N_st,(N_st-Y$8)/N_st,0)*(1-(1-(Y$8&lt;=I52)*K52^Y$8)*(1-(Y$8&lt;=J52)*L52^Y$8))</f>
        <v>0</v>
      </c>
      <c r="Z52" s="35" t="n">
        <f aca="false">IF(Z$8&lt;N_st,(N_st-Z$8)/N_st,0)*(1-(1-(Z$8&lt;=I52)*K52^Z$8)*(1-(Z$8&lt;=J52)*L52^Z$8))</f>
        <v>0</v>
      </c>
      <c r="AA52" s="35" t="n">
        <f aca="false">IF(AA$8&lt;N_st,(N_st-AA$8)/N_st,0)*(1-(1-(AA$8&lt;=I52)*K52^AA$8)*(1-(AA$8&lt;=J52)*L52^AA$8))</f>
        <v>0</v>
      </c>
      <c r="AB52" s="35" t="n">
        <f aca="false">IF(AB$8&lt;N_st,(N_st-AB$8)/N_st,0)*(1-(1-(AB$8&lt;=I52)*K52^AB$8)*(1-(AB$8&lt;=J52)*L52^AB$8))</f>
        <v>0</v>
      </c>
      <c r="AC52" s="35" t="n">
        <f aca="false">IF(AC$8&lt;N_st,(N_st-AC$8)/N_st,0)*(1-(1-(AC$8&lt;=I52)*K52^AC$8)*(1-(AC$8&lt;=J52)*L52^AC$8))</f>
        <v>0</v>
      </c>
      <c r="AD52" s="35" t="n">
        <f aca="false">IF(AD$8&lt;N_st,(N_st-AD$8)/N_st,0)*(1-(1-(AD$8&lt;=I52)*K52^AD$8)*(1-(AD$8&lt;=J52)*L52^AD$8))</f>
        <v>0</v>
      </c>
      <c r="AE52" s="35" t="n">
        <f aca="false">IF(AE$8&lt;N_st,(N_st-AE$8)/N_st,0)*(1-(1-(AE$8&lt;=I52)*K52^AE$8)*(1-(AE$8&lt;=J52)*L52^AE$8))</f>
        <v>0</v>
      </c>
      <c r="AF52" s="35" t="n">
        <f aca="false">IF(AF$8&lt;N_st,(N_st-AF$8)/N_st,0)*(1-(1-(AF$8&lt;=I52)*K52^AF$8)*(1-(AF$8&lt;=J52)*L52^AF$8))</f>
        <v>0</v>
      </c>
      <c r="AG52" s="35" t="n">
        <f aca="false">IF(AG$8&lt;N_st,(N_st-AG$8)/N_st,0)*(1-(1-(AG$8&lt;=I52)*K52^AG$8)*(1-(AG$8&lt;=J52)*L52^AG$8))</f>
        <v>0</v>
      </c>
      <c r="AH52" s="35" t="n">
        <f aca="false">IF(AH$8&lt;N_st,(N_st-AH$8)/N_st,0)*(1-(1-(AH$8&lt;=I52)*K52^AH$8)*(1-(AH$8&lt;=J52)*L52^AH$8))</f>
        <v>0</v>
      </c>
    </row>
    <row r="53" customFormat="false" ht="15" hidden="false" customHeight="false" outlineLevel="0" collapsed="false">
      <c r="A53" s="24" t="s">
        <v>203</v>
      </c>
      <c r="B53" s="14" t="s">
        <v>182</v>
      </c>
      <c r="C53" s="14" t="n">
        <v>1</v>
      </c>
      <c r="D53" s="14" t="n">
        <v>1</v>
      </c>
      <c r="E53" s="14" t="n">
        <v>0</v>
      </c>
      <c r="F53" s="32" t="n">
        <f aca="false">(1/2_시험자료!$D$23)*(1-2_시험자료!$F$23)</f>
        <v>0.416666666666667</v>
      </c>
      <c r="G53" s="33" t="n">
        <f aca="false">2_시험자료!G12</f>
        <v>534</v>
      </c>
      <c r="H53" s="34" t="n">
        <f aca="false">IF(E53=1,1000000000,texp1_s)</f>
        <v>1200</v>
      </c>
      <c r="I53" s="14" t="n">
        <f aca="false">FLOOR(MIN(t_fs_s,H53)/G53,1)</f>
        <v>1</v>
      </c>
      <c r="J53" s="14" t="n">
        <f aca="false">IF(C53=1,FLOOR(t_fs_s/tau_L_s,1),0)</f>
        <v>1</v>
      </c>
      <c r="K53" s="17" t="n">
        <f aca="false">IF(D53=1,1-p_cb,1)</f>
        <v>0.3</v>
      </c>
      <c r="L53" s="17" t="n">
        <f aca="false">IF(C53=1,p_L,0)</f>
        <v>0.15</v>
      </c>
      <c r="M53" s="35" t="n">
        <f aca="false">SUMPRODUCT(w_ie1,1-(1-(j_row&lt;=I53)*K53^j_row)*(1-(j_row&lt;=J53)*L53^j_row))</f>
        <v>0.378</v>
      </c>
      <c r="N53" s="31" t="n">
        <f aca="false">occ_st*SUMPRODUCT(w_ie1,(j_row&lt;=I53)*K53^j_row*(j_row&lt;=J53)*L53^j_row*(((j_row*G53&lt;rset_s)+(j_row*tau_L_s&lt;rset_s))&gt;0)+(j_row&lt;=I53)*K53^j_row*(1-(j_row&lt;=J53)*L53^j_row)*(j_row*G53&lt;rset_s)+(1-(j_row&lt;=I53)*K53^j_row)*(j_row&lt;=J53)*L53^j_row*(j_row*tau_L_s&lt;rset_s))</f>
        <v>1.89</v>
      </c>
      <c r="O53" s="35" t="n">
        <f aca="false">IF(O$8&lt;N_st,(N_st-O$8)/N_st,0)*(1-(1-(O$8&lt;=I53)*K53^O$8)*(1-(O$8&lt;=J53)*L53^O$8))</f>
        <v>0.378</v>
      </c>
      <c r="P53" s="35" t="n">
        <f aca="false">IF(P$8&lt;N_st,(N_st-P$8)/N_st,0)*(1-(1-(P$8&lt;=I53)*K53^P$8)*(1-(P$8&lt;=J53)*L53^P$8))</f>
        <v>0</v>
      </c>
      <c r="Q53" s="35" t="n">
        <f aca="false">IF(Q$8&lt;N_st,(N_st-Q$8)/N_st,0)*(1-(1-(Q$8&lt;=I53)*K53^Q$8)*(1-(Q$8&lt;=J53)*L53^Q$8))</f>
        <v>0</v>
      </c>
      <c r="R53" s="35" t="n">
        <f aca="false">IF(R$8&lt;N_st,(N_st-R$8)/N_st,0)*(1-(1-(R$8&lt;=I53)*K53^R$8)*(1-(R$8&lt;=J53)*L53^R$8))</f>
        <v>0</v>
      </c>
      <c r="S53" s="35" t="n">
        <f aca="false">IF(S$8&lt;N_st,(N_st-S$8)/N_st,0)*(1-(1-(S$8&lt;=I53)*K53^S$8)*(1-(S$8&lt;=J53)*L53^S$8))</f>
        <v>0</v>
      </c>
      <c r="T53" s="35" t="n">
        <f aca="false">IF(T$8&lt;N_st,(N_st-T$8)/N_st,0)*(1-(1-(T$8&lt;=I53)*K53^T$8)*(1-(T$8&lt;=J53)*L53^T$8))</f>
        <v>0</v>
      </c>
      <c r="U53" s="35" t="n">
        <f aca="false">IF(U$8&lt;N_st,(N_st-U$8)/N_st,0)*(1-(1-(U$8&lt;=I53)*K53^U$8)*(1-(U$8&lt;=J53)*L53^U$8))</f>
        <v>0</v>
      </c>
      <c r="V53" s="35" t="n">
        <f aca="false">IF(V$8&lt;N_st,(N_st-V$8)/N_st,0)*(1-(1-(V$8&lt;=I53)*K53^V$8)*(1-(V$8&lt;=J53)*L53^V$8))</f>
        <v>0</v>
      </c>
      <c r="W53" s="35" t="n">
        <f aca="false">IF(W$8&lt;N_st,(N_st-W$8)/N_st,0)*(1-(1-(W$8&lt;=I53)*K53^W$8)*(1-(W$8&lt;=J53)*L53^W$8))</f>
        <v>0</v>
      </c>
      <c r="X53" s="35" t="n">
        <f aca="false">IF(X$8&lt;N_st,(N_st-X$8)/N_st,0)*(1-(1-(X$8&lt;=I53)*K53^X$8)*(1-(X$8&lt;=J53)*L53^X$8))</f>
        <v>0</v>
      </c>
      <c r="Y53" s="35" t="n">
        <f aca="false">IF(Y$8&lt;N_st,(N_st-Y$8)/N_st,0)*(1-(1-(Y$8&lt;=I53)*K53^Y$8)*(1-(Y$8&lt;=J53)*L53^Y$8))</f>
        <v>0</v>
      </c>
      <c r="Z53" s="35" t="n">
        <f aca="false">IF(Z$8&lt;N_st,(N_st-Z$8)/N_st,0)*(1-(1-(Z$8&lt;=I53)*K53^Z$8)*(1-(Z$8&lt;=J53)*L53^Z$8))</f>
        <v>0</v>
      </c>
      <c r="AA53" s="35" t="n">
        <f aca="false">IF(AA$8&lt;N_st,(N_st-AA$8)/N_st,0)*(1-(1-(AA$8&lt;=I53)*K53^AA$8)*(1-(AA$8&lt;=J53)*L53^AA$8))</f>
        <v>0</v>
      </c>
      <c r="AB53" s="35" t="n">
        <f aca="false">IF(AB$8&lt;N_st,(N_st-AB$8)/N_st,0)*(1-(1-(AB$8&lt;=I53)*K53^AB$8)*(1-(AB$8&lt;=J53)*L53^AB$8))</f>
        <v>0</v>
      </c>
      <c r="AC53" s="35" t="n">
        <f aca="false">IF(AC$8&lt;N_st,(N_st-AC$8)/N_st,0)*(1-(1-(AC$8&lt;=I53)*K53^AC$8)*(1-(AC$8&lt;=J53)*L53^AC$8))</f>
        <v>0</v>
      </c>
      <c r="AD53" s="35" t="n">
        <f aca="false">IF(AD$8&lt;N_st,(N_st-AD$8)/N_st,0)*(1-(1-(AD$8&lt;=I53)*K53^AD$8)*(1-(AD$8&lt;=J53)*L53^AD$8))</f>
        <v>0</v>
      </c>
      <c r="AE53" s="35" t="n">
        <f aca="false">IF(AE$8&lt;N_st,(N_st-AE$8)/N_st,0)*(1-(1-(AE$8&lt;=I53)*K53^AE$8)*(1-(AE$8&lt;=J53)*L53^AE$8))</f>
        <v>0</v>
      </c>
      <c r="AF53" s="35" t="n">
        <f aca="false">IF(AF$8&lt;N_st,(N_st-AF$8)/N_st,0)*(1-(1-(AF$8&lt;=I53)*K53^AF$8)*(1-(AF$8&lt;=J53)*L53^AF$8))</f>
        <v>0</v>
      </c>
      <c r="AG53" s="35" t="n">
        <f aca="false">IF(AG$8&lt;N_st,(N_st-AG$8)/N_st,0)*(1-(1-(AG$8&lt;=I53)*K53^AG$8)*(1-(AG$8&lt;=J53)*L53^AG$8))</f>
        <v>0</v>
      </c>
      <c r="AH53" s="35" t="n">
        <f aca="false">IF(AH$8&lt;N_st,(N_st-AH$8)/N_st,0)*(1-(1-(AH$8&lt;=I53)*K53^AH$8)*(1-(AH$8&lt;=J53)*L53^AH$8))</f>
        <v>0</v>
      </c>
    </row>
    <row r="54" customFormat="false" ht="15" hidden="false" customHeight="false" outlineLevel="0" collapsed="false">
      <c r="A54" s="24" t="s">
        <v>203</v>
      </c>
      <c r="B54" s="14" t="s">
        <v>182</v>
      </c>
      <c r="C54" s="14" t="n">
        <v>2</v>
      </c>
      <c r="D54" s="14" t="n">
        <v>0</v>
      </c>
      <c r="E54" s="14" t="n">
        <v>1</v>
      </c>
      <c r="F54" s="32" t="n">
        <f aca="false">(1/2_시험자료!$D$23)*2_시험자료!$F$23</f>
        <v>0.0833333333333333</v>
      </c>
      <c r="G54" s="33" t="n">
        <f aca="false">2_시험자료!G12</f>
        <v>534</v>
      </c>
      <c r="H54" s="34" t="n">
        <f aca="false">IF(E54=1,1000000000,texp2_s)</f>
        <v>1000000000</v>
      </c>
      <c r="I54" s="14" t="n">
        <f aca="false">FLOOR(MIN(t_fs_s,H54)/G54,1)</f>
        <v>1</v>
      </c>
      <c r="J54" s="14" t="n">
        <f aca="false">IF(C54=1,FLOOR(t_fs_s/tau_L_s,1),0)</f>
        <v>0</v>
      </c>
      <c r="K54" s="17" t="n">
        <f aca="false">IF(D54=1,1-p_cb,1)</f>
        <v>1</v>
      </c>
      <c r="L54" s="17" t="n">
        <f aca="false">IF(C54=1,p_L,0)</f>
        <v>0</v>
      </c>
      <c r="M54" s="35" t="n">
        <f aca="false">SUMPRODUCT(w_ie2,1-(1-(j_row&lt;=I54)*K54^j_row)*(1-(j_row&lt;=J54)*L54^j_row))</f>
        <v>1</v>
      </c>
      <c r="N54" s="31" t="n">
        <f aca="false">occ_st*SUMPRODUCT(w_ie2,(j_row&lt;=I54)*K54^j_row*(j_row&lt;=J54)*L54^j_row*(((j_row*G54&lt;rset_s)+(j_row*tau_L_s&lt;rset_s))&gt;0)+(j_row&lt;=I54)*K54^j_row*(1-(j_row&lt;=J54)*L54^j_row)*(j_row*G54&lt;rset_s)+(1-(j_row&lt;=I54)*K54^j_row)*(j_row&lt;=J54)*L54^j_row*(j_row*tau_L_s&lt;rset_s))</f>
        <v>5</v>
      </c>
      <c r="O54" s="35" t="n">
        <f aca="false">IF(O$8&lt;N_st,1,0)*(1-(1-(O$8&lt;=I54)*K54^O$8)*(1-(O$8&lt;=J54)*L54^O$8))</f>
        <v>1</v>
      </c>
      <c r="P54" s="35" t="n">
        <f aca="false">IF(P$8&lt;N_st,1,0)*(1-(1-(P$8&lt;=I54)*K54^P$8)*(1-(P$8&lt;=J54)*L54^P$8))</f>
        <v>0</v>
      </c>
      <c r="Q54" s="35" t="n">
        <f aca="false">IF(Q$8&lt;N_st,1,0)*(1-(1-(Q$8&lt;=I54)*K54^Q$8)*(1-(Q$8&lt;=J54)*L54^Q$8))</f>
        <v>0</v>
      </c>
      <c r="R54" s="35" t="n">
        <f aca="false">IF(R$8&lt;N_st,1,0)*(1-(1-(R$8&lt;=I54)*K54^R$8)*(1-(R$8&lt;=J54)*L54^R$8))</f>
        <v>0</v>
      </c>
      <c r="S54" s="35" t="n">
        <f aca="false">IF(S$8&lt;N_st,1,0)*(1-(1-(S$8&lt;=I54)*K54^S$8)*(1-(S$8&lt;=J54)*L54^S$8))</f>
        <v>0</v>
      </c>
      <c r="T54" s="35" t="n">
        <f aca="false">IF(T$8&lt;N_st,1,0)*(1-(1-(T$8&lt;=I54)*K54^T$8)*(1-(T$8&lt;=J54)*L54^T$8))</f>
        <v>0</v>
      </c>
      <c r="U54" s="35" t="n">
        <f aca="false">IF(U$8&lt;N_st,1,0)*(1-(1-(U$8&lt;=I54)*K54^U$8)*(1-(U$8&lt;=J54)*L54^U$8))</f>
        <v>0</v>
      </c>
      <c r="V54" s="35" t="n">
        <f aca="false">IF(V$8&lt;N_st,1,0)*(1-(1-(V$8&lt;=I54)*K54^V$8)*(1-(V$8&lt;=J54)*L54^V$8))</f>
        <v>0</v>
      </c>
      <c r="W54" s="35" t="n">
        <f aca="false">IF(W$8&lt;N_st,1,0)*(1-(1-(W$8&lt;=I54)*K54^W$8)*(1-(W$8&lt;=J54)*L54^W$8))</f>
        <v>0</v>
      </c>
      <c r="X54" s="35" t="n">
        <f aca="false">IF(X$8&lt;N_st,1,0)*(1-(1-(X$8&lt;=I54)*K54^X$8)*(1-(X$8&lt;=J54)*L54^X$8))</f>
        <v>0</v>
      </c>
      <c r="Y54" s="35" t="n">
        <f aca="false">IF(Y$8&lt;N_st,1,0)*(1-(1-(Y$8&lt;=I54)*K54^Y$8)*(1-(Y$8&lt;=J54)*L54^Y$8))</f>
        <v>0</v>
      </c>
      <c r="Z54" s="35" t="n">
        <f aca="false">IF(Z$8&lt;N_st,1,0)*(1-(1-(Z$8&lt;=I54)*K54^Z$8)*(1-(Z$8&lt;=J54)*L54^Z$8))</f>
        <v>0</v>
      </c>
      <c r="AA54" s="35" t="n">
        <f aca="false">IF(AA$8&lt;N_st,1,0)*(1-(1-(AA$8&lt;=I54)*K54^AA$8)*(1-(AA$8&lt;=J54)*L54^AA$8))</f>
        <v>0</v>
      </c>
      <c r="AB54" s="35" t="n">
        <f aca="false">IF(AB$8&lt;N_st,1,0)*(1-(1-(AB$8&lt;=I54)*K54^AB$8)*(1-(AB$8&lt;=J54)*L54^AB$8))</f>
        <v>0</v>
      </c>
      <c r="AC54" s="35" t="n">
        <f aca="false">IF(AC$8&lt;N_st,1,0)*(1-(1-(AC$8&lt;=I54)*K54^AC$8)*(1-(AC$8&lt;=J54)*L54^AC$8))</f>
        <v>0</v>
      </c>
      <c r="AD54" s="35" t="n">
        <f aca="false">IF(AD$8&lt;N_st,1,0)*(1-(1-(AD$8&lt;=I54)*K54^AD$8)*(1-(AD$8&lt;=J54)*L54^AD$8))</f>
        <v>0</v>
      </c>
      <c r="AE54" s="35" t="n">
        <f aca="false">IF(AE$8&lt;N_st,1,0)*(1-(1-(AE$8&lt;=I54)*K54^AE$8)*(1-(AE$8&lt;=J54)*L54^AE$8))</f>
        <v>0</v>
      </c>
      <c r="AF54" s="35" t="n">
        <f aca="false">IF(AF$8&lt;N_st,1,0)*(1-(1-(AF$8&lt;=I54)*K54^AF$8)*(1-(AF$8&lt;=J54)*L54^AF$8))</f>
        <v>0</v>
      </c>
      <c r="AG54" s="35" t="n">
        <f aca="false">IF(AG$8&lt;N_st,1,0)*(1-(1-(AG$8&lt;=I54)*K54^AG$8)*(1-(AG$8&lt;=J54)*L54^AG$8))</f>
        <v>0</v>
      </c>
      <c r="AH54" s="35" t="n">
        <f aca="false">IF(AH$8&lt;N_st,1,0)*(1-(1-(AH$8&lt;=I54)*K54^AH$8)*(1-(AH$8&lt;=J54)*L54^AH$8))</f>
        <v>0</v>
      </c>
    </row>
    <row r="55" customFormat="false" ht="15" hidden="false" customHeight="false" outlineLevel="0" collapsed="false">
      <c r="A55" s="24" t="s">
        <v>203</v>
      </c>
      <c r="B55" s="14" t="s">
        <v>182</v>
      </c>
      <c r="C55" s="14" t="n">
        <v>2</v>
      </c>
      <c r="D55" s="14" t="n">
        <v>0</v>
      </c>
      <c r="E55" s="14" t="n">
        <v>0</v>
      </c>
      <c r="F55" s="32" t="n">
        <f aca="false">(1/2_시험자료!$D$23)*(1-2_시험자료!$F$23)</f>
        <v>0.416666666666667</v>
      </c>
      <c r="G55" s="33" t="n">
        <f aca="false">2_시험자료!G12</f>
        <v>534</v>
      </c>
      <c r="H55" s="34" t="n">
        <f aca="false">IF(E55=1,1000000000,texp2_s)</f>
        <v>750</v>
      </c>
      <c r="I55" s="14" t="n">
        <f aca="false">FLOOR(MIN(t_fs_s,H55)/G55,1)</f>
        <v>1</v>
      </c>
      <c r="J55" s="14" t="n">
        <f aca="false">IF(C55=1,FLOOR(t_fs_s/tau_L_s,1),0)</f>
        <v>0</v>
      </c>
      <c r="K55" s="17" t="n">
        <f aca="false">IF(D55=1,1-p_cb,1)</f>
        <v>1</v>
      </c>
      <c r="L55" s="17" t="n">
        <f aca="false">IF(C55=1,p_L,0)</f>
        <v>0</v>
      </c>
      <c r="M55" s="35" t="n">
        <f aca="false">SUMPRODUCT(w_ie2,1-(1-(j_row&lt;=I55)*K55^j_row)*(1-(j_row&lt;=J55)*L55^j_row))</f>
        <v>1</v>
      </c>
      <c r="N55" s="31" t="n">
        <f aca="false">occ_st*SUMPRODUCT(w_ie2,(j_row&lt;=I55)*K55^j_row*(j_row&lt;=J55)*L55^j_row*(((j_row*G55&lt;rset_s)+(j_row*tau_L_s&lt;rset_s))&gt;0)+(j_row&lt;=I55)*K55^j_row*(1-(j_row&lt;=J55)*L55^j_row)*(j_row*G55&lt;rset_s)+(1-(j_row&lt;=I55)*K55^j_row)*(j_row&lt;=J55)*L55^j_row*(j_row*tau_L_s&lt;rset_s))</f>
        <v>5</v>
      </c>
      <c r="O55" s="35" t="n">
        <f aca="false">IF(O$8&lt;N_st,1,0)*(1-(1-(O$8&lt;=I55)*K55^O$8)*(1-(O$8&lt;=J55)*L55^O$8))</f>
        <v>1</v>
      </c>
      <c r="P55" s="35" t="n">
        <f aca="false">IF(P$8&lt;N_st,1,0)*(1-(1-(P$8&lt;=I55)*K55^P$8)*(1-(P$8&lt;=J55)*L55^P$8))</f>
        <v>0</v>
      </c>
      <c r="Q55" s="35" t="n">
        <f aca="false">IF(Q$8&lt;N_st,1,0)*(1-(1-(Q$8&lt;=I55)*K55^Q$8)*(1-(Q$8&lt;=J55)*L55^Q$8))</f>
        <v>0</v>
      </c>
      <c r="R55" s="35" t="n">
        <f aca="false">IF(R$8&lt;N_st,1,0)*(1-(1-(R$8&lt;=I55)*K55^R$8)*(1-(R$8&lt;=J55)*L55^R$8))</f>
        <v>0</v>
      </c>
      <c r="S55" s="35" t="n">
        <f aca="false">IF(S$8&lt;N_st,1,0)*(1-(1-(S$8&lt;=I55)*K55^S$8)*(1-(S$8&lt;=J55)*L55^S$8))</f>
        <v>0</v>
      </c>
      <c r="T55" s="35" t="n">
        <f aca="false">IF(T$8&lt;N_st,1,0)*(1-(1-(T$8&lt;=I55)*K55^T$8)*(1-(T$8&lt;=J55)*L55^T$8))</f>
        <v>0</v>
      </c>
      <c r="U55" s="35" t="n">
        <f aca="false">IF(U$8&lt;N_st,1,0)*(1-(1-(U$8&lt;=I55)*K55^U$8)*(1-(U$8&lt;=J55)*L55^U$8))</f>
        <v>0</v>
      </c>
      <c r="V55" s="35" t="n">
        <f aca="false">IF(V$8&lt;N_st,1,0)*(1-(1-(V$8&lt;=I55)*K55^V$8)*(1-(V$8&lt;=J55)*L55^V$8))</f>
        <v>0</v>
      </c>
      <c r="W55" s="35" t="n">
        <f aca="false">IF(W$8&lt;N_st,1,0)*(1-(1-(W$8&lt;=I55)*K55^W$8)*(1-(W$8&lt;=J55)*L55^W$8))</f>
        <v>0</v>
      </c>
      <c r="X55" s="35" t="n">
        <f aca="false">IF(X$8&lt;N_st,1,0)*(1-(1-(X$8&lt;=I55)*K55^X$8)*(1-(X$8&lt;=J55)*L55^X$8))</f>
        <v>0</v>
      </c>
      <c r="Y55" s="35" t="n">
        <f aca="false">IF(Y$8&lt;N_st,1,0)*(1-(1-(Y$8&lt;=I55)*K55^Y$8)*(1-(Y$8&lt;=J55)*L55^Y$8))</f>
        <v>0</v>
      </c>
      <c r="Z55" s="35" t="n">
        <f aca="false">IF(Z$8&lt;N_st,1,0)*(1-(1-(Z$8&lt;=I55)*K55^Z$8)*(1-(Z$8&lt;=J55)*L55^Z$8))</f>
        <v>0</v>
      </c>
      <c r="AA55" s="35" t="n">
        <f aca="false">IF(AA$8&lt;N_st,1,0)*(1-(1-(AA$8&lt;=I55)*K55^AA$8)*(1-(AA$8&lt;=J55)*L55^AA$8))</f>
        <v>0</v>
      </c>
      <c r="AB55" s="35" t="n">
        <f aca="false">IF(AB$8&lt;N_st,1,0)*(1-(1-(AB$8&lt;=I55)*K55^AB$8)*(1-(AB$8&lt;=J55)*L55^AB$8))</f>
        <v>0</v>
      </c>
      <c r="AC55" s="35" t="n">
        <f aca="false">IF(AC$8&lt;N_st,1,0)*(1-(1-(AC$8&lt;=I55)*K55^AC$8)*(1-(AC$8&lt;=J55)*L55^AC$8))</f>
        <v>0</v>
      </c>
      <c r="AD55" s="35" t="n">
        <f aca="false">IF(AD$8&lt;N_st,1,0)*(1-(1-(AD$8&lt;=I55)*K55^AD$8)*(1-(AD$8&lt;=J55)*L55^AD$8))</f>
        <v>0</v>
      </c>
      <c r="AE55" s="35" t="n">
        <f aca="false">IF(AE$8&lt;N_st,1,0)*(1-(1-(AE$8&lt;=I55)*K55^AE$8)*(1-(AE$8&lt;=J55)*L55^AE$8))</f>
        <v>0</v>
      </c>
      <c r="AF55" s="35" t="n">
        <f aca="false">IF(AF$8&lt;N_st,1,0)*(1-(1-(AF$8&lt;=I55)*K55^AF$8)*(1-(AF$8&lt;=J55)*L55^AF$8))</f>
        <v>0</v>
      </c>
      <c r="AG55" s="35" t="n">
        <f aca="false">IF(AG$8&lt;N_st,1,0)*(1-(1-(AG$8&lt;=I55)*K55^AG$8)*(1-(AG$8&lt;=J55)*L55^AG$8))</f>
        <v>0</v>
      </c>
      <c r="AH55" s="35" t="n">
        <f aca="false">IF(AH$8&lt;N_st,1,0)*(1-(1-(AH$8&lt;=I55)*K55^AH$8)*(1-(AH$8&lt;=J55)*L55^AH$8))</f>
        <v>0</v>
      </c>
    </row>
    <row r="56" customFormat="false" ht="15" hidden="false" customHeight="false" outlineLevel="0" collapsed="false">
      <c r="A56" s="24" t="s">
        <v>203</v>
      </c>
      <c r="B56" s="14" t="s">
        <v>182</v>
      </c>
      <c r="C56" s="14" t="n">
        <v>2</v>
      </c>
      <c r="D56" s="14" t="n">
        <v>1</v>
      </c>
      <c r="E56" s="14" t="n">
        <v>1</v>
      </c>
      <c r="F56" s="32" t="n">
        <f aca="false">(1/2_시험자료!$D$23)*2_시험자료!$F$23</f>
        <v>0.0833333333333333</v>
      </c>
      <c r="G56" s="33" t="n">
        <f aca="false">2_시험자료!G12</f>
        <v>534</v>
      </c>
      <c r="H56" s="34" t="n">
        <f aca="false">IF(E56=1,1000000000,texp2_s)</f>
        <v>1000000000</v>
      </c>
      <c r="I56" s="14" t="n">
        <f aca="false">FLOOR(MIN(t_fs_s,H56)/G56,1)</f>
        <v>1</v>
      </c>
      <c r="J56" s="14" t="n">
        <f aca="false">IF(C56=1,FLOOR(t_fs_s/tau_L_s,1),0)</f>
        <v>0</v>
      </c>
      <c r="K56" s="17" t="n">
        <f aca="false">IF(D56=1,1-p_cb,1)</f>
        <v>0.3</v>
      </c>
      <c r="L56" s="17" t="n">
        <f aca="false">IF(C56=1,p_L,0)</f>
        <v>0</v>
      </c>
      <c r="M56" s="35" t="n">
        <f aca="false">SUMPRODUCT(w_ie2,1-(1-(j_row&lt;=I56)*K56^j_row)*(1-(j_row&lt;=J56)*L56^j_row))</f>
        <v>0.3</v>
      </c>
      <c r="N56" s="31" t="n">
        <f aca="false">occ_st*SUMPRODUCT(w_ie2,(j_row&lt;=I56)*K56^j_row*(j_row&lt;=J56)*L56^j_row*(((j_row*G56&lt;rset_s)+(j_row*tau_L_s&lt;rset_s))&gt;0)+(j_row&lt;=I56)*K56^j_row*(1-(j_row&lt;=J56)*L56^j_row)*(j_row*G56&lt;rset_s)+(1-(j_row&lt;=I56)*K56^j_row)*(j_row&lt;=J56)*L56^j_row*(j_row*tau_L_s&lt;rset_s))</f>
        <v>1.5</v>
      </c>
      <c r="O56" s="35" t="n">
        <f aca="false">IF(O$8&lt;N_st,1,0)*(1-(1-(O$8&lt;=I56)*K56^O$8)*(1-(O$8&lt;=J56)*L56^O$8))</f>
        <v>0.3</v>
      </c>
      <c r="P56" s="35" t="n">
        <f aca="false">IF(P$8&lt;N_st,1,0)*(1-(1-(P$8&lt;=I56)*K56^P$8)*(1-(P$8&lt;=J56)*L56^P$8))</f>
        <v>0</v>
      </c>
      <c r="Q56" s="35" t="n">
        <f aca="false">IF(Q$8&lt;N_st,1,0)*(1-(1-(Q$8&lt;=I56)*K56^Q$8)*(1-(Q$8&lt;=J56)*L56^Q$8))</f>
        <v>0</v>
      </c>
      <c r="R56" s="35" t="n">
        <f aca="false">IF(R$8&lt;N_st,1,0)*(1-(1-(R$8&lt;=I56)*K56^R$8)*(1-(R$8&lt;=J56)*L56^R$8))</f>
        <v>0</v>
      </c>
      <c r="S56" s="35" t="n">
        <f aca="false">IF(S$8&lt;N_st,1,0)*(1-(1-(S$8&lt;=I56)*K56^S$8)*(1-(S$8&lt;=J56)*L56^S$8))</f>
        <v>0</v>
      </c>
      <c r="T56" s="35" t="n">
        <f aca="false">IF(T$8&lt;N_st,1,0)*(1-(1-(T$8&lt;=I56)*K56^T$8)*(1-(T$8&lt;=J56)*L56^T$8))</f>
        <v>0</v>
      </c>
      <c r="U56" s="35" t="n">
        <f aca="false">IF(U$8&lt;N_st,1,0)*(1-(1-(U$8&lt;=I56)*K56^U$8)*(1-(U$8&lt;=J56)*L56^U$8))</f>
        <v>0</v>
      </c>
      <c r="V56" s="35" t="n">
        <f aca="false">IF(V$8&lt;N_st,1,0)*(1-(1-(V$8&lt;=I56)*K56^V$8)*(1-(V$8&lt;=J56)*L56^V$8))</f>
        <v>0</v>
      </c>
      <c r="W56" s="35" t="n">
        <f aca="false">IF(W$8&lt;N_st,1,0)*(1-(1-(W$8&lt;=I56)*K56^W$8)*(1-(W$8&lt;=J56)*L56^W$8))</f>
        <v>0</v>
      </c>
      <c r="X56" s="35" t="n">
        <f aca="false">IF(X$8&lt;N_st,1,0)*(1-(1-(X$8&lt;=I56)*K56^X$8)*(1-(X$8&lt;=J56)*L56^X$8))</f>
        <v>0</v>
      </c>
      <c r="Y56" s="35" t="n">
        <f aca="false">IF(Y$8&lt;N_st,1,0)*(1-(1-(Y$8&lt;=I56)*K56^Y$8)*(1-(Y$8&lt;=J56)*L56^Y$8))</f>
        <v>0</v>
      </c>
      <c r="Z56" s="35" t="n">
        <f aca="false">IF(Z$8&lt;N_st,1,0)*(1-(1-(Z$8&lt;=I56)*K56^Z$8)*(1-(Z$8&lt;=J56)*L56^Z$8))</f>
        <v>0</v>
      </c>
      <c r="AA56" s="35" t="n">
        <f aca="false">IF(AA$8&lt;N_st,1,0)*(1-(1-(AA$8&lt;=I56)*K56^AA$8)*(1-(AA$8&lt;=J56)*L56^AA$8))</f>
        <v>0</v>
      </c>
      <c r="AB56" s="35" t="n">
        <f aca="false">IF(AB$8&lt;N_st,1,0)*(1-(1-(AB$8&lt;=I56)*K56^AB$8)*(1-(AB$8&lt;=J56)*L56^AB$8))</f>
        <v>0</v>
      </c>
      <c r="AC56" s="35" t="n">
        <f aca="false">IF(AC$8&lt;N_st,1,0)*(1-(1-(AC$8&lt;=I56)*K56^AC$8)*(1-(AC$8&lt;=J56)*L56^AC$8))</f>
        <v>0</v>
      </c>
      <c r="AD56" s="35" t="n">
        <f aca="false">IF(AD$8&lt;N_st,1,0)*(1-(1-(AD$8&lt;=I56)*K56^AD$8)*(1-(AD$8&lt;=J56)*L56^AD$8))</f>
        <v>0</v>
      </c>
      <c r="AE56" s="35" t="n">
        <f aca="false">IF(AE$8&lt;N_st,1,0)*(1-(1-(AE$8&lt;=I56)*K56^AE$8)*(1-(AE$8&lt;=J56)*L56^AE$8))</f>
        <v>0</v>
      </c>
      <c r="AF56" s="35" t="n">
        <f aca="false">IF(AF$8&lt;N_st,1,0)*(1-(1-(AF$8&lt;=I56)*K56^AF$8)*(1-(AF$8&lt;=J56)*L56^AF$8))</f>
        <v>0</v>
      </c>
      <c r="AG56" s="35" t="n">
        <f aca="false">IF(AG$8&lt;N_st,1,0)*(1-(1-(AG$8&lt;=I56)*K56^AG$8)*(1-(AG$8&lt;=J56)*L56^AG$8))</f>
        <v>0</v>
      </c>
      <c r="AH56" s="35" t="n">
        <f aca="false">IF(AH$8&lt;N_st,1,0)*(1-(1-(AH$8&lt;=I56)*K56^AH$8)*(1-(AH$8&lt;=J56)*L56^AH$8))</f>
        <v>0</v>
      </c>
    </row>
    <row r="57" customFormat="false" ht="15" hidden="false" customHeight="false" outlineLevel="0" collapsed="false">
      <c r="A57" s="24" t="s">
        <v>203</v>
      </c>
      <c r="B57" s="14" t="s">
        <v>182</v>
      </c>
      <c r="C57" s="14" t="n">
        <v>2</v>
      </c>
      <c r="D57" s="14" t="n">
        <v>1</v>
      </c>
      <c r="E57" s="14" t="n">
        <v>0</v>
      </c>
      <c r="F57" s="32" t="n">
        <f aca="false">(1/2_시험자료!$D$23)*(1-2_시험자료!$F$23)</f>
        <v>0.416666666666667</v>
      </c>
      <c r="G57" s="33" t="n">
        <f aca="false">2_시험자료!G12</f>
        <v>534</v>
      </c>
      <c r="H57" s="34" t="n">
        <f aca="false">IF(E57=1,1000000000,texp2_s)</f>
        <v>750</v>
      </c>
      <c r="I57" s="14" t="n">
        <f aca="false">FLOOR(MIN(t_fs_s,H57)/G57,1)</f>
        <v>1</v>
      </c>
      <c r="J57" s="14" t="n">
        <f aca="false">IF(C57=1,FLOOR(t_fs_s/tau_L_s,1),0)</f>
        <v>0</v>
      </c>
      <c r="K57" s="17" t="n">
        <f aca="false">IF(D57=1,1-p_cb,1)</f>
        <v>0.3</v>
      </c>
      <c r="L57" s="17" t="n">
        <f aca="false">IF(C57=1,p_L,0)</f>
        <v>0</v>
      </c>
      <c r="M57" s="35" t="n">
        <f aca="false">SUMPRODUCT(w_ie2,1-(1-(j_row&lt;=I57)*K57^j_row)*(1-(j_row&lt;=J57)*L57^j_row))</f>
        <v>0.3</v>
      </c>
      <c r="N57" s="31" t="n">
        <f aca="false">occ_st*SUMPRODUCT(w_ie2,(j_row&lt;=I57)*K57^j_row*(j_row&lt;=J57)*L57^j_row*(((j_row*G57&lt;rset_s)+(j_row*tau_L_s&lt;rset_s))&gt;0)+(j_row&lt;=I57)*K57^j_row*(1-(j_row&lt;=J57)*L57^j_row)*(j_row*G57&lt;rset_s)+(1-(j_row&lt;=I57)*K57^j_row)*(j_row&lt;=J57)*L57^j_row*(j_row*tau_L_s&lt;rset_s))</f>
        <v>1.5</v>
      </c>
      <c r="O57" s="35" t="n">
        <f aca="false">IF(O$8&lt;N_st,1,0)*(1-(1-(O$8&lt;=I57)*K57^O$8)*(1-(O$8&lt;=J57)*L57^O$8))</f>
        <v>0.3</v>
      </c>
      <c r="P57" s="35" t="n">
        <f aca="false">IF(P$8&lt;N_st,1,0)*(1-(1-(P$8&lt;=I57)*K57^P$8)*(1-(P$8&lt;=J57)*L57^P$8))</f>
        <v>0</v>
      </c>
      <c r="Q57" s="35" t="n">
        <f aca="false">IF(Q$8&lt;N_st,1,0)*(1-(1-(Q$8&lt;=I57)*K57^Q$8)*(1-(Q$8&lt;=J57)*L57^Q$8))</f>
        <v>0</v>
      </c>
      <c r="R57" s="35" t="n">
        <f aca="false">IF(R$8&lt;N_st,1,0)*(1-(1-(R$8&lt;=I57)*K57^R$8)*(1-(R$8&lt;=J57)*L57^R$8))</f>
        <v>0</v>
      </c>
      <c r="S57" s="35" t="n">
        <f aca="false">IF(S$8&lt;N_st,1,0)*(1-(1-(S$8&lt;=I57)*K57^S$8)*(1-(S$8&lt;=J57)*L57^S$8))</f>
        <v>0</v>
      </c>
      <c r="T57" s="35" t="n">
        <f aca="false">IF(T$8&lt;N_st,1,0)*(1-(1-(T$8&lt;=I57)*K57^T$8)*(1-(T$8&lt;=J57)*L57^T$8))</f>
        <v>0</v>
      </c>
      <c r="U57" s="35" t="n">
        <f aca="false">IF(U$8&lt;N_st,1,0)*(1-(1-(U$8&lt;=I57)*K57^U$8)*(1-(U$8&lt;=J57)*L57^U$8))</f>
        <v>0</v>
      </c>
      <c r="V57" s="35" t="n">
        <f aca="false">IF(V$8&lt;N_st,1,0)*(1-(1-(V$8&lt;=I57)*K57^V$8)*(1-(V$8&lt;=J57)*L57^V$8))</f>
        <v>0</v>
      </c>
      <c r="W57" s="35" t="n">
        <f aca="false">IF(W$8&lt;N_st,1,0)*(1-(1-(W$8&lt;=I57)*K57^W$8)*(1-(W$8&lt;=J57)*L57^W$8))</f>
        <v>0</v>
      </c>
      <c r="X57" s="35" t="n">
        <f aca="false">IF(X$8&lt;N_st,1,0)*(1-(1-(X$8&lt;=I57)*K57^X$8)*(1-(X$8&lt;=J57)*L57^X$8))</f>
        <v>0</v>
      </c>
      <c r="Y57" s="35" t="n">
        <f aca="false">IF(Y$8&lt;N_st,1,0)*(1-(1-(Y$8&lt;=I57)*K57^Y$8)*(1-(Y$8&lt;=J57)*L57^Y$8))</f>
        <v>0</v>
      </c>
      <c r="Z57" s="35" t="n">
        <f aca="false">IF(Z$8&lt;N_st,1,0)*(1-(1-(Z$8&lt;=I57)*K57^Z$8)*(1-(Z$8&lt;=J57)*L57^Z$8))</f>
        <v>0</v>
      </c>
      <c r="AA57" s="35" t="n">
        <f aca="false">IF(AA$8&lt;N_st,1,0)*(1-(1-(AA$8&lt;=I57)*K57^AA$8)*(1-(AA$8&lt;=J57)*L57^AA$8))</f>
        <v>0</v>
      </c>
      <c r="AB57" s="35" t="n">
        <f aca="false">IF(AB$8&lt;N_st,1,0)*(1-(1-(AB$8&lt;=I57)*K57^AB$8)*(1-(AB$8&lt;=J57)*L57^AB$8))</f>
        <v>0</v>
      </c>
      <c r="AC57" s="35" t="n">
        <f aca="false">IF(AC$8&lt;N_st,1,0)*(1-(1-(AC$8&lt;=I57)*K57^AC$8)*(1-(AC$8&lt;=J57)*L57^AC$8))</f>
        <v>0</v>
      </c>
      <c r="AD57" s="35" t="n">
        <f aca="false">IF(AD$8&lt;N_st,1,0)*(1-(1-(AD$8&lt;=I57)*K57^AD$8)*(1-(AD$8&lt;=J57)*L57^AD$8))</f>
        <v>0</v>
      </c>
      <c r="AE57" s="35" t="n">
        <f aca="false">IF(AE$8&lt;N_st,1,0)*(1-(1-(AE$8&lt;=I57)*K57^AE$8)*(1-(AE$8&lt;=J57)*L57^AE$8))</f>
        <v>0</v>
      </c>
      <c r="AF57" s="35" t="n">
        <f aca="false">IF(AF$8&lt;N_st,1,0)*(1-(1-(AF$8&lt;=I57)*K57^AF$8)*(1-(AF$8&lt;=J57)*L57^AF$8))</f>
        <v>0</v>
      </c>
      <c r="AG57" s="35" t="n">
        <f aca="false">IF(AG$8&lt;N_st,1,0)*(1-(1-(AG$8&lt;=I57)*K57^AG$8)*(1-(AG$8&lt;=J57)*L57^AG$8))</f>
        <v>0</v>
      </c>
      <c r="AH57" s="35" t="n">
        <f aca="false">IF(AH$8&lt;N_st,1,0)*(1-(1-(AH$8&lt;=I57)*K57^AH$8)*(1-(AH$8&lt;=J57)*L57^AH$8))</f>
        <v>0</v>
      </c>
    </row>
    <row r="58" customFormat="false" ht="15" hidden="false" customHeight="false" outlineLevel="0" collapsed="false">
      <c r="A58" s="24" t="s">
        <v>203</v>
      </c>
      <c r="B58" s="14" t="s">
        <v>184</v>
      </c>
      <c r="C58" s="14" t="n">
        <v>1</v>
      </c>
      <c r="D58" s="14" t="n">
        <v>0</v>
      </c>
      <c r="E58" s="14" t="n">
        <v>1</v>
      </c>
      <c r="F58" s="32" t="n">
        <f aca="false">(1/2_시험자료!$D$23)*2_시험자료!$F$23</f>
        <v>0.0833333333333333</v>
      </c>
      <c r="G58" s="33" t="n">
        <f aca="false">2_시험자료!G13</f>
        <v>545.5</v>
      </c>
      <c r="H58" s="34" t="n">
        <f aca="false">IF(E58=1,1000000000,texp1_s)</f>
        <v>1000000000</v>
      </c>
      <c r="I58" s="14" t="n">
        <f aca="false">FLOOR(MIN(t_fs_s,H58)/G58,1)</f>
        <v>1</v>
      </c>
      <c r="J58" s="14" t="n">
        <f aca="false">IF(C58=1,FLOOR(t_fs_s/tau_L_s,1),0)</f>
        <v>1</v>
      </c>
      <c r="K58" s="17" t="n">
        <f aca="false">IF(D58=1,1-p_cb,1)</f>
        <v>1</v>
      </c>
      <c r="L58" s="17" t="n">
        <f aca="false">IF(C58=1,p_L,0)</f>
        <v>0.15</v>
      </c>
      <c r="M58" s="35" t="n">
        <f aca="false">SUMPRODUCT(w_ie1,1-(1-(j_row&lt;=I58)*K58^j_row)*(1-(j_row&lt;=J58)*L58^j_row))</f>
        <v>0.933333333333333</v>
      </c>
      <c r="N58" s="31" t="n">
        <f aca="false">occ_st*SUMPRODUCT(w_ie1,(j_row&lt;=I58)*K58^j_row*(j_row&lt;=J58)*L58^j_row*(((j_row*G58&lt;rset_s)+(j_row*tau_L_s&lt;rset_s))&gt;0)+(j_row&lt;=I58)*K58^j_row*(1-(j_row&lt;=J58)*L58^j_row)*(j_row*G58&lt;rset_s)+(1-(j_row&lt;=I58)*K58^j_row)*(j_row&lt;=J58)*L58^j_row*(j_row*tau_L_s&lt;rset_s))</f>
        <v>4.66666666666667</v>
      </c>
      <c r="O58" s="35" t="n">
        <f aca="false">IF(O$8&lt;N_st,(N_st-O$8)/N_st,0)*(1-(1-(O$8&lt;=I58)*K58^O$8)*(1-(O$8&lt;=J58)*L58^O$8))</f>
        <v>0.933333333333333</v>
      </c>
      <c r="P58" s="35" t="n">
        <f aca="false">IF(P$8&lt;N_st,(N_st-P$8)/N_st,0)*(1-(1-(P$8&lt;=I58)*K58^P$8)*(1-(P$8&lt;=J58)*L58^P$8))</f>
        <v>0</v>
      </c>
      <c r="Q58" s="35" t="n">
        <f aca="false">IF(Q$8&lt;N_st,(N_st-Q$8)/N_st,0)*(1-(1-(Q$8&lt;=I58)*K58^Q$8)*(1-(Q$8&lt;=J58)*L58^Q$8))</f>
        <v>0</v>
      </c>
      <c r="R58" s="35" t="n">
        <f aca="false">IF(R$8&lt;N_st,(N_st-R$8)/N_st,0)*(1-(1-(R$8&lt;=I58)*K58^R$8)*(1-(R$8&lt;=J58)*L58^R$8))</f>
        <v>0</v>
      </c>
      <c r="S58" s="35" t="n">
        <f aca="false">IF(S$8&lt;N_st,(N_st-S$8)/N_st,0)*(1-(1-(S$8&lt;=I58)*K58^S$8)*(1-(S$8&lt;=J58)*L58^S$8))</f>
        <v>0</v>
      </c>
      <c r="T58" s="35" t="n">
        <f aca="false">IF(T$8&lt;N_st,(N_st-T$8)/N_st,0)*(1-(1-(T$8&lt;=I58)*K58^T$8)*(1-(T$8&lt;=J58)*L58^T$8))</f>
        <v>0</v>
      </c>
      <c r="U58" s="35" t="n">
        <f aca="false">IF(U$8&lt;N_st,(N_st-U$8)/N_st,0)*(1-(1-(U$8&lt;=I58)*K58^U$8)*(1-(U$8&lt;=J58)*L58^U$8))</f>
        <v>0</v>
      </c>
      <c r="V58" s="35" t="n">
        <f aca="false">IF(V$8&lt;N_st,(N_st-V$8)/N_st,0)*(1-(1-(V$8&lt;=I58)*K58^V$8)*(1-(V$8&lt;=J58)*L58^V$8))</f>
        <v>0</v>
      </c>
      <c r="W58" s="35" t="n">
        <f aca="false">IF(W$8&lt;N_st,(N_st-W$8)/N_st,0)*(1-(1-(W$8&lt;=I58)*K58^W$8)*(1-(W$8&lt;=J58)*L58^W$8))</f>
        <v>0</v>
      </c>
      <c r="X58" s="35" t="n">
        <f aca="false">IF(X$8&lt;N_st,(N_st-X$8)/N_st,0)*(1-(1-(X$8&lt;=I58)*K58^X$8)*(1-(X$8&lt;=J58)*L58^X$8))</f>
        <v>0</v>
      </c>
      <c r="Y58" s="35" t="n">
        <f aca="false">IF(Y$8&lt;N_st,(N_st-Y$8)/N_st,0)*(1-(1-(Y$8&lt;=I58)*K58^Y$8)*(1-(Y$8&lt;=J58)*L58^Y$8))</f>
        <v>0</v>
      </c>
      <c r="Z58" s="35" t="n">
        <f aca="false">IF(Z$8&lt;N_st,(N_st-Z$8)/N_st,0)*(1-(1-(Z$8&lt;=I58)*K58^Z$8)*(1-(Z$8&lt;=J58)*L58^Z$8))</f>
        <v>0</v>
      </c>
      <c r="AA58" s="35" t="n">
        <f aca="false">IF(AA$8&lt;N_st,(N_st-AA$8)/N_st,0)*(1-(1-(AA$8&lt;=I58)*K58^AA$8)*(1-(AA$8&lt;=J58)*L58^AA$8))</f>
        <v>0</v>
      </c>
      <c r="AB58" s="35" t="n">
        <f aca="false">IF(AB$8&lt;N_st,(N_st-AB$8)/N_st,0)*(1-(1-(AB$8&lt;=I58)*K58^AB$8)*(1-(AB$8&lt;=J58)*L58^AB$8))</f>
        <v>0</v>
      </c>
      <c r="AC58" s="35" t="n">
        <f aca="false">IF(AC$8&lt;N_st,(N_st-AC$8)/N_st,0)*(1-(1-(AC$8&lt;=I58)*K58^AC$8)*(1-(AC$8&lt;=J58)*L58^AC$8))</f>
        <v>0</v>
      </c>
      <c r="AD58" s="35" t="n">
        <f aca="false">IF(AD$8&lt;N_st,(N_st-AD$8)/N_st,0)*(1-(1-(AD$8&lt;=I58)*K58^AD$8)*(1-(AD$8&lt;=J58)*L58^AD$8))</f>
        <v>0</v>
      </c>
      <c r="AE58" s="35" t="n">
        <f aca="false">IF(AE$8&lt;N_st,(N_st-AE$8)/N_st,0)*(1-(1-(AE$8&lt;=I58)*K58^AE$8)*(1-(AE$8&lt;=J58)*L58^AE$8))</f>
        <v>0</v>
      </c>
      <c r="AF58" s="35" t="n">
        <f aca="false">IF(AF$8&lt;N_st,(N_st-AF$8)/N_st,0)*(1-(1-(AF$8&lt;=I58)*K58^AF$8)*(1-(AF$8&lt;=J58)*L58^AF$8))</f>
        <v>0</v>
      </c>
      <c r="AG58" s="35" t="n">
        <f aca="false">IF(AG$8&lt;N_st,(N_st-AG$8)/N_st,0)*(1-(1-(AG$8&lt;=I58)*K58^AG$8)*(1-(AG$8&lt;=J58)*L58^AG$8))</f>
        <v>0</v>
      </c>
      <c r="AH58" s="35" t="n">
        <f aca="false">IF(AH$8&lt;N_st,(N_st-AH$8)/N_st,0)*(1-(1-(AH$8&lt;=I58)*K58^AH$8)*(1-(AH$8&lt;=J58)*L58^AH$8))</f>
        <v>0</v>
      </c>
    </row>
    <row r="59" customFormat="false" ht="15" hidden="false" customHeight="false" outlineLevel="0" collapsed="false">
      <c r="A59" s="24" t="s">
        <v>203</v>
      </c>
      <c r="B59" s="14" t="s">
        <v>184</v>
      </c>
      <c r="C59" s="14" t="n">
        <v>1</v>
      </c>
      <c r="D59" s="14" t="n">
        <v>0</v>
      </c>
      <c r="E59" s="14" t="n">
        <v>0</v>
      </c>
      <c r="F59" s="32" t="n">
        <f aca="false">(1/2_시험자료!$D$23)*(1-2_시험자료!$F$23)</f>
        <v>0.416666666666667</v>
      </c>
      <c r="G59" s="33" t="n">
        <f aca="false">2_시험자료!G13</f>
        <v>545.5</v>
      </c>
      <c r="H59" s="34" t="n">
        <f aca="false">IF(E59=1,1000000000,texp1_s)</f>
        <v>1200</v>
      </c>
      <c r="I59" s="14" t="n">
        <f aca="false">FLOOR(MIN(t_fs_s,H59)/G59,1)</f>
        <v>1</v>
      </c>
      <c r="J59" s="14" t="n">
        <f aca="false">IF(C59=1,FLOOR(t_fs_s/tau_L_s,1),0)</f>
        <v>1</v>
      </c>
      <c r="K59" s="17" t="n">
        <f aca="false">IF(D59=1,1-p_cb,1)</f>
        <v>1</v>
      </c>
      <c r="L59" s="17" t="n">
        <f aca="false">IF(C59=1,p_L,0)</f>
        <v>0.15</v>
      </c>
      <c r="M59" s="35" t="n">
        <f aca="false">SUMPRODUCT(w_ie1,1-(1-(j_row&lt;=I59)*K59^j_row)*(1-(j_row&lt;=J59)*L59^j_row))</f>
        <v>0.933333333333333</v>
      </c>
      <c r="N59" s="31" t="n">
        <f aca="false">occ_st*SUMPRODUCT(w_ie1,(j_row&lt;=I59)*K59^j_row*(j_row&lt;=J59)*L59^j_row*(((j_row*G59&lt;rset_s)+(j_row*tau_L_s&lt;rset_s))&gt;0)+(j_row&lt;=I59)*K59^j_row*(1-(j_row&lt;=J59)*L59^j_row)*(j_row*G59&lt;rset_s)+(1-(j_row&lt;=I59)*K59^j_row)*(j_row&lt;=J59)*L59^j_row*(j_row*tau_L_s&lt;rset_s))</f>
        <v>4.66666666666667</v>
      </c>
      <c r="O59" s="35" t="n">
        <f aca="false">IF(O$8&lt;N_st,(N_st-O$8)/N_st,0)*(1-(1-(O$8&lt;=I59)*K59^O$8)*(1-(O$8&lt;=J59)*L59^O$8))</f>
        <v>0.933333333333333</v>
      </c>
      <c r="P59" s="35" t="n">
        <f aca="false">IF(P$8&lt;N_st,(N_st-P$8)/N_st,0)*(1-(1-(P$8&lt;=I59)*K59^P$8)*(1-(P$8&lt;=J59)*L59^P$8))</f>
        <v>0</v>
      </c>
      <c r="Q59" s="35" t="n">
        <f aca="false">IF(Q$8&lt;N_st,(N_st-Q$8)/N_st,0)*(1-(1-(Q$8&lt;=I59)*K59^Q$8)*(1-(Q$8&lt;=J59)*L59^Q$8))</f>
        <v>0</v>
      </c>
      <c r="R59" s="35" t="n">
        <f aca="false">IF(R$8&lt;N_st,(N_st-R$8)/N_st,0)*(1-(1-(R$8&lt;=I59)*K59^R$8)*(1-(R$8&lt;=J59)*L59^R$8))</f>
        <v>0</v>
      </c>
      <c r="S59" s="35" t="n">
        <f aca="false">IF(S$8&lt;N_st,(N_st-S$8)/N_st,0)*(1-(1-(S$8&lt;=I59)*K59^S$8)*(1-(S$8&lt;=J59)*L59^S$8))</f>
        <v>0</v>
      </c>
      <c r="T59" s="35" t="n">
        <f aca="false">IF(T$8&lt;N_st,(N_st-T$8)/N_st,0)*(1-(1-(T$8&lt;=I59)*K59^T$8)*(1-(T$8&lt;=J59)*L59^T$8))</f>
        <v>0</v>
      </c>
      <c r="U59" s="35" t="n">
        <f aca="false">IF(U$8&lt;N_st,(N_st-U$8)/N_st,0)*(1-(1-(U$8&lt;=I59)*K59^U$8)*(1-(U$8&lt;=J59)*L59^U$8))</f>
        <v>0</v>
      </c>
      <c r="V59" s="35" t="n">
        <f aca="false">IF(V$8&lt;N_st,(N_st-V$8)/N_st,0)*(1-(1-(V$8&lt;=I59)*K59^V$8)*(1-(V$8&lt;=J59)*L59^V$8))</f>
        <v>0</v>
      </c>
      <c r="W59" s="35" t="n">
        <f aca="false">IF(W$8&lt;N_st,(N_st-W$8)/N_st,0)*(1-(1-(W$8&lt;=I59)*K59^W$8)*(1-(W$8&lt;=J59)*L59^W$8))</f>
        <v>0</v>
      </c>
      <c r="X59" s="35" t="n">
        <f aca="false">IF(X$8&lt;N_st,(N_st-X$8)/N_st,0)*(1-(1-(X$8&lt;=I59)*K59^X$8)*(1-(X$8&lt;=J59)*L59^X$8))</f>
        <v>0</v>
      </c>
      <c r="Y59" s="35" t="n">
        <f aca="false">IF(Y$8&lt;N_st,(N_st-Y$8)/N_st,0)*(1-(1-(Y$8&lt;=I59)*K59^Y$8)*(1-(Y$8&lt;=J59)*L59^Y$8))</f>
        <v>0</v>
      </c>
      <c r="Z59" s="35" t="n">
        <f aca="false">IF(Z$8&lt;N_st,(N_st-Z$8)/N_st,0)*(1-(1-(Z$8&lt;=I59)*K59^Z$8)*(1-(Z$8&lt;=J59)*L59^Z$8))</f>
        <v>0</v>
      </c>
      <c r="AA59" s="35" t="n">
        <f aca="false">IF(AA$8&lt;N_st,(N_st-AA$8)/N_st,0)*(1-(1-(AA$8&lt;=I59)*K59^AA$8)*(1-(AA$8&lt;=J59)*L59^AA$8))</f>
        <v>0</v>
      </c>
      <c r="AB59" s="35" t="n">
        <f aca="false">IF(AB$8&lt;N_st,(N_st-AB$8)/N_st,0)*(1-(1-(AB$8&lt;=I59)*K59^AB$8)*(1-(AB$8&lt;=J59)*L59^AB$8))</f>
        <v>0</v>
      </c>
      <c r="AC59" s="35" t="n">
        <f aca="false">IF(AC$8&lt;N_st,(N_st-AC$8)/N_st,0)*(1-(1-(AC$8&lt;=I59)*K59^AC$8)*(1-(AC$8&lt;=J59)*L59^AC$8))</f>
        <v>0</v>
      </c>
      <c r="AD59" s="35" t="n">
        <f aca="false">IF(AD$8&lt;N_st,(N_st-AD$8)/N_st,0)*(1-(1-(AD$8&lt;=I59)*K59^AD$8)*(1-(AD$8&lt;=J59)*L59^AD$8))</f>
        <v>0</v>
      </c>
      <c r="AE59" s="35" t="n">
        <f aca="false">IF(AE$8&lt;N_st,(N_st-AE$8)/N_st,0)*(1-(1-(AE$8&lt;=I59)*K59^AE$8)*(1-(AE$8&lt;=J59)*L59^AE$8))</f>
        <v>0</v>
      </c>
      <c r="AF59" s="35" t="n">
        <f aca="false">IF(AF$8&lt;N_st,(N_st-AF$8)/N_st,0)*(1-(1-(AF$8&lt;=I59)*K59^AF$8)*(1-(AF$8&lt;=J59)*L59^AF$8))</f>
        <v>0</v>
      </c>
      <c r="AG59" s="35" t="n">
        <f aca="false">IF(AG$8&lt;N_st,(N_st-AG$8)/N_st,0)*(1-(1-(AG$8&lt;=I59)*K59^AG$8)*(1-(AG$8&lt;=J59)*L59^AG$8))</f>
        <v>0</v>
      </c>
      <c r="AH59" s="35" t="n">
        <f aca="false">IF(AH$8&lt;N_st,(N_st-AH$8)/N_st,0)*(1-(1-(AH$8&lt;=I59)*K59^AH$8)*(1-(AH$8&lt;=J59)*L59^AH$8))</f>
        <v>0</v>
      </c>
    </row>
    <row r="60" customFormat="false" ht="15" hidden="false" customHeight="false" outlineLevel="0" collapsed="false">
      <c r="A60" s="24" t="s">
        <v>203</v>
      </c>
      <c r="B60" s="14" t="s">
        <v>184</v>
      </c>
      <c r="C60" s="14" t="n">
        <v>1</v>
      </c>
      <c r="D60" s="14" t="n">
        <v>1</v>
      </c>
      <c r="E60" s="14" t="n">
        <v>1</v>
      </c>
      <c r="F60" s="32" t="n">
        <f aca="false">(1/2_시험자료!$D$23)*2_시험자료!$F$23</f>
        <v>0.0833333333333333</v>
      </c>
      <c r="G60" s="33" t="n">
        <f aca="false">2_시험자료!G13</f>
        <v>545.5</v>
      </c>
      <c r="H60" s="34" t="n">
        <f aca="false">IF(E60=1,1000000000,texp1_s)</f>
        <v>1000000000</v>
      </c>
      <c r="I60" s="14" t="n">
        <f aca="false">FLOOR(MIN(t_fs_s,H60)/G60,1)</f>
        <v>1</v>
      </c>
      <c r="J60" s="14" t="n">
        <f aca="false">IF(C60=1,FLOOR(t_fs_s/tau_L_s,1),0)</f>
        <v>1</v>
      </c>
      <c r="K60" s="17" t="n">
        <f aca="false">IF(D60=1,1-p_cb,1)</f>
        <v>0.3</v>
      </c>
      <c r="L60" s="17" t="n">
        <f aca="false">IF(C60=1,p_L,0)</f>
        <v>0.15</v>
      </c>
      <c r="M60" s="35" t="n">
        <f aca="false">SUMPRODUCT(w_ie1,1-(1-(j_row&lt;=I60)*K60^j_row)*(1-(j_row&lt;=J60)*L60^j_row))</f>
        <v>0.378</v>
      </c>
      <c r="N60" s="31" t="n">
        <f aca="false">occ_st*SUMPRODUCT(w_ie1,(j_row&lt;=I60)*K60^j_row*(j_row&lt;=J60)*L60^j_row*(((j_row*G60&lt;rset_s)+(j_row*tau_L_s&lt;rset_s))&gt;0)+(j_row&lt;=I60)*K60^j_row*(1-(j_row&lt;=J60)*L60^j_row)*(j_row*G60&lt;rset_s)+(1-(j_row&lt;=I60)*K60^j_row)*(j_row&lt;=J60)*L60^j_row*(j_row*tau_L_s&lt;rset_s))</f>
        <v>1.89</v>
      </c>
      <c r="O60" s="35" t="n">
        <f aca="false">IF(O$8&lt;N_st,(N_st-O$8)/N_st,0)*(1-(1-(O$8&lt;=I60)*K60^O$8)*(1-(O$8&lt;=J60)*L60^O$8))</f>
        <v>0.378</v>
      </c>
      <c r="P60" s="35" t="n">
        <f aca="false">IF(P$8&lt;N_st,(N_st-P$8)/N_st,0)*(1-(1-(P$8&lt;=I60)*K60^P$8)*(1-(P$8&lt;=J60)*L60^P$8))</f>
        <v>0</v>
      </c>
      <c r="Q60" s="35" t="n">
        <f aca="false">IF(Q$8&lt;N_st,(N_st-Q$8)/N_st,0)*(1-(1-(Q$8&lt;=I60)*K60^Q$8)*(1-(Q$8&lt;=J60)*L60^Q$8))</f>
        <v>0</v>
      </c>
      <c r="R60" s="35" t="n">
        <f aca="false">IF(R$8&lt;N_st,(N_st-R$8)/N_st,0)*(1-(1-(R$8&lt;=I60)*K60^R$8)*(1-(R$8&lt;=J60)*L60^R$8))</f>
        <v>0</v>
      </c>
      <c r="S60" s="35" t="n">
        <f aca="false">IF(S$8&lt;N_st,(N_st-S$8)/N_st,0)*(1-(1-(S$8&lt;=I60)*K60^S$8)*(1-(S$8&lt;=J60)*L60^S$8))</f>
        <v>0</v>
      </c>
      <c r="T60" s="35" t="n">
        <f aca="false">IF(T$8&lt;N_st,(N_st-T$8)/N_st,0)*(1-(1-(T$8&lt;=I60)*K60^T$8)*(1-(T$8&lt;=J60)*L60^T$8))</f>
        <v>0</v>
      </c>
      <c r="U60" s="35" t="n">
        <f aca="false">IF(U$8&lt;N_st,(N_st-U$8)/N_st,0)*(1-(1-(U$8&lt;=I60)*K60^U$8)*(1-(U$8&lt;=J60)*L60^U$8))</f>
        <v>0</v>
      </c>
      <c r="V60" s="35" t="n">
        <f aca="false">IF(V$8&lt;N_st,(N_st-V$8)/N_st,0)*(1-(1-(V$8&lt;=I60)*K60^V$8)*(1-(V$8&lt;=J60)*L60^V$8))</f>
        <v>0</v>
      </c>
      <c r="W60" s="35" t="n">
        <f aca="false">IF(W$8&lt;N_st,(N_st-W$8)/N_st,0)*(1-(1-(W$8&lt;=I60)*K60^W$8)*(1-(W$8&lt;=J60)*L60^W$8))</f>
        <v>0</v>
      </c>
      <c r="X60" s="35" t="n">
        <f aca="false">IF(X$8&lt;N_st,(N_st-X$8)/N_st,0)*(1-(1-(X$8&lt;=I60)*K60^X$8)*(1-(X$8&lt;=J60)*L60^X$8))</f>
        <v>0</v>
      </c>
      <c r="Y60" s="35" t="n">
        <f aca="false">IF(Y$8&lt;N_st,(N_st-Y$8)/N_st,0)*(1-(1-(Y$8&lt;=I60)*K60^Y$8)*(1-(Y$8&lt;=J60)*L60^Y$8))</f>
        <v>0</v>
      </c>
      <c r="Z60" s="35" t="n">
        <f aca="false">IF(Z$8&lt;N_st,(N_st-Z$8)/N_st,0)*(1-(1-(Z$8&lt;=I60)*K60^Z$8)*(1-(Z$8&lt;=J60)*L60^Z$8))</f>
        <v>0</v>
      </c>
      <c r="AA60" s="35" t="n">
        <f aca="false">IF(AA$8&lt;N_st,(N_st-AA$8)/N_st,0)*(1-(1-(AA$8&lt;=I60)*K60^AA$8)*(1-(AA$8&lt;=J60)*L60^AA$8))</f>
        <v>0</v>
      </c>
      <c r="AB60" s="35" t="n">
        <f aca="false">IF(AB$8&lt;N_st,(N_st-AB$8)/N_st,0)*(1-(1-(AB$8&lt;=I60)*K60^AB$8)*(1-(AB$8&lt;=J60)*L60^AB$8))</f>
        <v>0</v>
      </c>
      <c r="AC60" s="35" t="n">
        <f aca="false">IF(AC$8&lt;N_st,(N_st-AC$8)/N_st,0)*(1-(1-(AC$8&lt;=I60)*K60^AC$8)*(1-(AC$8&lt;=J60)*L60^AC$8))</f>
        <v>0</v>
      </c>
      <c r="AD60" s="35" t="n">
        <f aca="false">IF(AD$8&lt;N_st,(N_st-AD$8)/N_st,0)*(1-(1-(AD$8&lt;=I60)*K60^AD$8)*(1-(AD$8&lt;=J60)*L60^AD$8))</f>
        <v>0</v>
      </c>
      <c r="AE60" s="35" t="n">
        <f aca="false">IF(AE$8&lt;N_st,(N_st-AE$8)/N_st,0)*(1-(1-(AE$8&lt;=I60)*K60^AE$8)*(1-(AE$8&lt;=J60)*L60^AE$8))</f>
        <v>0</v>
      </c>
      <c r="AF60" s="35" t="n">
        <f aca="false">IF(AF$8&lt;N_st,(N_st-AF$8)/N_st,0)*(1-(1-(AF$8&lt;=I60)*K60^AF$8)*(1-(AF$8&lt;=J60)*L60^AF$8))</f>
        <v>0</v>
      </c>
      <c r="AG60" s="35" t="n">
        <f aca="false">IF(AG$8&lt;N_st,(N_st-AG$8)/N_st,0)*(1-(1-(AG$8&lt;=I60)*K60^AG$8)*(1-(AG$8&lt;=J60)*L60^AG$8))</f>
        <v>0</v>
      </c>
      <c r="AH60" s="35" t="n">
        <f aca="false">IF(AH$8&lt;N_st,(N_st-AH$8)/N_st,0)*(1-(1-(AH$8&lt;=I60)*K60^AH$8)*(1-(AH$8&lt;=J60)*L60^AH$8))</f>
        <v>0</v>
      </c>
    </row>
    <row r="61" customFormat="false" ht="15" hidden="false" customHeight="false" outlineLevel="0" collapsed="false">
      <c r="A61" s="24" t="s">
        <v>203</v>
      </c>
      <c r="B61" s="14" t="s">
        <v>184</v>
      </c>
      <c r="C61" s="14" t="n">
        <v>1</v>
      </c>
      <c r="D61" s="14" t="n">
        <v>1</v>
      </c>
      <c r="E61" s="14" t="n">
        <v>0</v>
      </c>
      <c r="F61" s="32" t="n">
        <f aca="false">(1/2_시험자료!$D$23)*(1-2_시험자료!$F$23)</f>
        <v>0.416666666666667</v>
      </c>
      <c r="G61" s="33" t="n">
        <f aca="false">2_시험자료!G13</f>
        <v>545.5</v>
      </c>
      <c r="H61" s="34" t="n">
        <f aca="false">IF(E61=1,1000000000,texp1_s)</f>
        <v>1200</v>
      </c>
      <c r="I61" s="14" t="n">
        <f aca="false">FLOOR(MIN(t_fs_s,H61)/G61,1)</f>
        <v>1</v>
      </c>
      <c r="J61" s="14" t="n">
        <f aca="false">IF(C61=1,FLOOR(t_fs_s/tau_L_s,1),0)</f>
        <v>1</v>
      </c>
      <c r="K61" s="17" t="n">
        <f aca="false">IF(D61=1,1-p_cb,1)</f>
        <v>0.3</v>
      </c>
      <c r="L61" s="17" t="n">
        <f aca="false">IF(C61=1,p_L,0)</f>
        <v>0.15</v>
      </c>
      <c r="M61" s="35" t="n">
        <f aca="false">SUMPRODUCT(w_ie1,1-(1-(j_row&lt;=I61)*K61^j_row)*(1-(j_row&lt;=J61)*L61^j_row))</f>
        <v>0.378</v>
      </c>
      <c r="N61" s="31" t="n">
        <f aca="false">occ_st*SUMPRODUCT(w_ie1,(j_row&lt;=I61)*K61^j_row*(j_row&lt;=J61)*L61^j_row*(((j_row*G61&lt;rset_s)+(j_row*tau_L_s&lt;rset_s))&gt;0)+(j_row&lt;=I61)*K61^j_row*(1-(j_row&lt;=J61)*L61^j_row)*(j_row*G61&lt;rset_s)+(1-(j_row&lt;=I61)*K61^j_row)*(j_row&lt;=J61)*L61^j_row*(j_row*tau_L_s&lt;rset_s))</f>
        <v>1.89</v>
      </c>
      <c r="O61" s="35" t="n">
        <f aca="false">IF(O$8&lt;N_st,(N_st-O$8)/N_st,0)*(1-(1-(O$8&lt;=I61)*K61^O$8)*(1-(O$8&lt;=J61)*L61^O$8))</f>
        <v>0.378</v>
      </c>
      <c r="P61" s="35" t="n">
        <f aca="false">IF(P$8&lt;N_st,(N_st-P$8)/N_st,0)*(1-(1-(P$8&lt;=I61)*K61^P$8)*(1-(P$8&lt;=J61)*L61^P$8))</f>
        <v>0</v>
      </c>
      <c r="Q61" s="35" t="n">
        <f aca="false">IF(Q$8&lt;N_st,(N_st-Q$8)/N_st,0)*(1-(1-(Q$8&lt;=I61)*K61^Q$8)*(1-(Q$8&lt;=J61)*L61^Q$8))</f>
        <v>0</v>
      </c>
      <c r="R61" s="35" t="n">
        <f aca="false">IF(R$8&lt;N_st,(N_st-R$8)/N_st,0)*(1-(1-(R$8&lt;=I61)*K61^R$8)*(1-(R$8&lt;=J61)*L61^R$8))</f>
        <v>0</v>
      </c>
      <c r="S61" s="35" t="n">
        <f aca="false">IF(S$8&lt;N_st,(N_st-S$8)/N_st,0)*(1-(1-(S$8&lt;=I61)*K61^S$8)*(1-(S$8&lt;=J61)*L61^S$8))</f>
        <v>0</v>
      </c>
      <c r="T61" s="35" t="n">
        <f aca="false">IF(T$8&lt;N_st,(N_st-T$8)/N_st,0)*(1-(1-(T$8&lt;=I61)*K61^T$8)*(1-(T$8&lt;=J61)*L61^T$8))</f>
        <v>0</v>
      </c>
      <c r="U61" s="35" t="n">
        <f aca="false">IF(U$8&lt;N_st,(N_st-U$8)/N_st,0)*(1-(1-(U$8&lt;=I61)*K61^U$8)*(1-(U$8&lt;=J61)*L61^U$8))</f>
        <v>0</v>
      </c>
      <c r="V61" s="35" t="n">
        <f aca="false">IF(V$8&lt;N_st,(N_st-V$8)/N_st,0)*(1-(1-(V$8&lt;=I61)*K61^V$8)*(1-(V$8&lt;=J61)*L61^V$8))</f>
        <v>0</v>
      </c>
      <c r="W61" s="35" t="n">
        <f aca="false">IF(W$8&lt;N_st,(N_st-W$8)/N_st,0)*(1-(1-(W$8&lt;=I61)*K61^W$8)*(1-(W$8&lt;=J61)*L61^W$8))</f>
        <v>0</v>
      </c>
      <c r="X61" s="35" t="n">
        <f aca="false">IF(X$8&lt;N_st,(N_st-X$8)/N_st,0)*(1-(1-(X$8&lt;=I61)*K61^X$8)*(1-(X$8&lt;=J61)*L61^X$8))</f>
        <v>0</v>
      </c>
      <c r="Y61" s="35" t="n">
        <f aca="false">IF(Y$8&lt;N_st,(N_st-Y$8)/N_st,0)*(1-(1-(Y$8&lt;=I61)*K61^Y$8)*(1-(Y$8&lt;=J61)*L61^Y$8))</f>
        <v>0</v>
      </c>
      <c r="Z61" s="35" t="n">
        <f aca="false">IF(Z$8&lt;N_st,(N_st-Z$8)/N_st,0)*(1-(1-(Z$8&lt;=I61)*K61^Z$8)*(1-(Z$8&lt;=J61)*L61^Z$8))</f>
        <v>0</v>
      </c>
      <c r="AA61" s="35" t="n">
        <f aca="false">IF(AA$8&lt;N_st,(N_st-AA$8)/N_st,0)*(1-(1-(AA$8&lt;=I61)*K61^AA$8)*(1-(AA$8&lt;=J61)*L61^AA$8))</f>
        <v>0</v>
      </c>
      <c r="AB61" s="35" t="n">
        <f aca="false">IF(AB$8&lt;N_st,(N_st-AB$8)/N_st,0)*(1-(1-(AB$8&lt;=I61)*K61^AB$8)*(1-(AB$8&lt;=J61)*L61^AB$8))</f>
        <v>0</v>
      </c>
      <c r="AC61" s="35" t="n">
        <f aca="false">IF(AC$8&lt;N_st,(N_st-AC$8)/N_st,0)*(1-(1-(AC$8&lt;=I61)*K61^AC$8)*(1-(AC$8&lt;=J61)*L61^AC$8))</f>
        <v>0</v>
      </c>
      <c r="AD61" s="35" t="n">
        <f aca="false">IF(AD$8&lt;N_st,(N_st-AD$8)/N_st,0)*(1-(1-(AD$8&lt;=I61)*K61^AD$8)*(1-(AD$8&lt;=J61)*L61^AD$8))</f>
        <v>0</v>
      </c>
      <c r="AE61" s="35" t="n">
        <f aca="false">IF(AE$8&lt;N_st,(N_st-AE$8)/N_st,0)*(1-(1-(AE$8&lt;=I61)*K61^AE$8)*(1-(AE$8&lt;=J61)*L61^AE$8))</f>
        <v>0</v>
      </c>
      <c r="AF61" s="35" t="n">
        <f aca="false">IF(AF$8&lt;N_st,(N_st-AF$8)/N_st,0)*(1-(1-(AF$8&lt;=I61)*K61^AF$8)*(1-(AF$8&lt;=J61)*L61^AF$8))</f>
        <v>0</v>
      </c>
      <c r="AG61" s="35" t="n">
        <f aca="false">IF(AG$8&lt;N_st,(N_st-AG$8)/N_st,0)*(1-(1-(AG$8&lt;=I61)*K61^AG$8)*(1-(AG$8&lt;=J61)*L61^AG$8))</f>
        <v>0</v>
      </c>
      <c r="AH61" s="35" t="n">
        <f aca="false">IF(AH$8&lt;N_st,(N_st-AH$8)/N_st,0)*(1-(1-(AH$8&lt;=I61)*K61^AH$8)*(1-(AH$8&lt;=J61)*L61^AH$8))</f>
        <v>0</v>
      </c>
    </row>
    <row r="62" customFormat="false" ht="15" hidden="false" customHeight="false" outlineLevel="0" collapsed="false">
      <c r="A62" s="24" t="s">
        <v>203</v>
      </c>
      <c r="B62" s="14" t="s">
        <v>184</v>
      </c>
      <c r="C62" s="14" t="n">
        <v>2</v>
      </c>
      <c r="D62" s="14" t="n">
        <v>0</v>
      </c>
      <c r="E62" s="14" t="n">
        <v>1</v>
      </c>
      <c r="F62" s="32" t="n">
        <f aca="false">(1/2_시험자료!$D$23)*2_시험자료!$F$23</f>
        <v>0.0833333333333333</v>
      </c>
      <c r="G62" s="33" t="n">
        <f aca="false">2_시험자료!G13</f>
        <v>545.5</v>
      </c>
      <c r="H62" s="34" t="n">
        <f aca="false">IF(E62=1,1000000000,texp2_s)</f>
        <v>1000000000</v>
      </c>
      <c r="I62" s="14" t="n">
        <f aca="false">FLOOR(MIN(t_fs_s,H62)/G62,1)</f>
        <v>1</v>
      </c>
      <c r="J62" s="14" t="n">
        <f aca="false">IF(C62=1,FLOOR(t_fs_s/tau_L_s,1),0)</f>
        <v>0</v>
      </c>
      <c r="K62" s="17" t="n">
        <f aca="false">IF(D62=1,1-p_cb,1)</f>
        <v>1</v>
      </c>
      <c r="L62" s="17" t="n">
        <f aca="false">IF(C62=1,p_L,0)</f>
        <v>0</v>
      </c>
      <c r="M62" s="35" t="n">
        <f aca="false">SUMPRODUCT(w_ie2,1-(1-(j_row&lt;=I62)*K62^j_row)*(1-(j_row&lt;=J62)*L62^j_row))</f>
        <v>1</v>
      </c>
      <c r="N62" s="31" t="n">
        <f aca="false">occ_st*SUMPRODUCT(w_ie2,(j_row&lt;=I62)*K62^j_row*(j_row&lt;=J62)*L62^j_row*(((j_row*G62&lt;rset_s)+(j_row*tau_L_s&lt;rset_s))&gt;0)+(j_row&lt;=I62)*K62^j_row*(1-(j_row&lt;=J62)*L62^j_row)*(j_row*G62&lt;rset_s)+(1-(j_row&lt;=I62)*K62^j_row)*(j_row&lt;=J62)*L62^j_row*(j_row*tau_L_s&lt;rset_s))</f>
        <v>5</v>
      </c>
      <c r="O62" s="35" t="n">
        <f aca="false">IF(O$8&lt;N_st,1,0)*(1-(1-(O$8&lt;=I62)*K62^O$8)*(1-(O$8&lt;=J62)*L62^O$8))</f>
        <v>1</v>
      </c>
      <c r="P62" s="35" t="n">
        <f aca="false">IF(P$8&lt;N_st,1,0)*(1-(1-(P$8&lt;=I62)*K62^P$8)*(1-(P$8&lt;=J62)*L62^P$8))</f>
        <v>0</v>
      </c>
      <c r="Q62" s="35" t="n">
        <f aca="false">IF(Q$8&lt;N_st,1,0)*(1-(1-(Q$8&lt;=I62)*K62^Q$8)*(1-(Q$8&lt;=J62)*L62^Q$8))</f>
        <v>0</v>
      </c>
      <c r="R62" s="35" t="n">
        <f aca="false">IF(R$8&lt;N_st,1,0)*(1-(1-(R$8&lt;=I62)*K62^R$8)*(1-(R$8&lt;=J62)*L62^R$8))</f>
        <v>0</v>
      </c>
      <c r="S62" s="35" t="n">
        <f aca="false">IF(S$8&lt;N_st,1,0)*(1-(1-(S$8&lt;=I62)*K62^S$8)*(1-(S$8&lt;=J62)*L62^S$8))</f>
        <v>0</v>
      </c>
      <c r="T62" s="35" t="n">
        <f aca="false">IF(T$8&lt;N_st,1,0)*(1-(1-(T$8&lt;=I62)*K62^T$8)*(1-(T$8&lt;=J62)*L62^T$8))</f>
        <v>0</v>
      </c>
      <c r="U62" s="35" t="n">
        <f aca="false">IF(U$8&lt;N_st,1,0)*(1-(1-(U$8&lt;=I62)*K62^U$8)*(1-(U$8&lt;=J62)*L62^U$8))</f>
        <v>0</v>
      </c>
      <c r="V62" s="35" t="n">
        <f aca="false">IF(V$8&lt;N_st,1,0)*(1-(1-(V$8&lt;=I62)*K62^V$8)*(1-(V$8&lt;=J62)*L62^V$8))</f>
        <v>0</v>
      </c>
      <c r="W62" s="35" t="n">
        <f aca="false">IF(W$8&lt;N_st,1,0)*(1-(1-(W$8&lt;=I62)*K62^W$8)*(1-(W$8&lt;=J62)*L62^W$8))</f>
        <v>0</v>
      </c>
      <c r="X62" s="35" t="n">
        <f aca="false">IF(X$8&lt;N_st,1,0)*(1-(1-(X$8&lt;=I62)*K62^X$8)*(1-(X$8&lt;=J62)*L62^X$8))</f>
        <v>0</v>
      </c>
      <c r="Y62" s="35" t="n">
        <f aca="false">IF(Y$8&lt;N_st,1,0)*(1-(1-(Y$8&lt;=I62)*K62^Y$8)*(1-(Y$8&lt;=J62)*L62^Y$8))</f>
        <v>0</v>
      </c>
      <c r="Z62" s="35" t="n">
        <f aca="false">IF(Z$8&lt;N_st,1,0)*(1-(1-(Z$8&lt;=I62)*K62^Z$8)*(1-(Z$8&lt;=J62)*L62^Z$8))</f>
        <v>0</v>
      </c>
      <c r="AA62" s="35" t="n">
        <f aca="false">IF(AA$8&lt;N_st,1,0)*(1-(1-(AA$8&lt;=I62)*K62^AA$8)*(1-(AA$8&lt;=J62)*L62^AA$8))</f>
        <v>0</v>
      </c>
      <c r="AB62" s="35" t="n">
        <f aca="false">IF(AB$8&lt;N_st,1,0)*(1-(1-(AB$8&lt;=I62)*K62^AB$8)*(1-(AB$8&lt;=J62)*L62^AB$8))</f>
        <v>0</v>
      </c>
      <c r="AC62" s="35" t="n">
        <f aca="false">IF(AC$8&lt;N_st,1,0)*(1-(1-(AC$8&lt;=I62)*K62^AC$8)*(1-(AC$8&lt;=J62)*L62^AC$8))</f>
        <v>0</v>
      </c>
      <c r="AD62" s="35" t="n">
        <f aca="false">IF(AD$8&lt;N_st,1,0)*(1-(1-(AD$8&lt;=I62)*K62^AD$8)*(1-(AD$8&lt;=J62)*L62^AD$8))</f>
        <v>0</v>
      </c>
      <c r="AE62" s="35" t="n">
        <f aca="false">IF(AE$8&lt;N_st,1,0)*(1-(1-(AE$8&lt;=I62)*K62^AE$8)*(1-(AE$8&lt;=J62)*L62^AE$8))</f>
        <v>0</v>
      </c>
      <c r="AF62" s="35" t="n">
        <f aca="false">IF(AF$8&lt;N_st,1,0)*(1-(1-(AF$8&lt;=I62)*K62^AF$8)*(1-(AF$8&lt;=J62)*L62^AF$8))</f>
        <v>0</v>
      </c>
      <c r="AG62" s="35" t="n">
        <f aca="false">IF(AG$8&lt;N_st,1,0)*(1-(1-(AG$8&lt;=I62)*K62^AG$8)*(1-(AG$8&lt;=J62)*L62^AG$8))</f>
        <v>0</v>
      </c>
      <c r="AH62" s="35" t="n">
        <f aca="false">IF(AH$8&lt;N_st,1,0)*(1-(1-(AH$8&lt;=I62)*K62^AH$8)*(1-(AH$8&lt;=J62)*L62^AH$8))</f>
        <v>0</v>
      </c>
    </row>
    <row r="63" customFormat="false" ht="15" hidden="false" customHeight="false" outlineLevel="0" collapsed="false">
      <c r="A63" s="24" t="s">
        <v>203</v>
      </c>
      <c r="B63" s="14" t="s">
        <v>184</v>
      </c>
      <c r="C63" s="14" t="n">
        <v>2</v>
      </c>
      <c r="D63" s="14" t="n">
        <v>0</v>
      </c>
      <c r="E63" s="14" t="n">
        <v>0</v>
      </c>
      <c r="F63" s="32" t="n">
        <f aca="false">(1/2_시험자료!$D$23)*(1-2_시험자료!$F$23)</f>
        <v>0.416666666666667</v>
      </c>
      <c r="G63" s="33" t="n">
        <f aca="false">2_시험자료!G13</f>
        <v>545.5</v>
      </c>
      <c r="H63" s="34" t="n">
        <f aca="false">IF(E63=1,1000000000,texp2_s)</f>
        <v>750</v>
      </c>
      <c r="I63" s="14" t="n">
        <f aca="false">FLOOR(MIN(t_fs_s,H63)/G63,1)</f>
        <v>1</v>
      </c>
      <c r="J63" s="14" t="n">
        <f aca="false">IF(C63=1,FLOOR(t_fs_s/tau_L_s,1),0)</f>
        <v>0</v>
      </c>
      <c r="K63" s="17" t="n">
        <f aca="false">IF(D63=1,1-p_cb,1)</f>
        <v>1</v>
      </c>
      <c r="L63" s="17" t="n">
        <f aca="false">IF(C63=1,p_L,0)</f>
        <v>0</v>
      </c>
      <c r="M63" s="35" t="n">
        <f aca="false">SUMPRODUCT(w_ie2,1-(1-(j_row&lt;=I63)*K63^j_row)*(1-(j_row&lt;=J63)*L63^j_row))</f>
        <v>1</v>
      </c>
      <c r="N63" s="31" t="n">
        <f aca="false">occ_st*SUMPRODUCT(w_ie2,(j_row&lt;=I63)*K63^j_row*(j_row&lt;=J63)*L63^j_row*(((j_row*G63&lt;rset_s)+(j_row*tau_L_s&lt;rset_s))&gt;0)+(j_row&lt;=I63)*K63^j_row*(1-(j_row&lt;=J63)*L63^j_row)*(j_row*G63&lt;rset_s)+(1-(j_row&lt;=I63)*K63^j_row)*(j_row&lt;=J63)*L63^j_row*(j_row*tau_L_s&lt;rset_s))</f>
        <v>5</v>
      </c>
      <c r="O63" s="35" t="n">
        <f aca="false">IF(O$8&lt;N_st,1,0)*(1-(1-(O$8&lt;=I63)*K63^O$8)*(1-(O$8&lt;=J63)*L63^O$8))</f>
        <v>1</v>
      </c>
      <c r="P63" s="35" t="n">
        <f aca="false">IF(P$8&lt;N_st,1,0)*(1-(1-(P$8&lt;=I63)*K63^P$8)*(1-(P$8&lt;=J63)*L63^P$8))</f>
        <v>0</v>
      </c>
      <c r="Q63" s="35" t="n">
        <f aca="false">IF(Q$8&lt;N_st,1,0)*(1-(1-(Q$8&lt;=I63)*K63^Q$8)*(1-(Q$8&lt;=J63)*L63^Q$8))</f>
        <v>0</v>
      </c>
      <c r="R63" s="35" t="n">
        <f aca="false">IF(R$8&lt;N_st,1,0)*(1-(1-(R$8&lt;=I63)*K63^R$8)*(1-(R$8&lt;=J63)*L63^R$8))</f>
        <v>0</v>
      </c>
      <c r="S63" s="35" t="n">
        <f aca="false">IF(S$8&lt;N_st,1,0)*(1-(1-(S$8&lt;=I63)*K63^S$8)*(1-(S$8&lt;=J63)*L63^S$8))</f>
        <v>0</v>
      </c>
      <c r="T63" s="35" t="n">
        <f aca="false">IF(T$8&lt;N_st,1,0)*(1-(1-(T$8&lt;=I63)*K63^T$8)*(1-(T$8&lt;=J63)*L63^T$8))</f>
        <v>0</v>
      </c>
      <c r="U63" s="35" t="n">
        <f aca="false">IF(U$8&lt;N_st,1,0)*(1-(1-(U$8&lt;=I63)*K63^U$8)*(1-(U$8&lt;=J63)*L63^U$8))</f>
        <v>0</v>
      </c>
      <c r="V63" s="35" t="n">
        <f aca="false">IF(V$8&lt;N_st,1,0)*(1-(1-(V$8&lt;=I63)*K63^V$8)*(1-(V$8&lt;=J63)*L63^V$8))</f>
        <v>0</v>
      </c>
      <c r="W63" s="35" t="n">
        <f aca="false">IF(W$8&lt;N_st,1,0)*(1-(1-(W$8&lt;=I63)*K63^W$8)*(1-(W$8&lt;=J63)*L63^W$8))</f>
        <v>0</v>
      </c>
      <c r="X63" s="35" t="n">
        <f aca="false">IF(X$8&lt;N_st,1,0)*(1-(1-(X$8&lt;=I63)*K63^X$8)*(1-(X$8&lt;=J63)*L63^X$8))</f>
        <v>0</v>
      </c>
      <c r="Y63" s="35" t="n">
        <f aca="false">IF(Y$8&lt;N_st,1,0)*(1-(1-(Y$8&lt;=I63)*K63^Y$8)*(1-(Y$8&lt;=J63)*L63^Y$8))</f>
        <v>0</v>
      </c>
      <c r="Z63" s="35" t="n">
        <f aca="false">IF(Z$8&lt;N_st,1,0)*(1-(1-(Z$8&lt;=I63)*K63^Z$8)*(1-(Z$8&lt;=J63)*L63^Z$8))</f>
        <v>0</v>
      </c>
      <c r="AA63" s="35" t="n">
        <f aca="false">IF(AA$8&lt;N_st,1,0)*(1-(1-(AA$8&lt;=I63)*K63^AA$8)*(1-(AA$8&lt;=J63)*L63^AA$8))</f>
        <v>0</v>
      </c>
      <c r="AB63" s="35" t="n">
        <f aca="false">IF(AB$8&lt;N_st,1,0)*(1-(1-(AB$8&lt;=I63)*K63^AB$8)*(1-(AB$8&lt;=J63)*L63^AB$8))</f>
        <v>0</v>
      </c>
      <c r="AC63" s="35" t="n">
        <f aca="false">IF(AC$8&lt;N_st,1,0)*(1-(1-(AC$8&lt;=I63)*K63^AC$8)*(1-(AC$8&lt;=J63)*L63^AC$8))</f>
        <v>0</v>
      </c>
      <c r="AD63" s="35" t="n">
        <f aca="false">IF(AD$8&lt;N_st,1,0)*(1-(1-(AD$8&lt;=I63)*K63^AD$8)*(1-(AD$8&lt;=J63)*L63^AD$8))</f>
        <v>0</v>
      </c>
      <c r="AE63" s="35" t="n">
        <f aca="false">IF(AE$8&lt;N_st,1,0)*(1-(1-(AE$8&lt;=I63)*K63^AE$8)*(1-(AE$8&lt;=J63)*L63^AE$8))</f>
        <v>0</v>
      </c>
      <c r="AF63" s="35" t="n">
        <f aca="false">IF(AF$8&lt;N_st,1,0)*(1-(1-(AF$8&lt;=I63)*K63^AF$8)*(1-(AF$8&lt;=J63)*L63^AF$8))</f>
        <v>0</v>
      </c>
      <c r="AG63" s="35" t="n">
        <f aca="false">IF(AG$8&lt;N_st,1,0)*(1-(1-(AG$8&lt;=I63)*K63^AG$8)*(1-(AG$8&lt;=J63)*L63^AG$8))</f>
        <v>0</v>
      </c>
      <c r="AH63" s="35" t="n">
        <f aca="false">IF(AH$8&lt;N_st,1,0)*(1-(1-(AH$8&lt;=I63)*K63^AH$8)*(1-(AH$8&lt;=J63)*L63^AH$8))</f>
        <v>0</v>
      </c>
    </row>
    <row r="64" customFormat="false" ht="15" hidden="false" customHeight="false" outlineLevel="0" collapsed="false">
      <c r="A64" s="24" t="s">
        <v>203</v>
      </c>
      <c r="B64" s="14" t="s">
        <v>184</v>
      </c>
      <c r="C64" s="14" t="n">
        <v>2</v>
      </c>
      <c r="D64" s="14" t="n">
        <v>1</v>
      </c>
      <c r="E64" s="14" t="n">
        <v>1</v>
      </c>
      <c r="F64" s="32" t="n">
        <f aca="false">(1/2_시험자료!$D$23)*2_시험자료!$F$23</f>
        <v>0.0833333333333333</v>
      </c>
      <c r="G64" s="33" t="n">
        <f aca="false">2_시험자료!G13</f>
        <v>545.5</v>
      </c>
      <c r="H64" s="34" t="n">
        <f aca="false">IF(E64=1,1000000000,texp2_s)</f>
        <v>1000000000</v>
      </c>
      <c r="I64" s="14" t="n">
        <f aca="false">FLOOR(MIN(t_fs_s,H64)/G64,1)</f>
        <v>1</v>
      </c>
      <c r="J64" s="14" t="n">
        <f aca="false">IF(C64=1,FLOOR(t_fs_s/tau_L_s,1),0)</f>
        <v>0</v>
      </c>
      <c r="K64" s="17" t="n">
        <f aca="false">IF(D64=1,1-p_cb,1)</f>
        <v>0.3</v>
      </c>
      <c r="L64" s="17" t="n">
        <f aca="false">IF(C64=1,p_L,0)</f>
        <v>0</v>
      </c>
      <c r="M64" s="35" t="n">
        <f aca="false">SUMPRODUCT(w_ie2,1-(1-(j_row&lt;=I64)*K64^j_row)*(1-(j_row&lt;=J64)*L64^j_row))</f>
        <v>0.3</v>
      </c>
      <c r="N64" s="31" t="n">
        <f aca="false">occ_st*SUMPRODUCT(w_ie2,(j_row&lt;=I64)*K64^j_row*(j_row&lt;=J64)*L64^j_row*(((j_row*G64&lt;rset_s)+(j_row*tau_L_s&lt;rset_s))&gt;0)+(j_row&lt;=I64)*K64^j_row*(1-(j_row&lt;=J64)*L64^j_row)*(j_row*G64&lt;rset_s)+(1-(j_row&lt;=I64)*K64^j_row)*(j_row&lt;=J64)*L64^j_row*(j_row*tau_L_s&lt;rset_s))</f>
        <v>1.5</v>
      </c>
      <c r="O64" s="35" t="n">
        <f aca="false">IF(O$8&lt;N_st,1,0)*(1-(1-(O$8&lt;=I64)*K64^O$8)*(1-(O$8&lt;=J64)*L64^O$8))</f>
        <v>0.3</v>
      </c>
      <c r="P64" s="35" t="n">
        <f aca="false">IF(P$8&lt;N_st,1,0)*(1-(1-(P$8&lt;=I64)*K64^P$8)*(1-(P$8&lt;=J64)*L64^P$8))</f>
        <v>0</v>
      </c>
      <c r="Q64" s="35" t="n">
        <f aca="false">IF(Q$8&lt;N_st,1,0)*(1-(1-(Q$8&lt;=I64)*K64^Q$8)*(1-(Q$8&lt;=J64)*L64^Q$8))</f>
        <v>0</v>
      </c>
      <c r="R64" s="35" t="n">
        <f aca="false">IF(R$8&lt;N_st,1,0)*(1-(1-(R$8&lt;=I64)*K64^R$8)*(1-(R$8&lt;=J64)*L64^R$8))</f>
        <v>0</v>
      </c>
      <c r="S64" s="35" t="n">
        <f aca="false">IF(S$8&lt;N_st,1,0)*(1-(1-(S$8&lt;=I64)*K64^S$8)*(1-(S$8&lt;=J64)*L64^S$8))</f>
        <v>0</v>
      </c>
      <c r="T64" s="35" t="n">
        <f aca="false">IF(T$8&lt;N_st,1,0)*(1-(1-(T$8&lt;=I64)*K64^T$8)*(1-(T$8&lt;=J64)*L64^T$8))</f>
        <v>0</v>
      </c>
      <c r="U64" s="35" t="n">
        <f aca="false">IF(U$8&lt;N_st,1,0)*(1-(1-(U$8&lt;=I64)*K64^U$8)*(1-(U$8&lt;=J64)*L64^U$8))</f>
        <v>0</v>
      </c>
      <c r="V64" s="35" t="n">
        <f aca="false">IF(V$8&lt;N_st,1,0)*(1-(1-(V$8&lt;=I64)*K64^V$8)*(1-(V$8&lt;=J64)*L64^V$8))</f>
        <v>0</v>
      </c>
      <c r="W64" s="35" t="n">
        <f aca="false">IF(W$8&lt;N_st,1,0)*(1-(1-(W$8&lt;=I64)*K64^W$8)*(1-(W$8&lt;=J64)*L64^W$8))</f>
        <v>0</v>
      </c>
      <c r="X64" s="35" t="n">
        <f aca="false">IF(X$8&lt;N_st,1,0)*(1-(1-(X$8&lt;=I64)*K64^X$8)*(1-(X$8&lt;=J64)*L64^X$8))</f>
        <v>0</v>
      </c>
      <c r="Y64" s="35" t="n">
        <f aca="false">IF(Y$8&lt;N_st,1,0)*(1-(1-(Y$8&lt;=I64)*K64^Y$8)*(1-(Y$8&lt;=J64)*L64^Y$8))</f>
        <v>0</v>
      </c>
      <c r="Z64" s="35" t="n">
        <f aca="false">IF(Z$8&lt;N_st,1,0)*(1-(1-(Z$8&lt;=I64)*K64^Z$8)*(1-(Z$8&lt;=J64)*L64^Z$8))</f>
        <v>0</v>
      </c>
      <c r="AA64" s="35" t="n">
        <f aca="false">IF(AA$8&lt;N_st,1,0)*(1-(1-(AA$8&lt;=I64)*K64^AA$8)*(1-(AA$8&lt;=J64)*L64^AA$8))</f>
        <v>0</v>
      </c>
      <c r="AB64" s="35" t="n">
        <f aca="false">IF(AB$8&lt;N_st,1,0)*(1-(1-(AB$8&lt;=I64)*K64^AB$8)*(1-(AB$8&lt;=J64)*L64^AB$8))</f>
        <v>0</v>
      </c>
      <c r="AC64" s="35" t="n">
        <f aca="false">IF(AC$8&lt;N_st,1,0)*(1-(1-(AC$8&lt;=I64)*K64^AC$8)*(1-(AC$8&lt;=J64)*L64^AC$8))</f>
        <v>0</v>
      </c>
      <c r="AD64" s="35" t="n">
        <f aca="false">IF(AD$8&lt;N_st,1,0)*(1-(1-(AD$8&lt;=I64)*K64^AD$8)*(1-(AD$8&lt;=J64)*L64^AD$8))</f>
        <v>0</v>
      </c>
      <c r="AE64" s="35" t="n">
        <f aca="false">IF(AE$8&lt;N_st,1,0)*(1-(1-(AE$8&lt;=I64)*K64^AE$8)*(1-(AE$8&lt;=J64)*L64^AE$8))</f>
        <v>0</v>
      </c>
      <c r="AF64" s="35" t="n">
        <f aca="false">IF(AF$8&lt;N_st,1,0)*(1-(1-(AF$8&lt;=I64)*K64^AF$8)*(1-(AF$8&lt;=J64)*L64^AF$8))</f>
        <v>0</v>
      </c>
      <c r="AG64" s="35" t="n">
        <f aca="false">IF(AG$8&lt;N_st,1,0)*(1-(1-(AG$8&lt;=I64)*K64^AG$8)*(1-(AG$8&lt;=J64)*L64^AG$8))</f>
        <v>0</v>
      </c>
      <c r="AH64" s="35" t="n">
        <f aca="false">IF(AH$8&lt;N_st,1,0)*(1-(1-(AH$8&lt;=I64)*K64^AH$8)*(1-(AH$8&lt;=J64)*L64^AH$8))</f>
        <v>0</v>
      </c>
    </row>
    <row r="65" customFormat="false" ht="15" hidden="false" customHeight="false" outlineLevel="0" collapsed="false">
      <c r="A65" s="24" t="s">
        <v>203</v>
      </c>
      <c r="B65" s="14" t="s">
        <v>184</v>
      </c>
      <c r="C65" s="14" t="n">
        <v>2</v>
      </c>
      <c r="D65" s="14" t="n">
        <v>1</v>
      </c>
      <c r="E65" s="14" t="n">
        <v>0</v>
      </c>
      <c r="F65" s="32" t="n">
        <f aca="false">(1/2_시험자료!$D$23)*(1-2_시험자료!$F$23)</f>
        <v>0.416666666666667</v>
      </c>
      <c r="G65" s="33" t="n">
        <f aca="false">2_시험자료!G13</f>
        <v>545.5</v>
      </c>
      <c r="H65" s="34" t="n">
        <f aca="false">IF(E65=1,1000000000,texp2_s)</f>
        <v>750</v>
      </c>
      <c r="I65" s="14" t="n">
        <f aca="false">FLOOR(MIN(t_fs_s,H65)/G65,1)</f>
        <v>1</v>
      </c>
      <c r="J65" s="14" t="n">
        <f aca="false">IF(C65=1,FLOOR(t_fs_s/tau_L_s,1),0)</f>
        <v>0</v>
      </c>
      <c r="K65" s="17" t="n">
        <f aca="false">IF(D65=1,1-p_cb,1)</f>
        <v>0.3</v>
      </c>
      <c r="L65" s="17" t="n">
        <f aca="false">IF(C65=1,p_L,0)</f>
        <v>0</v>
      </c>
      <c r="M65" s="35" t="n">
        <f aca="false">SUMPRODUCT(w_ie2,1-(1-(j_row&lt;=I65)*K65^j_row)*(1-(j_row&lt;=J65)*L65^j_row))</f>
        <v>0.3</v>
      </c>
      <c r="N65" s="31" t="n">
        <f aca="false">occ_st*SUMPRODUCT(w_ie2,(j_row&lt;=I65)*K65^j_row*(j_row&lt;=J65)*L65^j_row*(((j_row*G65&lt;rset_s)+(j_row*tau_L_s&lt;rset_s))&gt;0)+(j_row&lt;=I65)*K65^j_row*(1-(j_row&lt;=J65)*L65^j_row)*(j_row*G65&lt;rset_s)+(1-(j_row&lt;=I65)*K65^j_row)*(j_row&lt;=J65)*L65^j_row*(j_row*tau_L_s&lt;rset_s))</f>
        <v>1.5</v>
      </c>
      <c r="O65" s="35" t="n">
        <f aca="false">IF(O$8&lt;N_st,1,0)*(1-(1-(O$8&lt;=I65)*K65^O$8)*(1-(O$8&lt;=J65)*L65^O$8))</f>
        <v>0.3</v>
      </c>
      <c r="P65" s="35" t="n">
        <f aca="false">IF(P$8&lt;N_st,1,0)*(1-(1-(P$8&lt;=I65)*K65^P$8)*(1-(P$8&lt;=J65)*L65^P$8))</f>
        <v>0</v>
      </c>
      <c r="Q65" s="35" t="n">
        <f aca="false">IF(Q$8&lt;N_st,1,0)*(1-(1-(Q$8&lt;=I65)*K65^Q$8)*(1-(Q$8&lt;=J65)*L65^Q$8))</f>
        <v>0</v>
      </c>
      <c r="R65" s="35" t="n">
        <f aca="false">IF(R$8&lt;N_st,1,0)*(1-(1-(R$8&lt;=I65)*K65^R$8)*(1-(R$8&lt;=J65)*L65^R$8))</f>
        <v>0</v>
      </c>
      <c r="S65" s="35" t="n">
        <f aca="false">IF(S$8&lt;N_st,1,0)*(1-(1-(S$8&lt;=I65)*K65^S$8)*(1-(S$8&lt;=J65)*L65^S$8))</f>
        <v>0</v>
      </c>
      <c r="T65" s="35" t="n">
        <f aca="false">IF(T$8&lt;N_st,1,0)*(1-(1-(T$8&lt;=I65)*K65^T$8)*(1-(T$8&lt;=J65)*L65^T$8))</f>
        <v>0</v>
      </c>
      <c r="U65" s="35" t="n">
        <f aca="false">IF(U$8&lt;N_st,1,0)*(1-(1-(U$8&lt;=I65)*K65^U$8)*(1-(U$8&lt;=J65)*L65^U$8))</f>
        <v>0</v>
      </c>
      <c r="V65" s="35" t="n">
        <f aca="false">IF(V$8&lt;N_st,1,0)*(1-(1-(V$8&lt;=I65)*K65^V$8)*(1-(V$8&lt;=J65)*L65^V$8))</f>
        <v>0</v>
      </c>
      <c r="W65" s="35" t="n">
        <f aca="false">IF(W$8&lt;N_st,1,0)*(1-(1-(W$8&lt;=I65)*K65^W$8)*(1-(W$8&lt;=J65)*L65^W$8))</f>
        <v>0</v>
      </c>
      <c r="X65" s="35" t="n">
        <f aca="false">IF(X$8&lt;N_st,1,0)*(1-(1-(X$8&lt;=I65)*K65^X$8)*(1-(X$8&lt;=J65)*L65^X$8))</f>
        <v>0</v>
      </c>
      <c r="Y65" s="35" t="n">
        <f aca="false">IF(Y$8&lt;N_st,1,0)*(1-(1-(Y$8&lt;=I65)*K65^Y$8)*(1-(Y$8&lt;=J65)*L65^Y$8))</f>
        <v>0</v>
      </c>
      <c r="Z65" s="35" t="n">
        <f aca="false">IF(Z$8&lt;N_st,1,0)*(1-(1-(Z$8&lt;=I65)*K65^Z$8)*(1-(Z$8&lt;=J65)*L65^Z$8))</f>
        <v>0</v>
      </c>
      <c r="AA65" s="35" t="n">
        <f aca="false">IF(AA$8&lt;N_st,1,0)*(1-(1-(AA$8&lt;=I65)*K65^AA$8)*(1-(AA$8&lt;=J65)*L65^AA$8))</f>
        <v>0</v>
      </c>
      <c r="AB65" s="35" t="n">
        <f aca="false">IF(AB$8&lt;N_st,1,0)*(1-(1-(AB$8&lt;=I65)*K65^AB$8)*(1-(AB$8&lt;=J65)*L65^AB$8))</f>
        <v>0</v>
      </c>
      <c r="AC65" s="35" t="n">
        <f aca="false">IF(AC$8&lt;N_st,1,0)*(1-(1-(AC$8&lt;=I65)*K65^AC$8)*(1-(AC$8&lt;=J65)*L65^AC$8))</f>
        <v>0</v>
      </c>
      <c r="AD65" s="35" t="n">
        <f aca="false">IF(AD$8&lt;N_st,1,0)*(1-(1-(AD$8&lt;=I65)*K65^AD$8)*(1-(AD$8&lt;=J65)*L65^AD$8))</f>
        <v>0</v>
      </c>
      <c r="AE65" s="35" t="n">
        <f aca="false">IF(AE$8&lt;N_st,1,0)*(1-(1-(AE$8&lt;=I65)*K65^AE$8)*(1-(AE$8&lt;=J65)*L65^AE$8))</f>
        <v>0</v>
      </c>
      <c r="AF65" s="35" t="n">
        <f aca="false">IF(AF$8&lt;N_st,1,0)*(1-(1-(AF$8&lt;=I65)*K65^AF$8)*(1-(AF$8&lt;=J65)*L65^AF$8))</f>
        <v>0</v>
      </c>
      <c r="AG65" s="35" t="n">
        <f aca="false">IF(AG$8&lt;N_st,1,0)*(1-(1-(AG$8&lt;=I65)*K65^AG$8)*(1-(AG$8&lt;=J65)*L65^AG$8))</f>
        <v>0</v>
      </c>
      <c r="AH65" s="35" t="n">
        <f aca="false">IF(AH$8&lt;N_st,1,0)*(1-(1-(AH$8&lt;=I65)*K65^AH$8)*(1-(AH$8&lt;=J65)*L65^AH$8))</f>
        <v>0</v>
      </c>
    </row>
    <row r="66" customFormat="false" ht="15" hidden="false" customHeight="false" outlineLevel="0" collapsed="false">
      <c r="A66" s="24" t="s">
        <v>205</v>
      </c>
      <c r="B66" s="14" t="s">
        <v>185</v>
      </c>
      <c r="C66" s="14" t="n">
        <v>1</v>
      </c>
      <c r="D66" s="14" t="n">
        <v>0</v>
      </c>
      <c r="E66" s="14" t="n">
        <v>1</v>
      </c>
      <c r="F66" s="32" t="n">
        <f aca="false">(1/2_시험자료!$D$24)*2_시험자료!$F$24</f>
        <v>0.416666666666667</v>
      </c>
      <c r="G66" s="33" t="n">
        <f aca="false">2_시험자료!G14</f>
        <v>622.5</v>
      </c>
      <c r="H66" s="34" t="n">
        <f aca="false">IF(E66=1,1000000000,texp1_s)</f>
        <v>1000000000</v>
      </c>
      <c r="I66" s="14" t="n">
        <f aca="false">FLOOR(MIN(t_fs_s,H66)/G66,1)</f>
        <v>1</v>
      </c>
      <c r="J66" s="14" t="n">
        <f aca="false">IF(C66=1,FLOOR(t_fs_s/tau_L_s,1),0)</f>
        <v>1</v>
      </c>
      <c r="K66" s="17" t="n">
        <f aca="false">IF(D66=1,1-p_cb,1)</f>
        <v>1</v>
      </c>
      <c r="L66" s="17" t="n">
        <f aca="false">IF(C66=1,p_L,0)</f>
        <v>0.15</v>
      </c>
      <c r="M66" s="35" t="n">
        <f aca="false">SUMPRODUCT(w_ie1,1-(1-(j_row&lt;=I66)*K66^j_row)*(1-(j_row&lt;=J66)*L66^j_row))</f>
        <v>0.933333333333333</v>
      </c>
      <c r="N66" s="31" t="n">
        <f aca="false">occ_st*SUMPRODUCT(w_ie1,(j_row&lt;=I66)*K66^j_row*(j_row&lt;=J66)*L66^j_row*(((j_row*G66&lt;rset_s)+(j_row*tau_L_s&lt;rset_s))&gt;0)+(j_row&lt;=I66)*K66^j_row*(1-(j_row&lt;=J66)*L66^j_row)*(j_row*G66&lt;rset_s)+(1-(j_row&lt;=I66)*K66^j_row)*(j_row&lt;=J66)*L66^j_row*(j_row*tau_L_s&lt;rset_s))</f>
        <v>4.66666666666667</v>
      </c>
      <c r="O66" s="35" t="n">
        <f aca="false">IF(O$8&lt;N_st,(N_st-O$8)/N_st,0)*(1-(1-(O$8&lt;=I66)*K66^O$8)*(1-(O$8&lt;=J66)*L66^O$8))</f>
        <v>0.933333333333333</v>
      </c>
      <c r="P66" s="35" t="n">
        <f aca="false">IF(P$8&lt;N_st,(N_st-P$8)/N_st,0)*(1-(1-(P$8&lt;=I66)*K66^P$8)*(1-(P$8&lt;=J66)*L66^P$8))</f>
        <v>0</v>
      </c>
      <c r="Q66" s="35" t="n">
        <f aca="false">IF(Q$8&lt;N_st,(N_st-Q$8)/N_st,0)*(1-(1-(Q$8&lt;=I66)*K66^Q$8)*(1-(Q$8&lt;=J66)*L66^Q$8))</f>
        <v>0</v>
      </c>
      <c r="R66" s="35" t="n">
        <f aca="false">IF(R$8&lt;N_st,(N_st-R$8)/N_st,0)*(1-(1-(R$8&lt;=I66)*K66^R$8)*(1-(R$8&lt;=J66)*L66^R$8))</f>
        <v>0</v>
      </c>
      <c r="S66" s="35" t="n">
        <f aca="false">IF(S$8&lt;N_st,(N_st-S$8)/N_st,0)*(1-(1-(S$8&lt;=I66)*K66^S$8)*(1-(S$8&lt;=J66)*L66^S$8))</f>
        <v>0</v>
      </c>
      <c r="T66" s="35" t="n">
        <f aca="false">IF(T$8&lt;N_st,(N_st-T$8)/N_st,0)*(1-(1-(T$8&lt;=I66)*K66^T$8)*(1-(T$8&lt;=J66)*L66^T$8))</f>
        <v>0</v>
      </c>
      <c r="U66" s="35" t="n">
        <f aca="false">IF(U$8&lt;N_st,(N_st-U$8)/N_st,0)*(1-(1-(U$8&lt;=I66)*K66^U$8)*(1-(U$8&lt;=J66)*L66^U$8))</f>
        <v>0</v>
      </c>
      <c r="V66" s="35" t="n">
        <f aca="false">IF(V$8&lt;N_st,(N_st-V$8)/N_st,0)*(1-(1-(V$8&lt;=I66)*K66^V$8)*(1-(V$8&lt;=J66)*L66^V$8))</f>
        <v>0</v>
      </c>
      <c r="W66" s="35" t="n">
        <f aca="false">IF(W$8&lt;N_st,(N_st-W$8)/N_st,0)*(1-(1-(W$8&lt;=I66)*K66^W$8)*(1-(W$8&lt;=J66)*L66^W$8))</f>
        <v>0</v>
      </c>
      <c r="X66" s="35" t="n">
        <f aca="false">IF(X$8&lt;N_st,(N_st-X$8)/N_st,0)*(1-(1-(X$8&lt;=I66)*K66^X$8)*(1-(X$8&lt;=J66)*L66^X$8))</f>
        <v>0</v>
      </c>
      <c r="Y66" s="35" t="n">
        <f aca="false">IF(Y$8&lt;N_st,(N_st-Y$8)/N_st,0)*(1-(1-(Y$8&lt;=I66)*K66^Y$8)*(1-(Y$8&lt;=J66)*L66^Y$8))</f>
        <v>0</v>
      </c>
      <c r="Z66" s="35" t="n">
        <f aca="false">IF(Z$8&lt;N_st,(N_st-Z$8)/N_st,0)*(1-(1-(Z$8&lt;=I66)*K66^Z$8)*(1-(Z$8&lt;=J66)*L66^Z$8))</f>
        <v>0</v>
      </c>
      <c r="AA66" s="35" t="n">
        <f aca="false">IF(AA$8&lt;N_st,(N_st-AA$8)/N_st,0)*(1-(1-(AA$8&lt;=I66)*K66^AA$8)*(1-(AA$8&lt;=J66)*L66^AA$8))</f>
        <v>0</v>
      </c>
      <c r="AB66" s="35" t="n">
        <f aca="false">IF(AB$8&lt;N_st,(N_st-AB$8)/N_st,0)*(1-(1-(AB$8&lt;=I66)*K66^AB$8)*(1-(AB$8&lt;=J66)*L66^AB$8))</f>
        <v>0</v>
      </c>
      <c r="AC66" s="35" t="n">
        <f aca="false">IF(AC$8&lt;N_st,(N_st-AC$8)/N_st,0)*(1-(1-(AC$8&lt;=I66)*K66^AC$8)*(1-(AC$8&lt;=J66)*L66^AC$8))</f>
        <v>0</v>
      </c>
      <c r="AD66" s="35" t="n">
        <f aca="false">IF(AD$8&lt;N_st,(N_st-AD$8)/N_st,0)*(1-(1-(AD$8&lt;=I66)*K66^AD$8)*(1-(AD$8&lt;=J66)*L66^AD$8))</f>
        <v>0</v>
      </c>
      <c r="AE66" s="35" t="n">
        <f aca="false">IF(AE$8&lt;N_st,(N_st-AE$8)/N_st,0)*(1-(1-(AE$8&lt;=I66)*K66^AE$8)*(1-(AE$8&lt;=J66)*L66^AE$8))</f>
        <v>0</v>
      </c>
      <c r="AF66" s="35" t="n">
        <f aca="false">IF(AF$8&lt;N_st,(N_st-AF$8)/N_st,0)*(1-(1-(AF$8&lt;=I66)*K66^AF$8)*(1-(AF$8&lt;=J66)*L66^AF$8))</f>
        <v>0</v>
      </c>
      <c r="AG66" s="35" t="n">
        <f aca="false">IF(AG$8&lt;N_st,(N_st-AG$8)/N_st,0)*(1-(1-(AG$8&lt;=I66)*K66^AG$8)*(1-(AG$8&lt;=J66)*L66^AG$8))</f>
        <v>0</v>
      </c>
      <c r="AH66" s="35" t="n">
        <f aca="false">IF(AH$8&lt;N_st,(N_st-AH$8)/N_st,0)*(1-(1-(AH$8&lt;=I66)*K66^AH$8)*(1-(AH$8&lt;=J66)*L66^AH$8))</f>
        <v>0</v>
      </c>
    </row>
    <row r="67" customFormat="false" ht="15" hidden="false" customHeight="false" outlineLevel="0" collapsed="false">
      <c r="A67" s="24" t="s">
        <v>205</v>
      </c>
      <c r="B67" s="14" t="s">
        <v>185</v>
      </c>
      <c r="C67" s="14" t="n">
        <v>1</v>
      </c>
      <c r="D67" s="14" t="n">
        <v>0</v>
      </c>
      <c r="E67" s="14" t="n">
        <v>0</v>
      </c>
      <c r="F67" s="32" t="n">
        <f aca="false">(1/2_시험자료!$D$24)*(1-2_시험자료!$F$24)</f>
        <v>0.0833333333333333</v>
      </c>
      <c r="G67" s="33" t="n">
        <f aca="false">2_시험자료!G14</f>
        <v>622.5</v>
      </c>
      <c r="H67" s="34" t="n">
        <f aca="false">IF(E67=1,1000000000,texp1_s)</f>
        <v>1200</v>
      </c>
      <c r="I67" s="14" t="n">
        <f aca="false">FLOOR(MIN(t_fs_s,H67)/G67,1)</f>
        <v>1</v>
      </c>
      <c r="J67" s="14" t="n">
        <f aca="false">IF(C67=1,FLOOR(t_fs_s/tau_L_s,1),0)</f>
        <v>1</v>
      </c>
      <c r="K67" s="17" t="n">
        <f aca="false">IF(D67=1,1-p_cb,1)</f>
        <v>1</v>
      </c>
      <c r="L67" s="17" t="n">
        <f aca="false">IF(C67=1,p_L,0)</f>
        <v>0.15</v>
      </c>
      <c r="M67" s="35" t="n">
        <f aca="false">SUMPRODUCT(w_ie1,1-(1-(j_row&lt;=I67)*K67^j_row)*(1-(j_row&lt;=J67)*L67^j_row))</f>
        <v>0.933333333333333</v>
      </c>
      <c r="N67" s="31" t="n">
        <f aca="false">occ_st*SUMPRODUCT(w_ie1,(j_row&lt;=I67)*K67^j_row*(j_row&lt;=J67)*L67^j_row*(((j_row*G67&lt;rset_s)+(j_row*tau_L_s&lt;rset_s))&gt;0)+(j_row&lt;=I67)*K67^j_row*(1-(j_row&lt;=J67)*L67^j_row)*(j_row*G67&lt;rset_s)+(1-(j_row&lt;=I67)*K67^j_row)*(j_row&lt;=J67)*L67^j_row*(j_row*tau_L_s&lt;rset_s))</f>
        <v>4.66666666666667</v>
      </c>
      <c r="O67" s="35" t="n">
        <f aca="false">IF(O$8&lt;N_st,(N_st-O$8)/N_st,0)*(1-(1-(O$8&lt;=I67)*K67^O$8)*(1-(O$8&lt;=J67)*L67^O$8))</f>
        <v>0.933333333333333</v>
      </c>
      <c r="P67" s="35" t="n">
        <f aca="false">IF(P$8&lt;N_st,(N_st-P$8)/N_st,0)*(1-(1-(P$8&lt;=I67)*K67^P$8)*(1-(P$8&lt;=J67)*L67^P$8))</f>
        <v>0</v>
      </c>
      <c r="Q67" s="35" t="n">
        <f aca="false">IF(Q$8&lt;N_st,(N_st-Q$8)/N_st,0)*(1-(1-(Q$8&lt;=I67)*K67^Q$8)*(1-(Q$8&lt;=J67)*L67^Q$8))</f>
        <v>0</v>
      </c>
      <c r="R67" s="35" t="n">
        <f aca="false">IF(R$8&lt;N_st,(N_st-R$8)/N_st,0)*(1-(1-(R$8&lt;=I67)*K67^R$8)*(1-(R$8&lt;=J67)*L67^R$8))</f>
        <v>0</v>
      </c>
      <c r="S67" s="35" t="n">
        <f aca="false">IF(S$8&lt;N_st,(N_st-S$8)/N_st,0)*(1-(1-(S$8&lt;=I67)*K67^S$8)*(1-(S$8&lt;=J67)*L67^S$8))</f>
        <v>0</v>
      </c>
      <c r="T67" s="35" t="n">
        <f aca="false">IF(T$8&lt;N_st,(N_st-T$8)/N_st,0)*(1-(1-(T$8&lt;=I67)*K67^T$8)*(1-(T$8&lt;=J67)*L67^T$8))</f>
        <v>0</v>
      </c>
      <c r="U67" s="35" t="n">
        <f aca="false">IF(U$8&lt;N_st,(N_st-U$8)/N_st,0)*(1-(1-(U$8&lt;=I67)*K67^U$8)*(1-(U$8&lt;=J67)*L67^U$8))</f>
        <v>0</v>
      </c>
      <c r="V67" s="35" t="n">
        <f aca="false">IF(V$8&lt;N_st,(N_st-V$8)/N_st,0)*(1-(1-(V$8&lt;=I67)*K67^V$8)*(1-(V$8&lt;=J67)*L67^V$8))</f>
        <v>0</v>
      </c>
      <c r="W67" s="35" t="n">
        <f aca="false">IF(W$8&lt;N_st,(N_st-W$8)/N_st,0)*(1-(1-(W$8&lt;=I67)*K67^W$8)*(1-(W$8&lt;=J67)*L67^W$8))</f>
        <v>0</v>
      </c>
      <c r="X67" s="35" t="n">
        <f aca="false">IF(X$8&lt;N_st,(N_st-X$8)/N_st,0)*(1-(1-(X$8&lt;=I67)*K67^X$8)*(1-(X$8&lt;=J67)*L67^X$8))</f>
        <v>0</v>
      </c>
      <c r="Y67" s="35" t="n">
        <f aca="false">IF(Y$8&lt;N_st,(N_st-Y$8)/N_st,0)*(1-(1-(Y$8&lt;=I67)*K67^Y$8)*(1-(Y$8&lt;=J67)*L67^Y$8))</f>
        <v>0</v>
      </c>
      <c r="Z67" s="35" t="n">
        <f aca="false">IF(Z$8&lt;N_st,(N_st-Z$8)/N_st,0)*(1-(1-(Z$8&lt;=I67)*K67^Z$8)*(1-(Z$8&lt;=J67)*L67^Z$8))</f>
        <v>0</v>
      </c>
      <c r="AA67" s="35" t="n">
        <f aca="false">IF(AA$8&lt;N_st,(N_st-AA$8)/N_st,0)*(1-(1-(AA$8&lt;=I67)*K67^AA$8)*(1-(AA$8&lt;=J67)*L67^AA$8))</f>
        <v>0</v>
      </c>
      <c r="AB67" s="35" t="n">
        <f aca="false">IF(AB$8&lt;N_st,(N_st-AB$8)/N_st,0)*(1-(1-(AB$8&lt;=I67)*K67^AB$8)*(1-(AB$8&lt;=J67)*L67^AB$8))</f>
        <v>0</v>
      </c>
      <c r="AC67" s="35" t="n">
        <f aca="false">IF(AC$8&lt;N_st,(N_st-AC$8)/N_st,0)*(1-(1-(AC$8&lt;=I67)*K67^AC$8)*(1-(AC$8&lt;=J67)*L67^AC$8))</f>
        <v>0</v>
      </c>
      <c r="AD67" s="35" t="n">
        <f aca="false">IF(AD$8&lt;N_st,(N_st-AD$8)/N_st,0)*(1-(1-(AD$8&lt;=I67)*K67^AD$8)*(1-(AD$8&lt;=J67)*L67^AD$8))</f>
        <v>0</v>
      </c>
      <c r="AE67" s="35" t="n">
        <f aca="false">IF(AE$8&lt;N_st,(N_st-AE$8)/N_st,0)*(1-(1-(AE$8&lt;=I67)*K67^AE$8)*(1-(AE$8&lt;=J67)*L67^AE$8))</f>
        <v>0</v>
      </c>
      <c r="AF67" s="35" t="n">
        <f aca="false">IF(AF$8&lt;N_st,(N_st-AF$8)/N_st,0)*(1-(1-(AF$8&lt;=I67)*K67^AF$8)*(1-(AF$8&lt;=J67)*L67^AF$8))</f>
        <v>0</v>
      </c>
      <c r="AG67" s="35" t="n">
        <f aca="false">IF(AG$8&lt;N_st,(N_st-AG$8)/N_st,0)*(1-(1-(AG$8&lt;=I67)*K67^AG$8)*(1-(AG$8&lt;=J67)*L67^AG$8))</f>
        <v>0</v>
      </c>
      <c r="AH67" s="35" t="n">
        <f aca="false">IF(AH$8&lt;N_st,(N_st-AH$8)/N_st,0)*(1-(1-(AH$8&lt;=I67)*K67^AH$8)*(1-(AH$8&lt;=J67)*L67^AH$8))</f>
        <v>0</v>
      </c>
    </row>
    <row r="68" customFormat="false" ht="15" hidden="false" customHeight="false" outlineLevel="0" collapsed="false">
      <c r="A68" s="24" t="s">
        <v>205</v>
      </c>
      <c r="B68" s="14" t="s">
        <v>185</v>
      </c>
      <c r="C68" s="14" t="n">
        <v>1</v>
      </c>
      <c r="D68" s="14" t="n">
        <v>1</v>
      </c>
      <c r="E68" s="14" t="n">
        <v>1</v>
      </c>
      <c r="F68" s="32" t="n">
        <f aca="false">(1/2_시험자료!$D$24)*2_시험자료!$F$24</f>
        <v>0.416666666666667</v>
      </c>
      <c r="G68" s="33" t="n">
        <f aca="false">2_시험자료!G14</f>
        <v>622.5</v>
      </c>
      <c r="H68" s="34" t="n">
        <f aca="false">IF(E68=1,1000000000,texp1_s)</f>
        <v>1000000000</v>
      </c>
      <c r="I68" s="14" t="n">
        <f aca="false">FLOOR(MIN(t_fs_s,H68)/G68,1)</f>
        <v>1</v>
      </c>
      <c r="J68" s="14" t="n">
        <f aca="false">IF(C68=1,FLOOR(t_fs_s/tau_L_s,1),0)</f>
        <v>1</v>
      </c>
      <c r="K68" s="17" t="n">
        <f aca="false">IF(D68=1,1-p_cb,1)</f>
        <v>0.3</v>
      </c>
      <c r="L68" s="17" t="n">
        <f aca="false">IF(C68=1,p_L,0)</f>
        <v>0.15</v>
      </c>
      <c r="M68" s="35" t="n">
        <f aca="false">SUMPRODUCT(w_ie1,1-(1-(j_row&lt;=I68)*K68^j_row)*(1-(j_row&lt;=J68)*L68^j_row))</f>
        <v>0.378</v>
      </c>
      <c r="N68" s="31" t="n">
        <f aca="false">occ_st*SUMPRODUCT(w_ie1,(j_row&lt;=I68)*K68^j_row*(j_row&lt;=J68)*L68^j_row*(((j_row*G68&lt;rset_s)+(j_row*tau_L_s&lt;rset_s))&gt;0)+(j_row&lt;=I68)*K68^j_row*(1-(j_row&lt;=J68)*L68^j_row)*(j_row*G68&lt;rset_s)+(1-(j_row&lt;=I68)*K68^j_row)*(j_row&lt;=J68)*L68^j_row*(j_row*tau_L_s&lt;rset_s))</f>
        <v>1.89</v>
      </c>
      <c r="O68" s="35" t="n">
        <f aca="false">IF(O$8&lt;N_st,(N_st-O$8)/N_st,0)*(1-(1-(O$8&lt;=I68)*K68^O$8)*(1-(O$8&lt;=J68)*L68^O$8))</f>
        <v>0.378</v>
      </c>
      <c r="P68" s="35" t="n">
        <f aca="false">IF(P$8&lt;N_st,(N_st-P$8)/N_st,0)*(1-(1-(P$8&lt;=I68)*K68^P$8)*(1-(P$8&lt;=J68)*L68^P$8))</f>
        <v>0</v>
      </c>
      <c r="Q68" s="35" t="n">
        <f aca="false">IF(Q$8&lt;N_st,(N_st-Q$8)/N_st,0)*(1-(1-(Q$8&lt;=I68)*K68^Q$8)*(1-(Q$8&lt;=J68)*L68^Q$8))</f>
        <v>0</v>
      </c>
      <c r="R68" s="35" t="n">
        <f aca="false">IF(R$8&lt;N_st,(N_st-R$8)/N_st,0)*(1-(1-(R$8&lt;=I68)*K68^R$8)*(1-(R$8&lt;=J68)*L68^R$8))</f>
        <v>0</v>
      </c>
      <c r="S68" s="35" t="n">
        <f aca="false">IF(S$8&lt;N_st,(N_st-S$8)/N_st,0)*(1-(1-(S$8&lt;=I68)*K68^S$8)*(1-(S$8&lt;=J68)*L68^S$8))</f>
        <v>0</v>
      </c>
      <c r="T68" s="35" t="n">
        <f aca="false">IF(T$8&lt;N_st,(N_st-T$8)/N_st,0)*(1-(1-(T$8&lt;=I68)*K68^T$8)*(1-(T$8&lt;=J68)*L68^T$8))</f>
        <v>0</v>
      </c>
      <c r="U68" s="35" t="n">
        <f aca="false">IF(U$8&lt;N_st,(N_st-U$8)/N_st,0)*(1-(1-(U$8&lt;=I68)*K68^U$8)*(1-(U$8&lt;=J68)*L68^U$8))</f>
        <v>0</v>
      </c>
      <c r="V68" s="35" t="n">
        <f aca="false">IF(V$8&lt;N_st,(N_st-V$8)/N_st,0)*(1-(1-(V$8&lt;=I68)*K68^V$8)*(1-(V$8&lt;=J68)*L68^V$8))</f>
        <v>0</v>
      </c>
      <c r="W68" s="35" t="n">
        <f aca="false">IF(W$8&lt;N_st,(N_st-W$8)/N_st,0)*(1-(1-(W$8&lt;=I68)*K68^W$8)*(1-(W$8&lt;=J68)*L68^W$8))</f>
        <v>0</v>
      </c>
      <c r="X68" s="35" t="n">
        <f aca="false">IF(X$8&lt;N_st,(N_st-X$8)/N_st,0)*(1-(1-(X$8&lt;=I68)*K68^X$8)*(1-(X$8&lt;=J68)*L68^X$8))</f>
        <v>0</v>
      </c>
      <c r="Y68" s="35" t="n">
        <f aca="false">IF(Y$8&lt;N_st,(N_st-Y$8)/N_st,0)*(1-(1-(Y$8&lt;=I68)*K68^Y$8)*(1-(Y$8&lt;=J68)*L68^Y$8))</f>
        <v>0</v>
      </c>
      <c r="Z68" s="35" t="n">
        <f aca="false">IF(Z$8&lt;N_st,(N_st-Z$8)/N_st,0)*(1-(1-(Z$8&lt;=I68)*K68^Z$8)*(1-(Z$8&lt;=J68)*L68^Z$8))</f>
        <v>0</v>
      </c>
      <c r="AA68" s="35" t="n">
        <f aca="false">IF(AA$8&lt;N_st,(N_st-AA$8)/N_st,0)*(1-(1-(AA$8&lt;=I68)*K68^AA$8)*(1-(AA$8&lt;=J68)*L68^AA$8))</f>
        <v>0</v>
      </c>
      <c r="AB68" s="35" t="n">
        <f aca="false">IF(AB$8&lt;N_st,(N_st-AB$8)/N_st,0)*(1-(1-(AB$8&lt;=I68)*K68^AB$8)*(1-(AB$8&lt;=J68)*L68^AB$8))</f>
        <v>0</v>
      </c>
      <c r="AC68" s="35" t="n">
        <f aca="false">IF(AC$8&lt;N_st,(N_st-AC$8)/N_st,0)*(1-(1-(AC$8&lt;=I68)*K68^AC$8)*(1-(AC$8&lt;=J68)*L68^AC$8))</f>
        <v>0</v>
      </c>
      <c r="AD68" s="35" t="n">
        <f aca="false">IF(AD$8&lt;N_st,(N_st-AD$8)/N_st,0)*(1-(1-(AD$8&lt;=I68)*K68^AD$8)*(1-(AD$8&lt;=J68)*L68^AD$8))</f>
        <v>0</v>
      </c>
      <c r="AE68" s="35" t="n">
        <f aca="false">IF(AE$8&lt;N_st,(N_st-AE$8)/N_st,0)*(1-(1-(AE$8&lt;=I68)*K68^AE$8)*(1-(AE$8&lt;=J68)*L68^AE$8))</f>
        <v>0</v>
      </c>
      <c r="AF68" s="35" t="n">
        <f aca="false">IF(AF$8&lt;N_st,(N_st-AF$8)/N_st,0)*(1-(1-(AF$8&lt;=I68)*K68^AF$8)*(1-(AF$8&lt;=J68)*L68^AF$8))</f>
        <v>0</v>
      </c>
      <c r="AG68" s="35" t="n">
        <f aca="false">IF(AG$8&lt;N_st,(N_st-AG$8)/N_st,0)*(1-(1-(AG$8&lt;=I68)*K68^AG$8)*(1-(AG$8&lt;=J68)*L68^AG$8))</f>
        <v>0</v>
      </c>
      <c r="AH68" s="35" t="n">
        <f aca="false">IF(AH$8&lt;N_st,(N_st-AH$8)/N_st,0)*(1-(1-(AH$8&lt;=I68)*K68^AH$8)*(1-(AH$8&lt;=J68)*L68^AH$8))</f>
        <v>0</v>
      </c>
    </row>
    <row r="69" customFormat="false" ht="15" hidden="false" customHeight="false" outlineLevel="0" collapsed="false">
      <c r="A69" s="24" t="s">
        <v>205</v>
      </c>
      <c r="B69" s="14" t="s">
        <v>185</v>
      </c>
      <c r="C69" s="14" t="n">
        <v>1</v>
      </c>
      <c r="D69" s="14" t="n">
        <v>1</v>
      </c>
      <c r="E69" s="14" t="n">
        <v>0</v>
      </c>
      <c r="F69" s="32" t="n">
        <f aca="false">(1/2_시험자료!$D$24)*(1-2_시험자료!$F$24)</f>
        <v>0.0833333333333333</v>
      </c>
      <c r="G69" s="33" t="n">
        <f aca="false">2_시험자료!G14</f>
        <v>622.5</v>
      </c>
      <c r="H69" s="34" t="n">
        <f aca="false">IF(E69=1,1000000000,texp1_s)</f>
        <v>1200</v>
      </c>
      <c r="I69" s="14" t="n">
        <f aca="false">FLOOR(MIN(t_fs_s,H69)/G69,1)</f>
        <v>1</v>
      </c>
      <c r="J69" s="14" t="n">
        <f aca="false">IF(C69=1,FLOOR(t_fs_s/tau_L_s,1),0)</f>
        <v>1</v>
      </c>
      <c r="K69" s="17" t="n">
        <f aca="false">IF(D69=1,1-p_cb,1)</f>
        <v>0.3</v>
      </c>
      <c r="L69" s="17" t="n">
        <f aca="false">IF(C69=1,p_L,0)</f>
        <v>0.15</v>
      </c>
      <c r="M69" s="35" t="n">
        <f aca="false">SUMPRODUCT(w_ie1,1-(1-(j_row&lt;=I69)*K69^j_row)*(1-(j_row&lt;=J69)*L69^j_row))</f>
        <v>0.378</v>
      </c>
      <c r="N69" s="31" t="n">
        <f aca="false">occ_st*SUMPRODUCT(w_ie1,(j_row&lt;=I69)*K69^j_row*(j_row&lt;=J69)*L69^j_row*(((j_row*G69&lt;rset_s)+(j_row*tau_L_s&lt;rset_s))&gt;0)+(j_row&lt;=I69)*K69^j_row*(1-(j_row&lt;=J69)*L69^j_row)*(j_row*G69&lt;rset_s)+(1-(j_row&lt;=I69)*K69^j_row)*(j_row&lt;=J69)*L69^j_row*(j_row*tau_L_s&lt;rset_s))</f>
        <v>1.89</v>
      </c>
      <c r="O69" s="35" t="n">
        <f aca="false">IF(O$8&lt;N_st,(N_st-O$8)/N_st,0)*(1-(1-(O$8&lt;=I69)*K69^O$8)*(1-(O$8&lt;=J69)*L69^O$8))</f>
        <v>0.378</v>
      </c>
      <c r="P69" s="35" t="n">
        <f aca="false">IF(P$8&lt;N_st,(N_st-P$8)/N_st,0)*(1-(1-(P$8&lt;=I69)*K69^P$8)*(1-(P$8&lt;=J69)*L69^P$8))</f>
        <v>0</v>
      </c>
      <c r="Q69" s="35" t="n">
        <f aca="false">IF(Q$8&lt;N_st,(N_st-Q$8)/N_st,0)*(1-(1-(Q$8&lt;=I69)*K69^Q$8)*(1-(Q$8&lt;=J69)*L69^Q$8))</f>
        <v>0</v>
      </c>
      <c r="R69" s="35" t="n">
        <f aca="false">IF(R$8&lt;N_st,(N_st-R$8)/N_st,0)*(1-(1-(R$8&lt;=I69)*K69^R$8)*(1-(R$8&lt;=J69)*L69^R$8))</f>
        <v>0</v>
      </c>
      <c r="S69" s="35" t="n">
        <f aca="false">IF(S$8&lt;N_st,(N_st-S$8)/N_st,0)*(1-(1-(S$8&lt;=I69)*K69^S$8)*(1-(S$8&lt;=J69)*L69^S$8))</f>
        <v>0</v>
      </c>
      <c r="T69" s="35" t="n">
        <f aca="false">IF(T$8&lt;N_st,(N_st-T$8)/N_st,0)*(1-(1-(T$8&lt;=I69)*K69^T$8)*(1-(T$8&lt;=J69)*L69^T$8))</f>
        <v>0</v>
      </c>
      <c r="U69" s="35" t="n">
        <f aca="false">IF(U$8&lt;N_st,(N_st-U$8)/N_st,0)*(1-(1-(U$8&lt;=I69)*K69^U$8)*(1-(U$8&lt;=J69)*L69^U$8))</f>
        <v>0</v>
      </c>
      <c r="V69" s="35" t="n">
        <f aca="false">IF(V$8&lt;N_st,(N_st-V$8)/N_st,0)*(1-(1-(V$8&lt;=I69)*K69^V$8)*(1-(V$8&lt;=J69)*L69^V$8))</f>
        <v>0</v>
      </c>
      <c r="W69" s="35" t="n">
        <f aca="false">IF(W$8&lt;N_st,(N_st-W$8)/N_st,0)*(1-(1-(W$8&lt;=I69)*K69^W$8)*(1-(W$8&lt;=J69)*L69^W$8))</f>
        <v>0</v>
      </c>
      <c r="X69" s="35" t="n">
        <f aca="false">IF(X$8&lt;N_st,(N_st-X$8)/N_st,0)*(1-(1-(X$8&lt;=I69)*K69^X$8)*(1-(X$8&lt;=J69)*L69^X$8))</f>
        <v>0</v>
      </c>
      <c r="Y69" s="35" t="n">
        <f aca="false">IF(Y$8&lt;N_st,(N_st-Y$8)/N_st,0)*(1-(1-(Y$8&lt;=I69)*K69^Y$8)*(1-(Y$8&lt;=J69)*L69^Y$8))</f>
        <v>0</v>
      </c>
      <c r="Z69" s="35" t="n">
        <f aca="false">IF(Z$8&lt;N_st,(N_st-Z$8)/N_st,0)*(1-(1-(Z$8&lt;=I69)*K69^Z$8)*(1-(Z$8&lt;=J69)*L69^Z$8))</f>
        <v>0</v>
      </c>
      <c r="AA69" s="35" t="n">
        <f aca="false">IF(AA$8&lt;N_st,(N_st-AA$8)/N_st,0)*(1-(1-(AA$8&lt;=I69)*K69^AA$8)*(1-(AA$8&lt;=J69)*L69^AA$8))</f>
        <v>0</v>
      </c>
      <c r="AB69" s="35" t="n">
        <f aca="false">IF(AB$8&lt;N_st,(N_st-AB$8)/N_st,0)*(1-(1-(AB$8&lt;=I69)*K69^AB$8)*(1-(AB$8&lt;=J69)*L69^AB$8))</f>
        <v>0</v>
      </c>
      <c r="AC69" s="35" t="n">
        <f aca="false">IF(AC$8&lt;N_st,(N_st-AC$8)/N_st,0)*(1-(1-(AC$8&lt;=I69)*K69^AC$8)*(1-(AC$8&lt;=J69)*L69^AC$8))</f>
        <v>0</v>
      </c>
      <c r="AD69" s="35" t="n">
        <f aca="false">IF(AD$8&lt;N_st,(N_st-AD$8)/N_st,0)*(1-(1-(AD$8&lt;=I69)*K69^AD$8)*(1-(AD$8&lt;=J69)*L69^AD$8))</f>
        <v>0</v>
      </c>
      <c r="AE69" s="35" t="n">
        <f aca="false">IF(AE$8&lt;N_st,(N_st-AE$8)/N_st,0)*(1-(1-(AE$8&lt;=I69)*K69^AE$8)*(1-(AE$8&lt;=J69)*L69^AE$8))</f>
        <v>0</v>
      </c>
      <c r="AF69" s="35" t="n">
        <f aca="false">IF(AF$8&lt;N_st,(N_st-AF$8)/N_st,0)*(1-(1-(AF$8&lt;=I69)*K69^AF$8)*(1-(AF$8&lt;=J69)*L69^AF$8))</f>
        <v>0</v>
      </c>
      <c r="AG69" s="35" t="n">
        <f aca="false">IF(AG$8&lt;N_st,(N_st-AG$8)/N_st,0)*(1-(1-(AG$8&lt;=I69)*K69^AG$8)*(1-(AG$8&lt;=J69)*L69^AG$8))</f>
        <v>0</v>
      </c>
      <c r="AH69" s="35" t="n">
        <f aca="false">IF(AH$8&lt;N_st,(N_st-AH$8)/N_st,0)*(1-(1-(AH$8&lt;=I69)*K69^AH$8)*(1-(AH$8&lt;=J69)*L69^AH$8))</f>
        <v>0</v>
      </c>
    </row>
    <row r="70" customFormat="false" ht="15" hidden="false" customHeight="false" outlineLevel="0" collapsed="false">
      <c r="A70" s="24" t="s">
        <v>205</v>
      </c>
      <c r="B70" s="14" t="s">
        <v>185</v>
      </c>
      <c r="C70" s="14" t="n">
        <v>2</v>
      </c>
      <c r="D70" s="14" t="n">
        <v>0</v>
      </c>
      <c r="E70" s="14" t="n">
        <v>1</v>
      </c>
      <c r="F70" s="32" t="n">
        <f aca="false">(1/2_시험자료!$D$24)*2_시험자료!$F$24</f>
        <v>0.416666666666667</v>
      </c>
      <c r="G70" s="33" t="n">
        <f aca="false">2_시험자료!G14</f>
        <v>622.5</v>
      </c>
      <c r="H70" s="34" t="n">
        <f aca="false">IF(E70=1,1000000000,texp2_s)</f>
        <v>1000000000</v>
      </c>
      <c r="I70" s="14" t="n">
        <f aca="false">FLOOR(MIN(t_fs_s,H70)/G70,1)</f>
        <v>1</v>
      </c>
      <c r="J70" s="14" t="n">
        <f aca="false">IF(C70=1,FLOOR(t_fs_s/tau_L_s,1),0)</f>
        <v>0</v>
      </c>
      <c r="K70" s="17" t="n">
        <f aca="false">IF(D70=1,1-p_cb,1)</f>
        <v>1</v>
      </c>
      <c r="L70" s="17" t="n">
        <f aca="false">IF(C70=1,p_L,0)</f>
        <v>0</v>
      </c>
      <c r="M70" s="35" t="n">
        <f aca="false">SUMPRODUCT(w_ie2,1-(1-(j_row&lt;=I70)*K70^j_row)*(1-(j_row&lt;=J70)*L70^j_row))</f>
        <v>1</v>
      </c>
      <c r="N70" s="31" t="n">
        <f aca="false">occ_st*SUMPRODUCT(w_ie2,(j_row&lt;=I70)*K70^j_row*(j_row&lt;=J70)*L70^j_row*(((j_row*G70&lt;rset_s)+(j_row*tau_L_s&lt;rset_s))&gt;0)+(j_row&lt;=I70)*K70^j_row*(1-(j_row&lt;=J70)*L70^j_row)*(j_row*G70&lt;rset_s)+(1-(j_row&lt;=I70)*K70^j_row)*(j_row&lt;=J70)*L70^j_row*(j_row*tau_L_s&lt;rset_s))</f>
        <v>5</v>
      </c>
      <c r="O70" s="35" t="n">
        <f aca="false">IF(O$8&lt;N_st,1,0)*(1-(1-(O$8&lt;=I70)*K70^O$8)*(1-(O$8&lt;=J70)*L70^O$8))</f>
        <v>1</v>
      </c>
      <c r="P70" s="35" t="n">
        <f aca="false">IF(P$8&lt;N_st,1,0)*(1-(1-(P$8&lt;=I70)*K70^P$8)*(1-(P$8&lt;=J70)*L70^P$8))</f>
        <v>0</v>
      </c>
      <c r="Q70" s="35" t="n">
        <f aca="false">IF(Q$8&lt;N_st,1,0)*(1-(1-(Q$8&lt;=I70)*K70^Q$8)*(1-(Q$8&lt;=J70)*L70^Q$8))</f>
        <v>0</v>
      </c>
      <c r="R70" s="35" t="n">
        <f aca="false">IF(R$8&lt;N_st,1,0)*(1-(1-(R$8&lt;=I70)*K70^R$8)*(1-(R$8&lt;=J70)*L70^R$8))</f>
        <v>0</v>
      </c>
      <c r="S70" s="35" t="n">
        <f aca="false">IF(S$8&lt;N_st,1,0)*(1-(1-(S$8&lt;=I70)*K70^S$8)*(1-(S$8&lt;=J70)*L70^S$8))</f>
        <v>0</v>
      </c>
      <c r="T70" s="35" t="n">
        <f aca="false">IF(T$8&lt;N_st,1,0)*(1-(1-(T$8&lt;=I70)*K70^T$8)*(1-(T$8&lt;=J70)*L70^T$8))</f>
        <v>0</v>
      </c>
      <c r="U70" s="35" t="n">
        <f aca="false">IF(U$8&lt;N_st,1,0)*(1-(1-(U$8&lt;=I70)*K70^U$8)*(1-(U$8&lt;=J70)*L70^U$8))</f>
        <v>0</v>
      </c>
      <c r="V70" s="35" t="n">
        <f aca="false">IF(V$8&lt;N_st,1,0)*(1-(1-(V$8&lt;=I70)*K70^V$8)*(1-(V$8&lt;=J70)*L70^V$8))</f>
        <v>0</v>
      </c>
      <c r="W70" s="35" t="n">
        <f aca="false">IF(W$8&lt;N_st,1,0)*(1-(1-(W$8&lt;=I70)*K70^W$8)*(1-(W$8&lt;=J70)*L70^W$8))</f>
        <v>0</v>
      </c>
      <c r="X70" s="35" t="n">
        <f aca="false">IF(X$8&lt;N_st,1,0)*(1-(1-(X$8&lt;=I70)*K70^X$8)*(1-(X$8&lt;=J70)*L70^X$8))</f>
        <v>0</v>
      </c>
      <c r="Y70" s="35" t="n">
        <f aca="false">IF(Y$8&lt;N_st,1,0)*(1-(1-(Y$8&lt;=I70)*K70^Y$8)*(1-(Y$8&lt;=J70)*L70^Y$8))</f>
        <v>0</v>
      </c>
      <c r="Z70" s="35" t="n">
        <f aca="false">IF(Z$8&lt;N_st,1,0)*(1-(1-(Z$8&lt;=I70)*K70^Z$8)*(1-(Z$8&lt;=J70)*L70^Z$8))</f>
        <v>0</v>
      </c>
      <c r="AA70" s="35" t="n">
        <f aca="false">IF(AA$8&lt;N_st,1,0)*(1-(1-(AA$8&lt;=I70)*K70^AA$8)*(1-(AA$8&lt;=J70)*L70^AA$8))</f>
        <v>0</v>
      </c>
      <c r="AB70" s="35" t="n">
        <f aca="false">IF(AB$8&lt;N_st,1,0)*(1-(1-(AB$8&lt;=I70)*K70^AB$8)*(1-(AB$8&lt;=J70)*L70^AB$8))</f>
        <v>0</v>
      </c>
      <c r="AC70" s="35" t="n">
        <f aca="false">IF(AC$8&lt;N_st,1,0)*(1-(1-(AC$8&lt;=I70)*K70^AC$8)*(1-(AC$8&lt;=J70)*L70^AC$8))</f>
        <v>0</v>
      </c>
      <c r="AD70" s="35" t="n">
        <f aca="false">IF(AD$8&lt;N_st,1,0)*(1-(1-(AD$8&lt;=I70)*K70^AD$8)*(1-(AD$8&lt;=J70)*L70^AD$8))</f>
        <v>0</v>
      </c>
      <c r="AE70" s="35" t="n">
        <f aca="false">IF(AE$8&lt;N_st,1,0)*(1-(1-(AE$8&lt;=I70)*K70^AE$8)*(1-(AE$8&lt;=J70)*L70^AE$8))</f>
        <v>0</v>
      </c>
      <c r="AF70" s="35" t="n">
        <f aca="false">IF(AF$8&lt;N_st,1,0)*(1-(1-(AF$8&lt;=I70)*K70^AF$8)*(1-(AF$8&lt;=J70)*L70^AF$8))</f>
        <v>0</v>
      </c>
      <c r="AG70" s="35" t="n">
        <f aca="false">IF(AG$8&lt;N_st,1,0)*(1-(1-(AG$8&lt;=I70)*K70^AG$8)*(1-(AG$8&lt;=J70)*L70^AG$8))</f>
        <v>0</v>
      </c>
      <c r="AH70" s="35" t="n">
        <f aca="false">IF(AH$8&lt;N_st,1,0)*(1-(1-(AH$8&lt;=I70)*K70^AH$8)*(1-(AH$8&lt;=J70)*L70^AH$8))</f>
        <v>0</v>
      </c>
    </row>
    <row r="71" customFormat="false" ht="15" hidden="false" customHeight="false" outlineLevel="0" collapsed="false">
      <c r="A71" s="24" t="s">
        <v>205</v>
      </c>
      <c r="B71" s="14" t="s">
        <v>185</v>
      </c>
      <c r="C71" s="14" t="n">
        <v>2</v>
      </c>
      <c r="D71" s="14" t="n">
        <v>0</v>
      </c>
      <c r="E71" s="14" t="n">
        <v>0</v>
      </c>
      <c r="F71" s="32" t="n">
        <f aca="false">(1/2_시험자료!$D$24)*(1-2_시험자료!$F$24)</f>
        <v>0.0833333333333333</v>
      </c>
      <c r="G71" s="33" t="n">
        <f aca="false">2_시험자료!G14</f>
        <v>622.5</v>
      </c>
      <c r="H71" s="34" t="n">
        <f aca="false">IF(E71=1,1000000000,texp2_s)</f>
        <v>750</v>
      </c>
      <c r="I71" s="14" t="n">
        <f aca="false">FLOOR(MIN(t_fs_s,H71)/G71,1)</f>
        <v>1</v>
      </c>
      <c r="J71" s="14" t="n">
        <f aca="false">IF(C71=1,FLOOR(t_fs_s/tau_L_s,1),0)</f>
        <v>0</v>
      </c>
      <c r="K71" s="17" t="n">
        <f aca="false">IF(D71=1,1-p_cb,1)</f>
        <v>1</v>
      </c>
      <c r="L71" s="17" t="n">
        <f aca="false">IF(C71=1,p_L,0)</f>
        <v>0</v>
      </c>
      <c r="M71" s="35" t="n">
        <f aca="false">SUMPRODUCT(w_ie2,1-(1-(j_row&lt;=I71)*K71^j_row)*(1-(j_row&lt;=J71)*L71^j_row))</f>
        <v>1</v>
      </c>
      <c r="N71" s="31" t="n">
        <f aca="false">occ_st*SUMPRODUCT(w_ie2,(j_row&lt;=I71)*K71^j_row*(j_row&lt;=J71)*L71^j_row*(((j_row*G71&lt;rset_s)+(j_row*tau_L_s&lt;rset_s))&gt;0)+(j_row&lt;=I71)*K71^j_row*(1-(j_row&lt;=J71)*L71^j_row)*(j_row*G71&lt;rset_s)+(1-(j_row&lt;=I71)*K71^j_row)*(j_row&lt;=J71)*L71^j_row*(j_row*tau_L_s&lt;rset_s))</f>
        <v>5</v>
      </c>
      <c r="O71" s="35" t="n">
        <f aca="false">IF(O$8&lt;N_st,1,0)*(1-(1-(O$8&lt;=I71)*K71^O$8)*(1-(O$8&lt;=J71)*L71^O$8))</f>
        <v>1</v>
      </c>
      <c r="P71" s="35" t="n">
        <f aca="false">IF(P$8&lt;N_st,1,0)*(1-(1-(P$8&lt;=I71)*K71^P$8)*(1-(P$8&lt;=J71)*L71^P$8))</f>
        <v>0</v>
      </c>
      <c r="Q71" s="35" t="n">
        <f aca="false">IF(Q$8&lt;N_st,1,0)*(1-(1-(Q$8&lt;=I71)*K71^Q$8)*(1-(Q$8&lt;=J71)*L71^Q$8))</f>
        <v>0</v>
      </c>
      <c r="R71" s="35" t="n">
        <f aca="false">IF(R$8&lt;N_st,1,0)*(1-(1-(R$8&lt;=I71)*K71^R$8)*(1-(R$8&lt;=J71)*L71^R$8))</f>
        <v>0</v>
      </c>
      <c r="S71" s="35" t="n">
        <f aca="false">IF(S$8&lt;N_st,1,0)*(1-(1-(S$8&lt;=I71)*K71^S$8)*(1-(S$8&lt;=J71)*L71^S$8))</f>
        <v>0</v>
      </c>
      <c r="T71" s="35" t="n">
        <f aca="false">IF(T$8&lt;N_st,1,0)*(1-(1-(T$8&lt;=I71)*K71^T$8)*(1-(T$8&lt;=J71)*L71^T$8))</f>
        <v>0</v>
      </c>
      <c r="U71" s="35" t="n">
        <f aca="false">IF(U$8&lt;N_st,1,0)*(1-(1-(U$8&lt;=I71)*K71^U$8)*(1-(U$8&lt;=J71)*L71^U$8))</f>
        <v>0</v>
      </c>
      <c r="V71" s="35" t="n">
        <f aca="false">IF(V$8&lt;N_st,1,0)*(1-(1-(V$8&lt;=I71)*K71^V$8)*(1-(V$8&lt;=J71)*L71^V$8))</f>
        <v>0</v>
      </c>
      <c r="W71" s="35" t="n">
        <f aca="false">IF(W$8&lt;N_st,1,0)*(1-(1-(W$8&lt;=I71)*K71^W$8)*(1-(W$8&lt;=J71)*L71^W$8))</f>
        <v>0</v>
      </c>
      <c r="X71" s="35" t="n">
        <f aca="false">IF(X$8&lt;N_st,1,0)*(1-(1-(X$8&lt;=I71)*K71^X$8)*(1-(X$8&lt;=J71)*L71^X$8))</f>
        <v>0</v>
      </c>
      <c r="Y71" s="35" t="n">
        <f aca="false">IF(Y$8&lt;N_st,1,0)*(1-(1-(Y$8&lt;=I71)*K71^Y$8)*(1-(Y$8&lt;=J71)*L71^Y$8))</f>
        <v>0</v>
      </c>
      <c r="Z71" s="35" t="n">
        <f aca="false">IF(Z$8&lt;N_st,1,0)*(1-(1-(Z$8&lt;=I71)*K71^Z$8)*(1-(Z$8&lt;=J71)*L71^Z$8))</f>
        <v>0</v>
      </c>
      <c r="AA71" s="35" t="n">
        <f aca="false">IF(AA$8&lt;N_st,1,0)*(1-(1-(AA$8&lt;=I71)*K71^AA$8)*(1-(AA$8&lt;=J71)*L71^AA$8))</f>
        <v>0</v>
      </c>
      <c r="AB71" s="35" t="n">
        <f aca="false">IF(AB$8&lt;N_st,1,0)*(1-(1-(AB$8&lt;=I71)*K71^AB$8)*(1-(AB$8&lt;=J71)*L71^AB$8))</f>
        <v>0</v>
      </c>
      <c r="AC71" s="35" t="n">
        <f aca="false">IF(AC$8&lt;N_st,1,0)*(1-(1-(AC$8&lt;=I71)*K71^AC$8)*(1-(AC$8&lt;=J71)*L71^AC$8))</f>
        <v>0</v>
      </c>
      <c r="AD71" s="35" t="n">
        <f aca="false">IF(AD$8&lt;N_st,1,0)*(1-(1-(AD$8&lt;=I71)*K71^AD$8)*(1-(AD$8&lt;=J71)*L71^AD$8))</f>
        <v>0</v>
      </c>
      <c r="AE71" s="35" t="n">
        <f aca="false">IF(AE$8&lt;N_st,1,0)*(1-(1-(AE$8&lt;=I71)*K71^AE$8)*(1-(AE$8&lt;=J71)*L71^AE$8))</f>
        <v>0</v>
      </c>
      <c r="AF71" s="35" t="n">
        <f aca="false">IF(AF$8&lt;N_st,1,0)*(1-(1-(AF$8&lt;=I71)*K71^AF$8)*(1-(AF$8&lt;=J71)*L71^AF$8))</f>
        <v>0</v>
      </c>
      <c r="AG71" s="35" t="n">
        <f aca="false">IF(AG$8&lt;N_st,1,0)*(1-(1-(AG$8&lt;=I71)*K71^AG$8)*(1-(AG$8&lt;=J71)*L71^AG$8))</f>
        <v>0</v>
      </c>
      <c r="AH71" s="35" t="n">
        <f aca="false">IF(AH$8&lt;N_st,1,0)*(1-(1-(AH$8&lt;=I71)*K71^AH$8)*(1-(AH$8&lt;=J71)*L71^AH$8))</f>
        <v>0</v>
      </c>
    </row>
    <row r="72" customFormat="false" ht="15" hidden="false" customHeight="false" outlineLevel="0" collapsed="false">
      <c r="A72" s="24" t="s">
        <v>205</v>
      </c>
      <c r="B72" s="14" t="s">
        <v>185</v>
      </c>
      <c r="C72" s="14" t="n">
        <v>2</v>
      </c>
      <c r="D72" s="14" t="n">
        <v>1</v>
      </c>
      <c r="E72" s="14" t="n">
        <v>1</v>
      </c>
      <c r="F72" s="32" t="n">
        <f aca="false">(1/2_시험자료!$D$24)*2_시험자료!$F$24</f>
        <v>0.416666666666667</v>
      </c>
      <c r="G72" s="33" t="n">
        <f aca="false">2_시험자료!G14</f>
        <v>622.5</v>
      </c>
      <c r="H72" s="34" t="n">
        <f aca="false">IF(E72=1,1000000000,texp2_s)</f>
        <v>1000000000</v>
      </c>
      <c r="I72" s="14" t="n">
        <f aca="false">FLOOR(MIN(t_fs_s,H72)/G72,1)</f>
        <v>1</v>
      </c>
      <c r="J72" s="14" t="n">
        <f aca="false">IF(C72=1,FLOOR(t_fs_s/tau_L_s,1),0)</f>
        <v>0</v>
      </c>
      <c r="K72" s="17" t="n">
        <f aca="false">IF(D72=1,1-p_cb,1)</f>
        <v>0.3</v>
      </c>
      <c r="L72" s="17" t="n">
        <f aca="false">IF(C72=1,p_L,0)</f>
        <v>0</v>
      </c>
      <c r="M72" s="35" t="n">
        <f aca="false">SUMPRODUCT(w_ie2,1-(1-(j_row&lt;=I72)*K72^j_row)*(1-(j_row&lt;=J72)*L72^j_row))</f>
        <v>0.3</v>
      </c>
      <c r="N72" s="31" t="n">
        <f aca="false">occ_st*SUMPRODUCT(w_ie2,(j_row&lt;=I72)*K72^j_row*(j_row&lt;=J72)*L72^j_row*(((j_row*G72&lt;rset_s)+(j_row*tau_L_s&lt;rset_s))&gt;0)+(j_row&lt;=I72)*K72^j_row*(1-(j_row&lt;=J72)*L72^j_row)*(j_row*G72&lt;rset_s)+(1-(j_row&lt;=I72)*K72^j_row)*(j_row&lt;=J72)*L72^j_row*(j_row*tau_L_s&lt;rset_s))</f>
        <v>1.5</v>
      </c>
      <c r="O72" s="35" t="n">
        <f aca="false">IF(O$8&lt;N_st,1,0)*(1-(1-(O$8&lt;=I72)*K72^O$8)*(1-(O$8&lt;=J72)*L72^O$8))</f>
        <v>0.3</v>
      </c>
      <c r="P72" s="35" t="n">
        <f aca="false">IF(P$8&lt;N_st,1,0)*(1-(1-(P$8&lt;=I72)*K72^P$8)*(1-(P$8&lt;=J72)*L72^P$8))</f>
        <v>0</v>
      </c>
      <c r="Q72" s="35" t="n">
        <f aca="false">IF(Q$8&lt;N_st,1,0)*(1-(1-(Q$8&lt;=I72)*K72^Q$8)*(1-(Q$8&lt;=J72)*L72^Q$8))</f>
        <v>0</v>
      </c>
      <c r="R72" s="35" t="n">
        <f aca="false">IF(R$8&lt;N_st,1,0)*(1-(1-(R$8&lt;=I72)*K72^R$8)*(1-(R$8&lt;=J72)*L72^R$8))</f>
        <v>0</v>
      </c>
      <c r="S72" s="35" t="n">
        <f aca="false">IF(S$8&lt;N_st,1,0)*(1-(1-(S$8&lt;=I72)*K72^S$8)*(1-(S$8&lt;=J72)*L72^S$8))</f>
        <v>0</v>
      </c>
      <c r="T72" s="35" t="n">
        <f aca="false">IF(T$8&lt;N_st,1,0)*(1-(1-(T$8&lt;=I72)*K72^T$8)*(1-(T$8&lt;=J72)*L72^T$8))</f>
        <v>0</v>
      </c>
      <c r="U72" s="35" t="n">
        <f aca="false">IF(U$8&lt;N_st,1,0)*(1-(1-(U$8&lt;=I72)*K72^U$8)*(1-(U$8&lt;=J72)*L72^U$8))</f>
        <v>0</v>
      </c>
      <c r="V72" s="35" t="n">
        <f aca="false">IF(V$8&lt;N_st,1,0)*(1-(1-(V$8&lt;=I72)*K72^V$8)*(1-(V$8&lt;=J72)*L72^V$8))</f>
        <v>0</v>
      </c>
      <c r="W72" s="35" t="n">
        <f aca="false">IF(W$8&lt;N_st,1,0)*(1-(1-(W$8&lt;=I72)*K72^W$8)*(1-(W$8&lt;=J72)*L72^W$8))</f>
        <v>0</v>
      </c>
      <c r="X72" s="35" t="n">
        <f aca="false">IF(X$8&lt;N_st,1,0)*(1-(1-(X$8&lt;=I72)*K72^X$8)*(1-(X$8&lt;=J72)*L72^X$8))</f>
        <v>0</v>
      </c>
      <c r="Y72" s="35" t="n">
        <f aca="false">IF(Y$8&lt;N_st,1,0)*(1-(1-(Y$8&lt;=I72)*K72^Y$8)*(1-(Y$8&lt;=J72)*L72^Y$8))</f>
        <v>0</v>
      </c>
      <c r="Z72" s="35" t="n">
        <f aca="false">IF(Z$8&lt;N_st,1,0)*(1-(1-(Z$8&lt;=I72)*K72^Z$8)*(1-(Z$8&lt;=J72)*L72^Z$8))</f>
        <v>0</v>
      </c>
      <c r="AA72" s="35" t="n">
        <f aca="false">IF(AA$8&lt;N_st,1,0)*(1-(1-(AA$8&lt;=I72)*K72^AA$8)*(1-(AA$8&lt;=J72)*L72^AA$8))</f>
        <v>0</v>
      </c>
      <c r="AB72" s="35" t="n">
        <f aca="false">IF(AB$8&lt;N_st,1,0)*(1-(1-(AB$8&lt;=I72)*K72^AB$8)*(1-(AB$8&lt;=J72)*L72^AB$8))</f>
        <v>0</v>
      </c>
      <c r="AC72" s="35" t="n">
        <f aca="false">IF(AC$8&lt;N_st,1,0)*(1-(1-(AC$8&lt;=I72)*K72^AC$8)*(1-(AC$8&lt;=J72)*L72^AC$8))</f>
        <v>0</v>
      </c>
      <c r="AD72" s="35" t="n">
        <f aca="false">IF(AD$8&lt;N_st,1,0)*(1-(1-(AD$8&lt;=I72)*K72^AD$8)*(1-(AD$8&lt;=J72)*L72^AD$8))</f>
        <v>0</v>
      </c>
      <c r="AE72" s="35" t="n">
        <f aca="false">IF(AE$8&lt;N_st,1,0)*(1-(1-(AE$8&lt;=I72)*K72^AE$8)*(1-(AE$8&lt;=J72)*L72^AE$8))</f>
        <v>0</v>
      </c>
      <c r="AF72" s="35" t="n">
        <f aca="false">IF(AF$8&lt;N_st,1,0)*(1-(1-(AF$8&lt;=I72)*K72^AF$8)*(1-(AF$8&lt;=J72)*L72^AF$8))</f>
        <v>0</v>
      </c>
      <c r="AG72" s="35" t="n">
        <f aca="false">IF(AG$8&lt;N_st,1,0)*(1-(1-(AG$8&lt;=I72)*K72^AG$8)*(1-(AG$8&lt;=J72)*L72^AG$8))</f>
        <v>0</v>
      </c>
      <c r="AH72" s="35" t="n">
        <f aca="false">IF(AH$8&lt;N_st,1,0)*(1-(1-(AH$8&lt;=I72)*K72^AH$8)*(1-(AH$8&lt;=J72)*L72^AH$8))</f>
        <v>0</v>
      </c>
    </row>
    <row r="73" customFormat="false" ht="15" hidden="false" customHeight="false" outlineLevel="0" collapsed="false">
      <c r="A73" s="24" t="s">
        <v>205</v>
      </c>
      <c r="B73" s="14" t="s">
        <v>185</v>
      </c>
      <c r="C73" s="14" t="n">
        <v>2</v>
      </c>
      <c r="D73" s="14" t="n">
        <v>1</v>
      </c>
      <c r="E73" s="14" t="n">
        <v>0</v>
      </c>
      <c r="F73" s="32" t="n">
        <f aca="false">(1/2_시험자료!$D$24)*(1-2_시험자료!$F$24)</f>
        <v>0.0833333333333333</v>
      </c>
      <c r="G73" s="33" t="n">
        <f aca="false">2_시험자료!G14</f>
        <v>622.5</v>
      </c>
      <c r="H73" s="34" t="n">
        <f aca="false">IF(E73=1,1000000000,texp2_s)</f>
        <v>750</v>
      </c>
      <c r="I73" s="14" t="n">
        <f aca="false">FLOOR(MIN(t_fs_s,H73)/G73,1)</f>
        <v>1</v>
      </c>
      <c r="J73" s="14" t="n">
        <f aca="false">IF(C73=1,FLOOR(t_fs_s/tau_L_s,1),0)</f>
        <v>0</v>
      </c>
      <c r="K73" s="17" t="n">
        <f aca="false">IF(D73=1,1-p_cb,1)</f>
        <v>0.3</v>
      </c>
      <c r="L73" s="17" t="n">
        <f aca="false">IF(C73=1,p_L,0)</f>
        <v>0</v>
      </c>
      <c r="M73" s="35" t="n">
        <f aca="false">SUMPRODUCT(w_ie2,1-(1-(j_row&lt;=I73)*K73^j_row)*(1-(j_row&lt;=J73)*L73^j_row))</f>
        <v>0.3</v>
      </c>
      <c r="N73" s="31" t="n">
        <f aca="false">occ_st*SUMPRODUCT(w_ie2,(j_row&lt;=I73)*K73^j_row*(j_row&lt;=J73)*L73^j_row*(((j_row*G73&lt;rset_s)+(j_row*tau_L_s&lt;rset_s))&gt;0)+(j_row&lt;=I73)*K73^j_row*(1-(j_row&lt;=J73)*L73^j_row)*(j_row*G73&lt;rset_s)+(1-(j_row&lt;=I73)*K73^j_row)*(j_row&lt;=J73)*L73^j_row*(j_row*tau_L_s&lt;rset_s))</f>
        <v>1.5</v>
      </c>
      <c r="O73" s="35" t="n">
        <f aca="false">IF(O$8&lt;N_st,1,0)*(1-(1-(O$8&lt;=I73)*K73^O$8)*(1-(O$8&lt;=J73)*L73^O$8))</f>
        <v>0.3</v>
      </c>
      <c r="P73" s="35" t="n">
        <f aca="false">IF(P$8&lt;N_st,1,0)*(1-(1-(P$8&lt;=I73)*K73^P$8)*(1-(P$8&lt;=J73)*L73^P$8))</f>
        <v>0</v>
      </c>
      <c r="Q73" s="35" t="n">
        <f aca="false">IF(Q$8&lt;N_st,1,0)*(1-(1-(Q$8&lt;=I73)*K73^Q$8)*(1-(Q$8&lt;=J73)*L73^Q$8))</f>
        <v>0</v>
      </c>
      <c r="R73" s="35" t="n">
        <f aca="false">IF(R$8&lt;N_st,1,0)*(1-(1-(R$8&lt;=I73)*K73^R$8)*(1-(R$8&lt;=J73)*L73^R$8))</f>
        <v>0</v>
      </c>
      <c r="S73" s="35" t="n">
        <f aca="false">IF(S$8&lt;N_st,1,0)*(1-(1-(S$8&lt;=I73)*K73^S$8)*(1-(S$8&lt;=J73)*L73^S$8))</f>
        <v>0</v>
      </c>
      <c r="T73" s="35" t="n">
        <f aca="false">IF(T$8&lt;N_st,1,0)*(1-(1-(T$8&lt;=I73)*K73^T$8)*(1-(T$8&lt;=J73)*L73^T$8))</f>
        <v>0</v>
      </c>
      <c r="U73" s="35" t="n">
        <f aca="false">IF(U$8&lt;N_st,1,0)*(1-(1-(U$8&lt;=I73)*K73^U$8)*(1-(U$8&lt;=J73)*L73^U$8))</f>
        <v>0</v>
      </c>
      <c r="V73" s="35" t="n">
        <f aca="false">IF(V$8&lt;N_st,1,0)*(1-(1-(V$8&lt;=I73)*K73^V$8)*(1-(V$8&lt;=J73)*L73^V$8))</f>
        <v>0</v>
      </c>
      <c r="W73" s="35" t="n">
        <f aca="false">IF(W$8&lt;N_st,1,0)*(1-(1-(W$8&lt;=I73)*K73^W$8)*(1-(W$8&lt;=J73)*L73^W$8))</f>
        <v>0</v>
      </c>
      <c r="X73" s="35" t="n">
        <f aca="false">IF(X$8&lt;N_st,1,0)*(1-(1-(X$8&lt;=I73)*K73^X$8)*(1-(X$8&lt;=J73)*L73^X$8))</f>
        <v>0</v>
      </c>
      <c r="Y73" s="35" t="n">
        <f aca="false">IF(Y$8&lt;N_st,1,0)*(1-(1-(Y$8&lt;=I73)*K73^Y$8)*(1-(Y$8&lt;=J73)*L73^Y$8))</f>
        <v>0</v>
      </c>
      <c r="Z73" s="35" t="n">
        <f aca="false">IF(Z$8&lt;N_st,1,0)*(1-(1-(Z$8&lt;=I73)*K73^Z$8)*(1-(Z$8&lt;=J73)*L73^Z$8))</f>
        <v>0</v>
      </c>
      <c r="AA73" s="35" t="n">
        <f aca="false">IF(AA$8&lt;N_st,1,0)*(1-(1-(AA$8&lt;=I73)*K73^AA$8)*(1-(AA$8&lt;=J73)*L73^AA$8))</f>
        <v>0</v>
      </c>
      <c r="AB73" s="35" t="n">
        <f aca="false">IF(AB$8&lt;N_st,1,0)*(1-(1-(AB$8&lt;=I73)*K73^AB$8)*(1-(AB$8&lt;=J73)*L73^AB$8))</f>
        <v>0</v>
      </c>
      <c r="AC73" s="35" t="n">
        <f aca="false">IF(AC$8&lt;N_st,1,0)*(1-(1-(AC$8&lt;=I73)*K73^AC$8)*(1-(AC$8&lt;=J73)*L73^AC$8))</f>
        <v>0</v>
      </c>
      <c r="AD73" s="35" t="n">
        <f aca="false">IF(AD$8&lt;N_st,1,0)*(1-(1-(AD$8&lt;=I73)*K73^AD$8)*(1-(AD$8&lt;=J73)*L73^AD$8))</f>
        <v>0</v>
      </c>
      <c r="AE73" s="35" t="n">
        <f aca="false">IF(AE$8&lt;N_st,1,0)*(1-(1-(AE$8&lt;=I73)*K73^AE$8)*(1-(AE$8&lt;=J73)*L73^AE$8))</f>
        <v>0</v>
      </c>
      <c r="AF73" s="35" t="n">
        <f aca="false">IF(AF$8&lt;N_st,1,0)*(1-(1-(AF$8&lt;=I73)*K73^AF$8)*(1-(AF$8&lt;=J73)*L73^AF$8))</f>
        <v>0</v>
      </c>
      <c r="AG73" s="35" t="n">
        <f aca="false">IF(AG$8&lt;N_st,1,0)*(1-(1-(AG$8&lt;=I73)*K73^AG$8)*(1-(AG$8&lt;=J73)*L73^AG$8))</f>
        <v>0</v>
      </c>
      <c r="AH73" s="35" t="n">
        <f aca="false">IF(AH$8&lt;N_st,1,0)*(1-(1-(AH$8&lt;=I73)*K73^AH$8)*(1-(AH$8&lt;=J73)*L73^AH$8))</f>
        <v>0</v>
      </c>
    </row>
    <row r="74" customFormat="false" ht="15" hidden="false" customHeight="false" outlineLevel="0" collapsed="false">
      <c r="A74" s="24" t="s">
        <v>205</v>
      </c>
      <c r="B74" s="14" t="s">
        <v>187</v>
      </c>
      <c r="C74" s="14" t="n">
        <v>1</v>
      </c>
      <c r="D74" s="14" t="n">
        <v>0</v>
      </c>
      <c r="E74" s="14" t="n">
        <v>1</v>
      </c>
      <c r="F74" s="32" t="n">
        <f aca="false">(1/2_시험자료!$D$24)*2_시험자료!$F$24</f>
        <v>0.416666666666667</v>
      </c>
      <c r="G74" s="33" t="n">
        <f aca="false">2_시험자료!G15</f>
        <v>727.5</v>
      </c>
      <c r="H74" s="34" t="n">
        <f aca="false">IF(E74=1,1000000000,texp1_s)</f>
        <v>1000000000</v>
      </c>
      <c r="I74" s="14" t="n">
        <f aca="false">FLOOR(MIN(t_fs_s,H74)/G74,1)</f>
        <v>1</v>
      </c>
      <c r="J74" s="14" t="n">
        <f aca="false">IF(C74=1,FLOOR(t_fs_s/tau_L_s,1),0)</f>
        <v>1</v>
      </c>
      <c r="K74" s="17" t="n">
        <f aca="false">IF(D74=1,1-p_cb,1)</f>
        <v>1</v>
      </c>
      <c r="L74" s="17" t="n">
        <f aca="false">IF(C74=1,p_L,0)</f>
        <v>0.15</v>
      </c>
      <c r="M74" s="35" t="n">
        <f aca="false">SUMPRODUCT(w_ie1,1-(1-(j_row&lt;=I74)*K74^j_row)*(1-(j_row&lt;=J74)*L74^j_row))</f>
        <v>0.933333333333333</v>
      </c>
      <c r="N74" s="31" t="n">
        <f aca="false">occ_st*SUMPRODUCT(w_ie1,(j_row&lt;=I74)*K74^j_row*(j_row&lt;=J74)*L74^j_row*(((j_row*G74&lt;rset_s)+(j_row*tau_L_s&lt;rset_s))&gt;0)+(j_row&lt;=I74)*K74^j_row*(1-(j_row&lt;=J74)*L74^j_row)*(j_row*G74&lt;rset_s)+(1-(j_row&lt;=I74)*K74^j_row)*(j_row&lt;=J74)*L74^j_row*(j_row*tau_L_s&lt;rset_s))</f>
        <v>4.66666666666667</v>
      </c>
      <c r="O74" s="35" t="n">
        <f aca="false">IF(O$8&lt;N_st,(N_st-O$8)/N_st,0)*(1-(1-(O$8&lt;=I74)*K74^O$8)*(1-(O$8&lt;=J74)*L74^O$8))</f>
        <v>0.933333333333333</v>
      </c>
      <c r="P74" s="35" t="n">
        <f aca="false">IF(P$8&lt;N_st,(N_st-P$8)/N_st,0)*(1-(1-(P$8&lt;=I74)*K74^P$8)*(1-(P$8&lt;=J74)*L74^P$8))</f>
        <v>0</v>
      </c>
      <c r="Q74" s="35" t="n">
        <f aca="false">IF(Q$8&lt;N_st,(N_st-Q$8)/N_st,0)*(1-(1-(Q$8&lt;=I74)*K74^Q$8)*(1-(Q$8&lt;=J74)*L74^Q$8))</f>
        <v>0</v>
      </c>
      <c r="R74" s="35" t="n">
        <f aca="false">IF(R$8&lt;N_st,(N_st-R$8)/N_st,0)*(1-(1-(R$8&lt;=I74)*K74^R$8)*(1-(R$8&lt;=J74)*L74^R$8))</f>
        <v>0</v>
      </c>
      <c r="S74" s="35" t="n">
        <f aca="false">IF(S$8&lt;N_st,(N_st-S$8)/N_st,0)*(1-(1-(S$8&lt;=I74)*K74^S$8)*(1-(S$8&lt;=J74)*L74^S$8))</f>
        <v>0</v>
      </c>
      <c r="T74" s="35" t="n">
        <f aca="false">IF(T$8&lt;N_st,(N_st-T$8)/N_st,0)*(1-(1-(T$8&lt;=I74)*K74^T$8)*(1-(T$8&lt;=J74)*L74^T$8))</f>
        <v>0</v>
      </c>
      <c r="U74" s="35" t="n">
        <f aca="false">IF(U$8&lt;N_st,(N_st-U$8)/N_st,0)*(1-(1-(U$8&lt;=I74)*K74^U$8)*(1-(U$8&lt;=J74)*L74^U$8))</f>
        <v>0</v>
      </c>
      <c r="V74" s="35" t="n">
        <f aca="false">IF(V$8&lt;N_st,(N_st-V$8)/N_st,0)*(1-(1-(V$8&lt;=I74)*K74^V$8)*(1-(V$8&lt;=J74)*L74^V$8))</f>
        <v>0</v>
      </c>
      <c r="W74" s="35" t="n">
        <f aca="false">IF(W$8&lt;N_st,(N_st-W$8)/N_st,0)*(1-(1-(W$8&lt;=I74)*K74^W$8)*(1-(W$8&lt;=J74)*L74^W$8))</f>
        <v>0</v>
      </c>
      <c r="X74" s="35" t="n">
        <f aca="false">IF(X$8&lt;N_st,(N_st-X$8)/N_st,0)*(1-(1-(X$8&lt;=I74)*K74^X$8)*(1-(X$8&lt;=J74)*L74^X$8))</f>
        <v>0</v>
      </c>
      <c r="Y74" s="35" t="n">
        <f aca="false">IF(Y$8&lt;N_st,(N_st-Y$8)/N_st,0)*(1-(1-(Y$8&lt;=I74)*K74^Y$8)*(1-(Y$8&lt;=J74)*L74^Y$8))</f>
        <v>0</v>
      </c>
      <c r="Z74" s="35" t="n">
        <f aca="false">IF(Z$8&lt;N_st,(N_st-Z$8)/N_st,0)*(1-(1-(Z$8&lt;=I74)*K74^Z$8)*(1-(Z$8&lt;=J74)*L74^Z$8))</f>
        <v>0</v>
      </c>
      <c r="AA74" s="35" t="n">
        <f aca="false">IF(AA$8&lt;N_st,(N_st-AA$8)/N_st,0)*(1-(1-(AA$8&lt;=I74)*K74^AA$8)*(1-(AA$8&lt;=J74)*L74^AA$8))</f>
        <v>0</v>
      </c>
      <c r="AB74" s="35" t="n">
        <f aca="false">IF(AB$8&lt;N_st,(N_st-AB$8)/N_st,0)*(1-(1-(AB$8&lt;=I74)*K74^AB$8)*(1-(AB$8&lt;=J74)*L74^AB$8))</f>
        <v>0</v>
      </c>
      <c r="AC74" s="35" t="n">
        <f aca="false">IF(AC$8&lt;N_st,(N_st-AC$8)/N_st,0)*(1-(1-(AC$8&lt;=I74)*K74^AC$8)*(1-(AC$8&lt;=J74)*L74^AC$8))</f>
        <v>0</v>
      </c>
      <c r="AD74" s="35" t="n">
        <f aca="false">IF(AD$8&lt;N_st,(N_st-AD$8)/N_st,0)*(1-(1-(AD$8&lt;=I74)*K74^AD$8)*(1-(AD$8&lt;=J74)*L74^AD$8))</f>
        <v>0</v>
      </c>
      <c r="AE74" s="35" t="n">
        <f aca="false">IF(AE$8&lt;N_st,(N_st-AE$8)/N_st,0)*(1-(1-(AE$8&lt;=I74)*K74^AE$8)*(1-(AE$8&lt;=J74)*L74^AE$8))</f>
        <v>0</v>
      </c>
      <c r="AF74" s="35" t="n">
        <f aca="false">IF(AF$8&lt;N_st,(N_st-AF$8)/N_st,0)*(1-(1-(AF$8&lt;=I74)*K74^AF$8)*(1-(AF$8&lt;=J74)*L74^AF$8))</f>
        <v>0</v>
      </c>
      <c r="AG74" s="35" t="n">
        <f aca="false">IF(AG$8&lt;N_st,(N_st-AG$8)/N_st,0)*(1-(1-(AG$8&lt;=I74)*K74^AG$8)*(1-(AG$8&lt;=J74)*L74^AG$8))</f>
        <v>0</v>
      </c>
      <c r="AH74" s="35" t="n">
        <f aca="false">IF(AH$8&lt;N_st,(N_st-AH$8)/N_st,0)*(1-(1-(AH$8&lt;=I74)*K74^AH$8)*(1-(AH$8&lt;=J74)*L74^AH$8))</f>
        <v>0</v>
      </c>
    </row>
    <row r="75" customFormat="false" ht="15" hidden="false" customHeight="false" outlineLevel="0" collapsed="false">
      <c r="A75" s="24" t="s">
        <v>205</v>
      </c>
      <c r="B75" s="14" t="s">
        <v>187</v>
      </c>
      <c r="C75" s="14" t="n">
        <v>1</v>
      </c>
      <c r="D75" s="14" t="n">
        <v>0</v>
      </c>
      <c r="E75" s="14" t="n">
        <v>0</v>
      </c>
      <c r="F75" s="32" t="n">
        <f aca="false">(1/2_시험자료!$D$24)*(1-2_시험자료!$F$24)</f>
        <v>0.0833333333333333</v>
      </c>
      <c r="G75" s="33" t="n">
        <f aca="false">2_시험자료!G15</f>
        <v>727.5</v>
      </c>
      <c r="H75" s="34" t="n">
        <f aca="false">IF(E75=1,1000000000,texp1_s)</f>
        <v>1200</v>
      </c>
      <c r="I75" s="14" t="n">
        <f aca="false">FLOOR(MIN(t_fs_s,H75)/G75,1)</f>
        <v>1</v>
      </c>
      <c r="J75" s="14" t="n">
        <f aca="false">IF(C75=1,FLOOR(t_fs_s/tau_L_s,1),0)</f>
        <v>1</v>
      </c>
      <c r="K75" s="17" t="n">
        <f aca="false">IF(D75=1,1-p_cb,1)</f>
        <v>1</v>
      </c>
      <c r="L75" s="17" t="n">
        <f aca="false">IF(C75=1,p_L,0)</f>
        <v>0.15</v>
      </c>
      <c r="M75" s="35" t="n">
        <f aca="false">SUMPRODUCT(w_ie1,1-(1-(j_row&lt;=I75)*K75^j_row)*(1-(j_row&lt;=J75)*L75^j_row))</f>
        <v>0.933333333333333</v>
      </c>
      <c r="N75" s="31" t="n">
        <f aca="false">occ_st*SUMPRODUCT(w_ie1,(j_row&lt;=I75)*K75^j_row*(j_row&lt;=J75)*L75^j_row*(((j_row*G75&lt;rset_s)+(j_row*tau_L_s&lt;rset_s))&gt;0)+(j_row&lt;=I75)*K75^j_row*(1-(j_row&lt;=J75)*L75^j_row)*(j_row*G75&lt;rset_s)+(1-(j_row&lt;=I75)*K75^j_row)*(j_row&lt;=J75)*L75^j_row*(j_row*tau_L_s&lt;rset_s))</f>
        <v>4.66666666666667</v>
      </c>
      <c r="O75" s="35" t="n">
        <f aca="false">IF(O$8&lt;N_st,(N_st-O$8)/N_st,0)*(1-(1-(O$8&lt;=I75)*K75^O$8)*(1-(O$8&lt;=J75)*L75^O$8))</f>
        <v>0.933333333333333</v>
      </c>
      <c r="P75" s="35" t="n">
        <f aca="false">IF(P$8&lt;N_st,(N_st-P$8)/N_st,0)*(1-(1-(P$8&lt;=I75)*K75^P$8)*(1-(P$8&lt;=J75)*L75^P$8))</f>
        <v>0</v>
      </c>
      <c r="Q75" s="35" t="n">
        <f aca="false">IF(Q$8&lt;N_st,(N_st-Q$8)/N_st,0)*(1-(1-(Q$8&lt;=I75)*K75^Q$8)*(1-(Q$8&lt;=J75)*L75^Q$8))</f>
        <v>0</v>
      </c>
      <c r="R75" s="35" t="n">
        <f aca="false">IF(R$8&lt;N_st,(N_st-R$8)/N_st,0)*(1-(1-(R$8&lt;=I75)*K75^R$8)*(1-(R$8&lt;=J75)*L75^R$8))</f>
        <v>0</v>
      </c>
      <c r="S75" s="35" t="n">
        <f aca="false">IF(S$8&lt;N_st,(N_st-S$8)/N_st,0)*(1-(1-(S$8&lt;=I75)*K75^S$8)*(1-(S$8&lt;=J75)*L75^S$8))</f>
        <v>0</v>
      </c>
      <c r="T75" s="35" t="n">
        <f aca="false">IF(T$8&lt;N_st,(N_st-T$8)/N_st,0)*(1-(1-(T$8&lt;=I75)*K75^T$8)*(1-(T$8&lt;=J75)*L75^T$8))</f>
        <v>0</v>
      </c>
      <c r="U75" s="35" t="n">
        <f aca="false">IF(U$8&lt;N_st,(N_st-U$8)/N_st,0)*(1-(1-(U$8&lt;=I75)*K75^U$8)*(1-(U$8&lt;=J75)*L75^U$8))</f>
        <v>0</v>
      </c>
      <c r="V75" s="35" t="n">
        <f aca="false">IF(V$8&lt;N_st,(N_st-V$8)/N_st,0)*(1-(1-(V$8&lt;=I75)*K75^V$8)*(1-(V$8&lt;=J75)*L75^V$8))</f>
        <v>0</v>
      </c>
      <c r="W75" s="35" t="n">
        <f aca="false">IF(W$8&lt;N_st,(N_st-W$8)/N_st,0)*(1-(1-(W$8&lt;=I75)*K75^W$8)*(1-(W$8&lt;=J75)*L75^W$8))</f>
        <v>0</v>
      </c>
      <c r="X75" s="35" t="n">
        <f aca="false">IF(X$8&lt;N_st,(N_st-X$8)/N_st,0)*(1-(1-(X$8&lt;=I75)*K75^X$8)*(1-(X$8&lt;=J75)*L75^X$8))</f>
        <v>0</v>
      </c>
      <c r="Y75" s="35" t="n">
        <f aca="false">IF(Y$8&lt;N_st,(N_st-Y$8)/N_st,0)*(1-(1-(Y$8&lt;=I75)*K75^Y$8)*(1-(Y$8&lt;=J75)*L75^Y$8))</f>
        <v>0</v>
      </c>
      <c r="Z75" s="35" t="n">
        <f aca="false">IF(Z$8&lt;N_st,(N_st-Z$8)/N_st,0)*(1-(1-(Z$8&lt;=I75)*K75^Z$8)*(1-(Z$8&lt;=J75)*L75^Z$8))</f>
        <v>0</v>
      </c>
      <c r="AA75" s="35" t="n">
        <f aca="false">IF(AA$8&lt;N_st,(N_st-AA$8)/N_st,0)*(1-(1-(AA$8&lt;=I75)*K75^AA$8)*(1-(AA$8&lt;=J75)*L75^AA$8))</f>
        <v>0</v>
      </c>
      <c r="AB75" s="35" t="n">
        <f aca="false">IF(AB$8&lt;N_st,(N_st-AB$8)/N_st,0)*(1-(1-(AB$8&lt;=I75)*K75^AB$8)*(1-(AB$8&lt;=J75)*L75^AB$8))</f>
        <v>0</v>
      </c>
      <c r="AC75" s="35" t="n">
        <f aca="false">IF(AC$8&lt;N_st,(N_st-AC$8)/N_st,0)*(1-(1-(AC$8&lt;=I75)*K75^AC$8)*(1-(AC$8&lt;=J75)*L75^AC$8))</f>
        <v>0</v>
      </c>
      <c r="AD75" s="35" t="n">
        <f aca="false">IF(AD$8&lt;N_st,(N_st-AD$8)/N_st,0)*(1-(1-(AD$8&lt;=I75)*K75^AD$8)*(1-(AD$8&lt;=J75)*L75^AD$8))</f>
        <v>0</v>
      </c>
      <c r="AE75" s="35" t="n">
        <f aca="false">IF(AE$8&lt;N_st,(N_st-AE$8)/N_st,0)*(1-(1-(AE$8&lt;=I75)*K75^AE$8)*(1-(AE$8&lt;=J75)*L75^AE$8))</f>
        <v>0</v>
      </c>
      <c r="AF75" s="35" t="n">
        <f aca="false">IF(AF$8&lt;N_st,(N_st-AF$8)/N_st,0)*(1-(1-(AF$8&lt;=I75)*K75^AF$8)*(1-(AF$8&lt;=J75)*L75^AF$8))</f>
        <v>0</v>
      </c>
      <c r="AG75" s="35" t="n">
        <f aca="false">IF(AG$8&lt;N_st,(N_st-AG$8)/N_st,0)*(1-(1-(AG$8&lt;=I75)*K75^AG$8)*(1-(AG$8&lt;=J75)*L75^AG$8))</f>
        <v>0</v>
      </c>
      <c r="AH75" s="35" t="n">
        <f aca="false">IF(AH$8&lt;N_st,(N_st-AH$8)/N_st,0)*(1-(1-(AH$8&lt;=I75)*K75^AH$8)*(1-(AH$8&lt;=J75)*L75^AH$8))</f>
        <v>0</v>
      </c>
    </row>
    <row r="76" customFormat="false" ht="15" hidden="false" customHeight="false" outlineLevel="0" collapsed="false">
      <c r="A76" s="24" t="s">
        <v>205</v>
      </c>
      <c r="B76" s="14" t="s">
        <v>187</v>
      </c>
      <c r="C76" s="14" t="n">
        <v>1</v>
      </c>
      <c r="D76" s="14" t="n">
        <v>1</v>
      </c>
      <c r="E76" s="14" t="n">
        <v>1</v>
      </c>
      <c r="F76" s="32" t="n">
        <f aca="false">(1/2_시험자료!$D$24)*2_시험자료!$F$24</f>
        <v>0.416666666666667</v>
      </c>
      <c r="G76" s="33" t="n">
        <f aca="false">2_시험자료!G15</f>
        <v>727.5</v>
      </c>
      <c r="H76" s="34" t="n">
        <f aca="false">IF(E76=1,1000000000,texp1_s)</f>
        <v>1000000000</v>
      </c>
      <c r="I76" s="14" t="n">
        <f aca="false">FLOOR(MIN(t_fs_s,H76)/G76,1)</f>
        <v>1</v>
      </c>
      <c r="J76" s="14" t="n">
        <f aca="false">IF(C76=1,FLOOR(t_fs_s/tau_L_s,1),0)</f>
        <v>1</v>
      </c>
      <c r="K76" s="17" t="n">
        <f aca="false">IF(D76=1,1-p_cb,1)</f>
        <v>0.3</v>
      </c>
      <c r="L76" s="17" t="n">
        <f aca="false">IF(C76=1,p_L,0)</f>
        <v>0.15</v>
      </c>
      <c r="M76" s="35" t="n">
        <f aca="false">SUMPRODUCT(w_ie1,1-(1-(j_row&lt;=I76)*K76^j_row)*(1-(j_row&lt;=J76)*L76^j_row))</f>
        <v>0.378</v>
      </c>
      <c r="N76" s="31" t="n">
        <f aca="false">occ_st*SUMPRODUCT(w_ie1,(j_row&lt;=I76)*K76^j_row*(j_row&lt;=J76)*L76^j_row*(((j_row*G76&lt;rset_s)+(j_row*tau_L_s&lt;rset_s))&gt;0)+(j_row&lt;=I76)*K76^j_row*(1-(j_row&lt;=J76)*L76^j_row)*(j_row*G76&lt;rset_s)+(1-(j_row&lt;=I76)*K76^j_row)*(j_row&lt;=J76)*L76^j_row*(j_row*tau_L_s&lt;rset_s))</f>
        <v>1.89</v>
      </c>
      <c r="O76" s="35" t="n">
        <f aca="false">IF(O$8&lt;N_st,(N_st-O$8)/N_st,0)*(1-(1-(O$8&lt;=I76)*K76^O$8)*(1-(O$8&lt;=J76)*L76^O$8))</f>
        <v>0.378</v>
      </c>
      <c r="P76" s="35" t="n">
        <f aca="false">IF(P$8&lt;N_st,(N_st-P$8)/N_st,0)*(1-(1-(P$8&lt;=I76)*K76^P$8)*(1-(P$8&lt;=J76)*L76^P$8))</f>
        <v>0</v>
      </c>
      <c r="Q76" s="35" t="n">
        <f aca="false">IF(Q$8&lt;N_st,(N_st-Q$8)/N_st,0)*(1-(1-(Q$8&lt;=I76)*K76^Q$8)*(1-(Q$8&lt;=J76)*L76^Q$8))</f>
        <v>0</v>
      </c>
      <c r="R76" s="35" t="n">
        <f aca="false">IF(R$8&lt;N_st,(N_st-R$8)/N_st,0)*(1-(1-(R$8&lt;=I76)*K76^R$8)*(1-(R$8&lt;=J76)*L76^R$8))</f>
        <v>0</v>
      </c>
      <c r="S76" s="35" t="n">
        <f aca="false">IF(S$8&lt;N_st,(N_st-S$8)/N_st,0)*(1-(1-(S$8&lt;=I76)*K76^S$8)*(1-(S$8&lt;=J76)*L76^S$8))</f>
        <v>0</v>
      </c>
      <c r="T76" s="35" t="n">
        <f aca="false">IF(T$8&lt;N_st,(N_st-T$8)/N_st,0)*(1-(1-(T$8&lt;=I76)*K76^T$8)*(1-(T$8&lt;=J76)*L76^T$8))</f>
        <v>0</v>
      </c>
      <c r="U76" s="35" t="n">
        <f aca="false">IF(U$8&lt;N_st,(N_st-U$8)/N_st,0)*(1-(1-(U$8&lt;=I76)*K76^U$8)*(1-(U$8&lt;=J76)*L76^U$8))</f>
        <v>0</v>
      </c>
      <c r="V76" s="35" t="n">
        <f aca="false">IF(V$8&lt;N_st,(N_st-V$8)/N_st,0)*(1-(1-(V$8&lt;=I76)*K76^V$8)*(1-(V$8&lt;=J76)*L76^V$8))</f>
        <v>0</v>
      </c>
      <c r="W76" s="35" t="n">
        <f aca="false">IF(W$8&lt;N_st,(N_st-W$8)/N_st,0)*(1-(1-(W$8&lt;=I76)*K76^W$8)*(1-(W$8&lt;=J76)*L76^W$8))</f>
        <v>0</v>
      </c>
      <c r="X76" s="35" t="n">
        <f aca="false">IF(X$8&lt;N_st,(N_st-X$8)/N_st,0)*(1-(1-(X$8&lt;=I76)*K76^X$8)*(1-(X$8&lt;=J76)*L76^X$8))</f>
        <v>0</v>
      </c>
      <c r="Y76" s="35" t="n">
        <f aca="false">IF(Y$8&lt;N_st,(N_st-Y$8)/N_st,0)*(1-(1-(Y$8&lt;=I76)*K76^Y$8)*(1-(Y$8&lt;=J76)*L76^Y$8))</f>
        <v>0</v>
      </c>
      <c r="Z76" s="35" t="n">
        <f aca="false">IF(Z$8&lt;N_st,(N_st-Z$8)/N_st,0)*(1-(1-(Z$8&lt;=I76)*K76^Z$8)*(1-(Z$8&lt;=J76)*L76^Z$8))</f>
        <v>0</v>
      </c>
      <c r="AA76" s="35" t="n">
        <f aca="false">IF(AA$8&lt;N_st,(N_st-AA$8)/N_st,0)*(1-(1-(AA$8&lt;=I76)*K76^AA$8)*(1-(AA$8&lt;=J76)*L76^AA$8))</f>
        <v>0</v>
      </c>
      <c r="AB76" s="35" t="n">
        <f aca="false">IF(AB$8&lt;N_st,(N_st-AB$8)/N_st,0)*(1-(1-(AB$8&lt;=I76)*K76^AB$8)*(1-(AB$8&lt;=J76)*L76^AB$8))</f>
        <v>0</v>
      </c>
      <c r="AC76" s="35" t="n">
        <f aca="false">IF(AC$8&lt;N_st,(N_st-AC$8)/N_st,0)*(1-(1-(AC$8&lt;=I76)*K76^AC$8)*(1-(AC$8&lt;=J76)*L76^AC$8))</f>
        <v>0</v>
      </c>
      <c r="AD76" s="35" t="n">
        <f aca="false">IF(AD$8&lt;N_st,(N_st-AD$8)/N_st,0)*(1-(1-(AD$8&lt;=I76)*K76^AD$8)*(1-(AD$8&lt;=J76)*L76^AD$8))</f>
        <v>0</v>
      </c>
      <c r="AE76" s="35" t="n">
        <f aca="false">IF(AE$8&lt;N_st,(N_st-AE$8)/N_st,0)*(1-(1-(AE$8&lt;=I76)*K76^AE$8)*(1-(AE$8&lt;=J76)*L76^AE$8))</f>
        <v>0</v>
      </c>
      <c r="AF76" s="35" t="n">
        <f aca="false">IF(AF$8&lt;N_st,(N_st-AF$8)/N_st,0)*(1-(1-(AF$8&lt;=I76)*K76^AF$8)*(1-(AF$8&lt;=J76)*L76^AF$8))</f>
        <v>0</v>
      </c>
      <c r="AG76" s="35" t="n">
        <f aca="false">IF(AG$8&lt;N_st,(N_st-AG$8)/N_st,0)*(1-(1-(AG$8&lt;=I76)*K76^AG$8)*(1-(AG$8&lt;=J76)*L76^AG$8))</f>
        <v>0</v>
      </c>
      <c r="AH76" s="35" t="n">
        <f aca="false">IF(AH$8&lt;N_st,(N_st-AH$8)/N_st,0)*(1-(1-(AH$8&lt;=I76)*K76^AH$8)*(1-(AH$8&lt;=J76)*L76^AH$8))</f>
        <v>0</v>
      </c>
    </row>
    <row r="77" customFormat="false" ht="15" hidden="false" customHeight="false" outlineLevel="0" collapsed="false">
      <c r="A77" s="24" t="s">
        <v>205</v>
      </c>
      <c r="B77" s="14" t="s">
        <v>187</v>
      </c>
      <c r="C77" s="14" t="n">
        <v>1</v>
      </c>
      <c r="D77" s="14" t="n">
        <v>1</v>
      </c>
      <c r="E77" s="14" t="n">
        <v>0</v>
      </c>
      <c r="F77" s="32" t="n">
        <f aca="false">(1/2_시험자료!$D$24)*(1-2_시험자료!$F$24)</f>
        <v>0.0833333333333333</v>
      </c>
      <c r="G77" s="33" t="n">
        <f aca="false">2_시험자료!G15</f>
        <v>727.5</v>
      </c>
      <c r="H77" s="34" t="n">
        <f aca="false">IF(E77=1,1000000000,texp1_s)</f>
        <v>1200</v>
      </c>
      <c r="I77" s="14" t="n">
        <f aca="false">FLOOR(MIN(t_fs_s,H77)/G77,1)</f>
        <v>1</v>
      </c>
      <c r="J77" s="14" t="n">
        <f aca="false">IF(C77=1,FLOOR(t_fs_s/tau_L_s,1),0)</f>
        <v>1</v>
      </c>
      <c r="K77" s="17" t="n">
        <f aca="false">IF(D77=1,1-p_cb,1)</f>
        <v>0.3</v>
      </c>
      <c r="L77" s="17" t="n">
        <f aca="false">IF(C77=1,p_L,0)</f>
        <v>0.15</v>
      </c>
      <c r="M77" s="35" t="n">
        <f aca="false">SUMPRODUCT(w_ie1,1-(1-(j_row&lt;=I77)*K77^j_row)*(1-(j_row&lt;=J77)*L77^j_row))</f>
        <v>0.378</v>
      </c>
      <c r="N77" s="31" t="n">
        <f aca="false">occ_st*SUMPRODUCT(w_ie1,(j_row&lt;=I77)*K77^j_row*(j_row&lt;=J77)*L77^j_row*(((j_row*G77&lt;rset_s)+(j_row*tau_L_s&lt;rset_s))&gt;0)+(j_row&lt;=I77)*K77^j_row*(1-(j_row&lt;=J77)*L77^j_row)*(j_row*G77&lt;rset_s)+(1-(j_row&lt;=I77)*K77^j_row)*(j_row&lt;=J77)*L77^j_row*(j_row*tau_L_s&lt;rset_s))</f>
        <v>1.89</v>
      </c>
      <c r="O77" s="35" t="n">
        <f aca="false">IF(O$8&lt;N_st,(N_st-O$8)/N_st,0)*(1-(1-(O$8&lt;=I77)*K77^O$8)*(1-(O$8&lt;=J77)*L77^O$8))</f>
        <v>0.378</v>
      </c>
      <c r="P77" s="35" t="n">
        <f aca="false">IF(P$8&lt;N_st,(N_st-P$8)/N_st,0)*(1-(1-(P$8&lt;=I77)*K77^P$8)*(1-(P$8&lt;=J77)*L77^P$8))</f>
        <v>0</v>
      </c>
      <c r="Q77" s="35" t="n">
        <f aca="false">IF(Q$8&lt;N_st,(N_st-Q$8)/N_st,0)*(1-(1-(Q$8&lt;=I77)*K77^Q$8)*(1-(Q$8&lt;=J77)*L77^Q$8))</f>
        <v>0</v>
      </c>
      <c r="R77" s="35" t="n">
        <f aca="false">IF(R$8&lt;N_st,(N_st-R$8)/N_st,0)*(1-(1-(R$8&lt;=I77)*K77^R$8)*(1-(R$8&lt;=J77)*L77^R$8))</f>
        <v>0</v>
      </c>
      <c r="S77" s="35" t="n">
        <f aca="false">IF(S$8&lt;N_st,(N_st-S$8)/N_st,0)*(1-(1-(S$8&lt;=I77)*K77^S$8)*(1-(S$8&lt;=J77)*L77^S$8))</f>
        <v>0</v>
      </c>
      <c r="T77" s="35" t="n">
        <f aca="false">IF(T$8&lt;N_st,(N_st-T$8)/N_st,0)*(1-(1-(T$8&lt;=I77)*K77^T$8)*(1-(T$8&lt;=J77)*L77^T$8))</f>
        <v>0</v>
      </c>
      <c r="U77" s="35" t="n">
        <f aca="false">IF(U$8&lt;N_st,(N_st-U$8)/N_st,0)*(1-(1-(U$8&lt;=I77)*K77^U$8)*(1-(U$8&lt;=J77)*L77^U$8))</f>
        <v>0</v>
      </c>
      <c r="V77" s="35" t="n">
        <f aca="false">IF(V$8&lt;N_st,(N_st-V$8)/N_st,0)*(1-(1-(V$8&lt;=I77)*K77^V$8)*(1-(V$8&lt;=J77)*L77^V$8))</f>
        <v>0</v>
      </c>
      <c r="W77" s="35" t="n">
        <f aca="false">IF(W$8&lt;N_st,(N_st-W$8)/N_st,0)*(1-(1-(W$8&lt;=I77)*K77^W$8)*(1-(W$8&lt;=J77)*L77^W$8))</f>
        <v>0</v>
      </c>
      <c r="X77" s="35" t="n">
        <f aca="false">IF(X$8&lt;N_st,(N_st-X$8)/N_st,0)*(1-(1-(X$8&lt;=I77)*K77^X$8)*(1-(X$8&lt;=J77)*L77^X$8))</f>
        <v>0</v>
      </c>
      <c r="Y77" s="35" t="n">
        <f aca="false">IF(Y$8&lt;N_st,(N_st-Y$8)/N_st,0)*(1-(1-(Y$8&lt;=I77)*K77^Y$8)*(1-(Y$8&lt;=J77)*L77^Y$8))</f>
        <v>0</v>
      </c>
      <c r="Z77" s="35" t="n">
        <f aca="false">IF(Z$8&lt;N_st,(N_st-Z$8)/N_st,0)*(1-(1-(Z$8&lt;=I77)*K77^Z$8)*(1-(Z$8&lt;=J77)*L77^Z$8))</f>
        <v>0</v>
      </c>
      <c r="AA77" s="35" t="n">
        <f aca="false">IF(AA$8&lt;N_st,(N_st-AA$8)/N_st,0)*(1-(1-(AA$8&lt;=I77)*K77^AA$8)*(1-(AA$8&lt;=J77)*L77^AA$8))</f>
        <v>0</v>
      </c>
      <c r="AB77" s="35" t="n">
        <f aca="false">IF(AB$8&lt;N_st,(N_st-AB$8)/N_st,0)*(1-(1-(AB$8&lt;=I77)*K77^AB$8)*(1-(AB$8&lt;=J77)*L77^AB$8))</f>
        <v>0</v>
      </c>
      <c r="AC77" s="35" t="n">
        <f aca="false">IF(AC$8&lt;N_st,(N_st-AC$8)/N_st,0)*(1-(1-(AC$8&lt;=I77)*K77^AC$8)*(1-(AC$8&lt;=J77)*L77^AC$8))</f>
        <v>0</v>
      </c>
      <c r="AD77" s="35" t="n">
        <f aca="false">IF(AD$8&lt;N_st,(N_st-AD$8)/N_st,0)*(1-(1-(AD$8&lt;=I77)*K77^AD$8)*(1-(AD$8&lt;=J77)*L77^AD$8))</f>
        <v>0</v>
      </c>
      <c r="AE77" s="35" t="n">
        <f aca="false">IF(AE$8&lt;N_st,(N_st-AE$8)/N_st,0)*(1-(1-(AE$8&lt;=I77)*K77^AE$8)*(1-(AE$8&lt;=J77)*L77^AE$8))</f>
        <v>0</v>
      </c>
      <c r="AF77" s="35" t="n">
        <f aca="false">IF(AF$8&lt;N_st,(N_st-AF$8)/N_st,0)*(1-(1-(AF$8&lt;=I77)*K77^AF$8)*(1-(AF$8&lt;=J77)*L77^AF$8))</f>
        <v>0</v>
      </c>
      <c r="AG77" s="35" t="n">
        <f aca="false">IF(AG$8&lt;N_st,(N_st-AG$8)/N_st,0)*(1-(1-(AG$8&lt;=I77)*K77^AG$8)*(1-(AG$8&lt;=J77)*L77^AG$8))</f>
        <v>0</v>
      </c>
      <c r="AH77" s="35" t="n">
        <f aca="false">IF(AH$8&lt;N_st,(N_st-AH$8)/N_st,0)*(1-(1-(AH$8&lt;=I77)*K77^AH$8)*(1-(AH$8&lt;=J77)*L77^AH$8))</f>
        <v>0</v>
      </c>
    </row>
    <row r="78" customFormat="false" ht="15" hidden="false" customHeight="false" outlineLevel="0" collapsed="false">
      <c r="A78" s="24" t="s">
        <v>205</v>
      </c>
      <c r="B78" s="14" t="s">
        <v>187</v>
      </c>
      <c r="C78" s="14" t="n">
        <v>2</v>
      </c>
      <c r="D78" s="14" t="n">
        <v>0</v>
      </c>
      <c r="E78" s="14" t="n">
        <v>1</v>
      </c>
      <c r="F78" s="32" t="n">
        <f aca="false">(1/2_시험자료!$D$24)*2_시험자료!$F$24</f>
        <v>0.416666666666667</v>
      </c>
      <c r="G78" s="33" t="n">
        <f aca="false">2_시험자료!G15</f>
        <v>727.5</v>
      </c>
      <c r="H78" s="34" t="n">
        <f aca="false">IF(E78=1,1000000000,texp2_s)</f>
        <v>1000000000</v>
      </c>
      <c r="I78" s="14" t="n">
        <f aca="false">FLOOR(MIN(t_fs_s,H78)/G78,1)</f>
        <v>1</v>
      </c>
      <c r="J78" s="14" t="n">
        <f aca="false">IF(C78=1,FLOOR(t_fs_s/tau_L_s,1),0)</f>
        <v>0</v>
      </c>
      <c r="K78" s="17" t="n">
        <f aca="false">IF(D78=1,1-p_cb,1)</f>
        <v>1</v>
      </c>
      <c r="L78" s="17" t="n">
        <f aca="false">IF(C78=1,p_L,0)</f>
        <v>0</v>
      </c>
      <c r="M78" s="35" t="n">
        <f aca="false">SUMPRODUCT(w_ie2,1-(1-(j_row&lt;=I78)*K78^j_row)*(1-(j_row&lt;=J78)*L78^j_row))</f>
        <v>1</v>
      </c>
      <c r="N78" s="31" t="n">
        <f aca="false">occ_st*SUMPRODUCT(w_ie2,(j_row&lt;=I78)*K78^j_row*(j_row&lt;=J78)*L78^j_row*(((j_row*G78&lt;rset_s)+(j_row*tau_L_s&lt;rset_s))&gt;0)+(j_row&lt;=I78)*K78^j_row*(1-(j_row&lt;=J78)*L78^j_row)*(j_row*G78&lt;rset_s)+(1-(j_row&lt;=I78)*K78^j_row)*(j_row&lt;=J78)*L78^j_row*(j_row*tau_L_s&lt;rset_s))</f>
        <v>5</v>
      </c>
      <c r="O78" s="35" t="n">
        <f aca="false">IF(O$8&lt;N_st,1,0)*(1-(1-(O$8&lt;=I78)*K78^O$8)*(1-(O$8&lt;=J78)*L78^O$8))</f>
        <v>1</v>
      </c>
      <c r="P78" s="35" t="n">
        <f aca="false">IF(P$8&lt;N_st,1,0)*(1-(1-(P$8&lt;=I78)*K78^P$8)*(1-(P$8&lt;=J78)*L78^P$8))</f>
        <v>0</v>
      </c>
      <c r="Q78" s="35" t="n">
        <f aca="false">IF(Q$8&lt;N_st,1,0)*(1-(1-(Q$8&lt;=I78)*K78^Q$8)*(1-(Q$8&lt;=J78)*L78^Q$8))</f>
        <v>0</v>
      </c>
      <c r="R78" s="35" t="n">
        <f aca="false">IF(R$8&lt;N_st,1,0)*(1-(1-(R$8&lt;=I78)*K78^R$8)*(1-(R$8&lt;=J78)*L78^R$8))</f>
        <v>0</v>
      </c>
      <c r="S78" s="35" t="n">
        <f aca="false">IF(S$8&lt;N_st,1,0)*(1-(1-(S$8&lt;=I78)*K78^S$8)*(1-(S$8&lt;=J78)*L78^S$8))</f>
        <v>0</v>
      </c>
      <c r="T78" s="35" t="n">
        <f aca="false">IF(T$8&lt;N_st,1,0)*(1-(1-(T$8&lt;=I78)*K78^T$8)*(1-(T$8&lt;=J78)*L78^T$8))</f>
        <v>0</v>
      </c>
      <c r="U78" s="35" t="n">
        <f aca="false">IF(U$8&lt;N_st,1,0)*(1-(1-(U$8&lt;=I78)*K78^U$8)*(1-(U$8&lt;=J78)*L78^U$8))</f>
        <v>0</v>
      </c>
      <c r="V78" s="35" t="n">
        <f aca="false">IF(V$8&lt;N_st,1,0)*(1-(1-(V$8&lt;=I78)*K78^V$8)*(1-(V$8&lt;=J78)*L78^V$8))</f>
        <v>0</v>
      </c>
      <c r="W78" s="35" t="n">
        <f aca="false">IF(W$8&lt;N_st,1,0)*(1-(1-(W$8&lt;=I78)*K78^W$8)*(1-(W$8&lt;=J78)*L78^W$8))</f>
        <v>0</v>
      </c>
      <c r="X78" s="35" t="n">
        <f aca="false">IF(X$8&lt;N_st,1,0)*(1-(1-(X$8&lt;=I78)*K78^X$8)*(1-(X$8&lt;=J78)*L78^X$8))</f>
        <v>0</v>
      </c>
      <c r="Y78" s="35" t="n">
        <f aca="false">IF(Y$8&lt;N_st,1,0)*(1-(1-(Y$8&lt;=I78)*K78^Y$8)*(1-(Y$8&lt;=J78)*L78^Y$8))</f>
        <v>0</v>
      </c>
      <c r="Z78" s="35" t="n">
        <f aca="false">IF(Z$8&lt;N_st,1,0)*(1-(1-(Z$8&lt;=I78)*K78^Z$8)*(1-(Z$8&lt;=J78)*L78^Z$8))</f>
        <v>0</v>
      </c>
      <c r="AA78" s="35" t="n">
        <f aca="false">IF(AA$8&lt;N_st,1,0)*(1-(1-(AA$8&lt;=I78)*K78^AA$8)*(1-(AA$8&lt;=J78)*L78^AA$8))</f>
        <v>0</v>
      </c>
      <c r="AB78" s="35" t="n">
        <f aca="false">IF(AB$8&lt;N_st,1,0)*(1-(1-(AB$8&lt;=I78)*K78^AB$8)*(1-(AB$8&lt;=J78)*L78^AB$8))</f>
        <v>0</v>
      </c>
      <c r="AC78" s="35" t="n">
        <f aca="false">IF(AC$8&lt;N_st,1,0)*(1-(1-(AC$8&lt;=I78)*K78^AC$8)*(1-(AC$8&lt;=J78)*L78^AC$8))</f>
        <v>0</v>
      </c>
      <c r="AD78" s="35" t="n">
        <f aca="false">IF(AD$8&lt;N_st,1,0)*(1-(1-(AD$8&lt;=I78)*K78^AD$8)*(1-(AD$8&lt;=J78)*L78^AD$8))</f>
        <v>0</v>
      </c>
      <c r="AE78" s="35" t="n">
        <f aca="false">IF(AE$8&lt;N_st,1,0)*(1-(1-(AE$8&lt;=I78)*K78^AE$8)*(1-(AE$8&lt;=J78)*L78^AE$8))</f>
        <v>0</v>
      </c>
      <c r="AF78" s="35" t="n">
        <f aca="false">IF(AF$8&lt;N_st,1,0)*(1-(1-(AF$8&lt;=I78)*K78^AF$8)*(1-(AF$8&lt;=J78)*L78^AF$8))</f>
        <v>0</v>
      </c>
      <c r="AG78" s="35" t="n">
        <f aca="false">IF(AG$8&lt;N_st,1,0)*(1-(1-(AG$8&lt;=I78)*K78^AG$8)*(1-(AG$8&lt;=J78)*L78^AG$8))</f>
        <v>0</v>
      </c>
      <c r="AH78" s="35" t="n">
        <f aca="false">IF(AH$8&lt;N_st,1,0)*(1-(1-(AH$8&lt;=I78)*K78^AH$8)*(1-(AH$8&lt;=J78)*L78^AH$8))</f>
        <v>0</v>
      </c>
    </row>
    <row r="79" customFormat="false" ht="15" hidden="false" customHeight="false" outlineLevel="0" collapsed="false">
      <c r="A79" s="24" t="s">
        <v>205</v>
      </c>
      <c r="B79" s="14" t="s">
        <v>187</v>
      </c>
      <c r="C79" s="14" t="n">
        <v>2</v>
      </c>
      <c r="D79" s="14" t="n">
        <v>0</v>
      </c>
      <c r="E79" s="14" t="n">
        <v>0</v>
      </c>
      <c r="F79" s="32" t="n">
        <f aca="false">(1/2_시험자료!$D$24)*(1-2_시험자료!$F$24)</f>
        <v>0.0833333333333333</v>
      </c>
      <c r="G79" s="33" t="n">
        <f aca="false">2_시험자료!G15</f>
        <v>727.5</v>
      </c>
      <c r="H79" s="34" t="n">
        <f aca="false">IF(E79=1,1000000000,texp2_s)</f>
        <v>750</v>
      </c>
      <c r="I79" s="14" t="n">
        <f aca="false">FLOOR(MIN(t_fs_s,H79)/G79,1)</f>
        <v>1</v>
      </c>
      <c r="J79" s="14" t="n">
        <f aca="false">IF(C79=1,FLOOR(t_fs_s/tau_L_s,1),0)</f>
        <v>0</v>
      </c>
      <c r="K79" s="17" t="n">
        <f aca="false">IF(D79=1,1-p_cb,1)</f>
        <v>1</v>
      </c>
      <c r="L79" s="17" t="n">
        <f aca="false">IF(C79=1,p_L,0)</f>
        <v>0</v>
      </c>
      <c r="M79" s="35" t="n">
        <f aca="false">SUMPRODUCT(w_ie2,1-(1-(j_row&lt;=I79)*K79^j_row)*(1-(j_row&lt;=J79)*L79^j_row))</f>
        <v>1</v>
      </c>
      <c r="N79" s="31" t="n">
        <f aca="false">occ_st*SUMPRODUCT(w_ie2,(j_row&lt;=I79)*K79^j_row*(j_row&lt;=J79)*L79^j_row*(((j_row*G79&lt;rset_s)+(j_row*tau_L_s&lt;rset_s))&gt;0)+(j_row&lt;=I79)*K79^j_row*(1-(j_row&lt;=J79)*L79^j_row)*(j_row*G79&lt;rset_s)+(1-(j_row&lt;=I79)*K79^j_row)*(j_row&lt;=J79)*L79^j_row*(j_row*tau_L_s&lt;rset_s))</f>
        <v>5</v>
      </c>
      <c r="O79" s="35" t="n">
        <f aca="false">IF(O$8&lt;N_st,1,0)*(1-(1-(O$8&lt;=I79)*K79^O$8)*(1-(O$8&lt;=J79)*L79^O$8))</f>
        <v>1</v>
      </c>
      <c r="P79" s="35" t="n">
        <f aca="false">IF(P$8&lt;N_st,1,0)*(1-(1-(P$8&lt;=I79)*K79^P$8)*(1-(P$8&lt;=J79)*L79^P$8))</f>
        <v>0</v>
      </c>
      <c r="Q79" s="35" t="n">
        <f aca="false">IF(Q$8&lt;N_st,1,0)*(1-(1-(Q$8&lt;=I79)*K79^Q$8)*(1-(Q$8&lt;=J79)*L79^Q$8))</f>
        <v>0</v>
      </c>
      <c r="R79" s="35" t="n">
        <f aca="false">IF(R$8&lt;N_st,1,0)*(1-(1-(R$8&lt;=I79)*K79^R$8)*(1-(R$8&lt;=J79)*L79^R$8))</f>
        <v>0</v>
      </c>
      <c r="S79" s="35" t="n">
        <f aca="false">IF(S$8&lt;N_st,1,0)*(1-(1-(S$8&lt;=I79)*K79^S$8)*(1-(S$8&lt;=J79)*L79^S$8))</f>
        <v>0</v>
      </c>
      <c r="T79" s="35" t="n">
        <f aca="false">IF(T$8&lt;N_st,1,0)*(1-(1-(T$8&lt;=I79)*K79^T$8)*(1-(T$8&lt;=J79)*L79^T$8))</f>
        <v>0</v>
      </c>
      <c r="U79" s="35" t="n">
        <f aca="false">IF(U$8&lt;N_st,1,0)*(1-(1-(U$8&lt;=I79)*K79^U$8)*(1-(U$8&lt;=J79)*L79^U$8))</f>
        <v>0</v>
      </c>
      <c r="V79" s="35" t="n">
        <f aca="false">IF(V$8&lt;N_st,1,0)*(1-(1-(V$8&lt;=I79)*K79^V$8)*(1-(V$8&lt;=J79)*L79^V$8))</f>
        <v>0</v>
      </c>
      <c r="W79" s="35" t="n">
        <f aca="false">IF(W$8&lt;N_st,1,0)*(1-(1-(W$8&lt;=I79)*K79^W$8)*(1-(W$8&lt;=J79)*L79^W$8))</f>
        <v>0</v>
      </c>
      <c r="X79" s="35" t="n">
        <f aca="false">IF(X$8&lt;N_st,1,0)*(1-(1-(X$8&lt;=I79)*K79^X$8)*(1-(X$8&lt;=J79)*L79^X$8))</f>
        <v>0</v>
      </c>
      <c r="Y79" s="35" t="n">
        <f aca="false">IF(Y$8&lt;N_st,1,0)*(1-(1-(Y$8&lt;=I79)*K79^Y$8)*(1-(Y$8&lt;=J79)*L79^Y$8))</f>
        <v>0</v>
      </c>
      <c r="Z79" s="35" t="n">
        <f aca="false">IF(Z$8&lt;N_st,1,0)*(1-(1-(Z$8&lt;=I79)*K79^Z$8)*(1-(Z$8&lt;=J79)*L79^Z$8))</f>
        <v>0</v>
      </c>
      <c r="AA79" s="35" t="n">
        <f aca="false">IF(AA$8&lt;N_st,1,0)*(1-(1-(AA$8&lt;=I79)*K79^AA$8)*(1-(AA$8&lt;=J79)*L79^AA$8))</f>
        <v>0</v>
      </c>
      <c r="AB79" s="35" t="n">
        <f aca="false">IF(AB$8&lt;N_st,1,0)*(1-(1-(AB$8&lt;=I79)*K79^AB$8)*(1-(AB$8&lt;=J79)*L79^AB$8))</f>
        <v>0</v>
      </c>
      <c r="AC79" s="35" t="n">
        <f aca="false">IF(AC$8&lt;N_st,1,0)*(1-(1-(AC$8&lt;=I79)*K79^AC$8)*(1-(AC$8&lt;=J79)*L79^AC$8))</f>
        <v>0</v>
      </c>
      <c r="AD79" s="35" t="n">
        <f aca="false">IF(AD$8&lt;N_st,1,0)*(1-(1-(AD$8&lt;=I79)*K79^AD$8)*(1-(AD$8&lt;=J79)*L79^AD$8))</f>
        <v>0</v>
      </c>
      <c r="AE79" s="35" t="n">
        <f aca="false">IF(AE$8&lt;N_st,1,0)*(1-(1-(AE$8&lt;=I79)*K79^AE$8)*(1-(AE$8&lt;=J79)*L79^AE$8))</f>
        <v>0</v>
      </c>
      <c r="AF79" s="35" t="n">
        <f aca="false">IF(AF$8&lt;N_st,1,0)*(1-(1-(AF$8&lt;=I79)*K79^AF$8)*(1-(AF$8&lt;=J79)*L79^AF$8))</f>
        <v>0</v>
      </c>
      <c r="AG79" s="35" t="n">
        <f aca="false">IF(AG$8&lt;N_st,1,0)*(1-(1-(AG$8&lt;=I79)*K79^AG$8)*(1-(AG$8&lt;=J79)*L79^AG$8))</f>
        <v>0</v>
      </c>
      <c r="AH79" s="35" t="n">
        <f aca="false">IF(AH$8&lt;N_st,1,0)*(1-(1-(AH$8&lt;=I79)*K79^AH$8)*(1-(AH$8&lt;=J79)*L79^AH$8))</f>
        <v>0</v>
      </c>
    </row>
    <row r="80" customFormat="false" ht="15" hidden="false" customHeight="false" outlineLevel="0" collapsed="false">
      <c r="A80" s="24" t="s">
        <v>205</v>
      </c>
      <c r="B80" s="14" t="s">
        <v>187</v>
      </c>
      <c r="C80" s="14" t="n">
        <v>2</v>
      </c>
      <c r="D80" s="14" t="n">
        <v>1</v>
      </c>
      <c r="E80" s="14" t="n">
        <v>1</v>
      </c>
      <c r="F80" s="32" t="n">
        <f aca="false">(1/2_시험자료!$D$24)*2_시험자료!$F$24</f>
        <v>0.416666666666667</v>
      </c>
      <c r="G80" s="33" t="n">
        <f aca="false">2_시험자료!G15</f>
        <v>727.5</v>
      </c>
      <c r="H80" s="34" t="n">
        <f aca="false">IF(E80=1,1000000000,texp2_s)</f>
        <v>1000000000</v>
      </c>
      <c r="I80" s="14" t="n">
        <f aca="false">FLOOR(MIN(t_fs_s,H80)/G80,1)</f>
        <v>1</v>
      </c>
      <c r="J80" s="14" t="n">
        <f aca="false">IF(C80=1,FLOOR(t_fs_s/tau_L_s,1),0)</f>
        <v>0</v>
      </c>
      <c r="K80" s="17" t="n">
        <f aca="false">IF(D80=1,1-p_cb,1)</f>
        <v>0.3</v>
      </c>
      <c r="L80" s="17" t="n">
        <f aca="false">IF(C80=1,p_L,0)</f>
        <v>0</v>
      </c>
      <c r="M80" s="35" t="n">
        <f aca="false">SUMPRODUCT(w_ie2,1-(1-(j_row&lt;=I80)*K80^j_row)*(1-(j_row&lt;=J80)*L80^j_row))</f>
        <v>0.3</v>
      </c>
      <c r="N80" s="31" t="n">
        <f aca="false">occ_st*SUMPRODUCT(w_ie2,(j_row&lt;=I80)*K80^j_row*(j_row&lt;=J80)*L80^j_row*(((j_row*G80&lt;rset_s)+(j_row*tau_L_s&lt;rset_s))&gt;0)+(j_row&lt;=I80)*K80^j_row*(1-(j_row&lt;=J80)*L80^j_row)*(j_row*G80&lt;rset_s)+(1-(j_row&lt;=I80)*K80^j_row)*(j_row&lt;=J80)*L80^j_row*(j_row*tau_L_s&lt;rset_s))</f>
        <v>1.5</v>
      </c>
      <c r="O80" s="35" t="n">
        <f aca="false">IF(O$8&lt;N_st,1,0)*(1-(1-(O$8&lt;=I80)*K80^O$8)*(1-(O$8&lt;=J80)*L80^O$8))</f>
        <v>0.3</v>
      </c>
      <c r="P80" s="35" t="n">
        <f aca="false">IF(P$8&lt;N_st,1,0)*(1-(1-(P$8&lt;=I80)*K80^P$8)*(1-(P$8&lt;=J80)*L80^P$8))</f>
        <v>0</v>
      </c>
      <c r="Q80" s="35" t="n">
        <f aca="false">IF(Q$8&lt;N_st,1,0)*(1-(1-(Q$8&lt;=I80)*K80^Q$8)*(1-(Q$8&lt;=J80)*L80^Q$8))</f>
        <v>0</v>
      </c>
      <c r="R80" s="35" t="n">
        <f aca="false">IF(R$8&lt;N_st,1,0)*(1-(1-(R$8&lt;=I80)*K80^R$8)*(1-(R$8&lt;=J80)*L80^R$8))</f>
        <v>0</v>
      </c>
      <c r="S80" s="35" t="n">
        <f aca="false">IF(S$8&lt;N_st,1,0)*(1-(1-(S$8&lt;=I80)*K80^S$8)*(1-(S$8&lt;=J80)*L80^S$8))</f>
        <v>0</v>
      </c>
      <c r="T80" s="35" t="n">
        <f aca="false">IF(T$8&lt;N_st,1,0)*(1-(1-(T$8&lt;=I80)*K80^T$8)*(1-(T$8&lt;=J80)*L80^T$8))</f>
        <v>0</v>
      </c>
      <c r="U80" s="35" t="n">
        <f aca="false">IF(U$8&lt;N_st,1,0)*(1-(1-(U$8&lt;=I80)*K80^U$8)*(1-(U$8&lt;=J80)*L80^U$8))</f>
        <v>0</v>
      </c>
      <c r="V80" s="35" t="n">
        <f aca="false">IF(V$8&lt;N_st,1,0)*(1-(1-(V$8&lt;=I80)*K80^V$8)*(1-(V$8&lt;=J80)*L80^V$8))</f>
        <v>0</v>
      </c>
      <c r="W80" s="35" t="n">
        <f aca="false">IF(W$8&lt;N_st,1,0)*(1-(1-(W$8&lt;=I80)*K80^W$8)*(1-(W$8&lt;=J80)*L80^W$8))</f>
        <v>0</v>
      </c>
      <c r="X80" s="35" t="n">
        <f aca="false">IF(X$8&lt;N_st,1,0)*(1-(1-(X$8&lt;=I80)*K80^X$8)*(1-(X$8&lt;=J80)*L80^X$8))</f>
        <v>0</v>
      </c>
      <c r="Y80" s="35" t="n">
        <f aca="false">IF(Y$8&lt;N_st,1,0)*(1-(1-(Y$8&lt;=I80)*K80^Y$8)*(1-(Y$8&lt;=J80)*L80^Y$8))</f>
        <v>0</v>
      </c>
      <c r="Z80" s="35" t="n">
        <f aca="false">IF(Z$8&lt;N_st,1,0)*(1-(1-(Z$8&lt;=I80)*K80^Z$8)*(1-(Z$8&lt;=J80)*L80^Z$8))</f>
        <v>0</v>
      </c>
      <c r="AA80" s="35" t="n">
        <f aca="false">IF(AA$8&lt;N_st,1,0)*(1-(1-(AA$8&lt;=I80)*K80^AA$8)*(1-(AA$8&lt;=J80)*L80^AA$8))</f>
        <v>0</v>
      </c>
      <c r="AB80" s="35" t="n">
        <f aca="false">IF(AB$8&lt;N_st,1,0)*(1-(1-(AB$8&lt;=I80)*K80^AB$8)*(1-(AB$8&lt;=J80)*L80^AB$8))</f>
        <v>0</v>
      </c>
      <c r="AC80" s="35" t="n">
        <f aca="false">IF(AC$8&lt;N_st,1,0)*(1-(1-(AC$8&lt;=I80)*K80^AC$8)*(1-(AC$8&lt;=J80)*L80^AC$8))</f>
        <v>0</v>
      </c>
      <c r="AD80" s="35" t="n">
        <f aca="false">IF(AD$8&lt;N_st,1,0)*(1-(1-(AD$8&lt;=I80)*K80^AD$8)*(1-(AD$8&lt;=J80)*L80^AD$8))</f>
        <v>0</v>
      </c>
      <c r="AE80" s="35" t="n">
        <f aca="false">IF(AE$8&lt;N_st,1,0)*(1-(1-(AE$8&lt;=I80)*K80^AE$8)*(1-(AE$8&lt;=J80)*L80^AE$8))</f>
        <v>0</v>
      </c>
      <c r="AF80" s="35" t="n">
        <f aca="false">IF(AF$8&lt;N_st,1,0)*(1-(1-(AF$8&lt;=I80)*K80^AF$8)*(1-(AF$8&lt;=J80)*L80^AF$8))</f>
        <v>0</v>
      </c>
      <c r="AG80" s="35" t="n">
        <f aca="false">IF(AG$8&lt;N_st,1,0)*(1-(1-(AG$8&lt;=I80)*K80^AG$8)*(1-(AG$8&lt;=J80)*L80^AG$8))</f>
        <v>0</v>
      </c>
      <c r="AH80" s="35" t="n">
        <f aca="false">IF(AH$8&lt;N_st,1,0)*(1-(1-(AH$8&lt;=I80)*K80^AH$8)*(1-(AH$8&lt;=J80)*L80^AH$8))</f>
        <v>0</v>
      </c>
    </row>
    <row r="81" customFormat="false" ht="15" hidden="false" customHeight="false" outlineLevel="0" collapsed="false">
      <c r="A81" s="24" t="s">
        <v>205</v>
      </c>
      <c r="B81" s="14" t="s">
        <v>187</v>
      </c>
      <c r="C81" s="14" t="n">
        <v>2</v>
      </c>
      <c r="D81" s="14" t="n">
        <v>1</v>
      </c>
      <c r="E81" s="14" t="n">
        <v>0</v>
      </c>
      <c r="F81" s="32" t="n">
        <f aca="false">(1/2_시험자료!$D$24)*(1-2_시험자료!$F$24)</f>
        <v>0.0833333333333333</v>
      </c>
      <c r="G81" s="33" t="n">
        <f aca="false">2_시험자료!G15</f>
        <v>727.5</v>
      </c>
      <c r="H81" s="34" t="n">
        <f aca="false">IF(E81=1,1000000000,texp2_s)</f>
        <v>750</v>
      </c>
      <c r="I81" s="14" t="n">
        <f aca="false">FLOOR(MIN(t_fs_s,H81)/G81,1)</f>
        <v>1</v>
      </c>
      <c r="J81" s="14" t="n">
        <f aca="false">IF(C81=1,FLOOR(t_fs_s/tau_L_s,1),0)</f>
        <v>0</v>
      </c>
      <c r="K81" s="17" t="n">
        <f aca="false">IF(D81=1,1-p_cb,1)</f>
        <v>0.3</v>
      </c>
      <c r="L81" s="17" t="n">
        <f aca="false">IF(C81=1,p_L,0)</f>
        <v>0</v>
      </c>
      <c r="M81" s="35" t="n">
        <f aca="false">SUMPRODUCT(w_ie2,1-(1-(j_row&lt;=I81)*K81^j_row)*(1-(j_row&lt;=J81)*L81^j_row))</f>
        <v>0.3</v>
      </c>
      <c r="N81" s="31" t="n">
        <f aca="false">occ_st*SUMPRODUCT(w_ie2,(j_row&lt;=I81)*K81^j_row*(j_row&lt;=J81)*L81^j_row*(((j_row*G81&lt;rset_s)+(j_row*tau_L_s&lt;rset_s))&gt;0)+(j_row&lt;=I81)*K81^j_row*(1-(j_row&lt;=J81)*L81^j_row)*(j_row*G81&lt;rset_s)+(1-(j_row&lt;=I81)*K81^j_row)*(j_row&lt;=J81)*L81^j_row*(j_row*tau_L_s&lt;rset_s))</f>
        <v>1.5</v>
      </c>
      <c r="O81" s="35" t="n">
        <f aca="false">IF(O$8&lt;N_st,1,0)*(1-(1-(O$8&lt;=I81)*K81^O$8)*(1-(O$8&lt;=J81)*L81^O$8))</f>
        <v>0.3</v>
      </c>
      <c r="P81" s="35" t="n">
        <f aca="false">IF(P$8&lt;N_st,1,0)*(1-(1-(P$8&lt;=I81)*K81^P$8)*(1-(P$8&lt;=J81)*L81^P$8))</f>
        <v>0</v>
      </c>
      <c r="Q81" s="35" t="n">
        <f aca="false">IF(Q$8&lt;N_st,1,0)*(1-(1-(Q$8&lt;=I81)*K81^Q$8)*(1-(Q$8&lt;=J81)*L81^Q$8))</f>
        <v>0</v>
      </c>
      <c r="R81" s="35" t="n">
        <f aca="false">IF(R$8&lt;N_st,1,0)*(1-(1-(R$8&lt;=I81)*K81^R$8)*(1-(R$8&lt;=J81)*L81^R$8))</f>
        <v>0</v>
      </c>
      <c r="S81" s="35" t="n">
        <f aca="false">IF(S$8&lt;N_st,1,0)*(1-(1-(S$8&lt;=I81)*K81^S$8)*(1-(S$8&lt;=J81)*L81^S$8))</f>
        <v>0</v>
      </c>
      <c r="T81" s="35" t="n">
        <f aca="false">IF(T$8&lt;N_st,1,0)*(1-(1-(T$8&lt;=I81)*K81^T$8)*(1-(T$8&lt;=J81)*L81^T$8))</f>
        <v>0</v>
      </c>
      <c r="U81" s="35" t="n">
        <f aca="false">IF(U$8&lt;N_st,1,0)*(1-(1-(U$8&lt;=I81)*K81^U$8)*(1-(U$8&lt;=J81)*L81^U$8))</f>
        <v>0</v>
      </c>
      <c r="V81" s="35" t="n">
        <f aca="false">IF(V$8&lt;N_st,1,0)*(1-(1-(V$8&lt;=I81)*K81^V$8)*(1-(V$8&lt;=J81)*L81^V$8))</f>
        <v>0</v>
      </c>
      <c r="W81" s="35" t="n">
        <f aca="false">IF(W$8&lt;N_st,1,0)*(1-(1-(W$8&lt;=I81)*K81^W$8)*(1-(W$8&lt;=J81)*L81^W$8))</f>
        <v>0</v>
      </c>
      <c r="X81" s="35" t="n">
        <f aca="false">IF(X$8&lt;N_st,1,0)*(1-(1-(X$8&lt;=I81)*K81^X$8)*(1-(X$8&lt;=J81)*L81^X$8))</f>
        <v>0</v>
      </c>
      <c r="Y81" s="35" t="n">
        <f aca="false">IF(Y$8&lt;N_st,1,0)*(1-(1-(Y$8&lt;=I81)*K81^Y$8)*(1-(Y$8&lt;=J81)*L81^Y$8))</f>
        <v>0</v>
      </c>
      <c r="Z81" s="35" t="n">
        <f aca="false">IF(Z$8&lt;N_st,1,0)*(1-(1-(Z$8&lt;=I81)*K81^Z$8)*(1-(Z$8&lt;=J81)*L81^Z$8))</f>
        <v>0</v>
      </c>
      <c r="AA81" s="35" t="n">
        <f aca="false">IF(AA$8&lt;N_st,1,0)*(1-(1-(AA$8&lt;=I81)*K81^AA$8)*(1-(AA$8&lt;=J81)*L81^AA$8))</f>
        <v>0</v>
      </c>
      <c r="AB81" s="35" t="n">
        <f aca="false">IF(AB$8&lt;N_st,1,0)*(1-(1-(AB$8&lt;=I81)*K81^AB$8)*(1-(AB$8&lt;=J81)*L81^AB$8))</f>
        <v>0</v>
      </c>
      <c r="AC81" s="35" t="n">
        <f aca="false">IF(AC$8&lt;N_st,1,0)*(1-(1-(AC$8&lt;=I81)*K81^AC$8)*(1-(AC$8&lt;=J81)*L81^AC$8))</f>
        <v>0</v>
      </c>
      <c r="AD81" s="35" t="n">
        <f aca="false">IF(AD$8&lt;N_st,1,0)*(1-(1-(AD$8&lt;=I81)*K81^AD$8)*(1-(AD$8&lt;=J81)*L81^AD$8))</f>
        <v>0</v>
      </c>
      <c r="AE81" s="35" t="n">
        <f aca="false">IF(AE$8&lt;N_st,1,0)*(1-(1-(AE$8&lt;=I81)*K81^AE$8)*(1-(AE$8&lt;=J81)*L81^AE$8))</f>
        <v>0</v>
      </c>
      <c r="AF81" s="35" t="n">
        <f aca="false">IF(AF$8&lt;N_st,1,0)*(1-(1-(AF$8&lt;=I81)*K81^AF$8)*(1-(AF$8&lt;=J81)*L81^AF$8))</f>
        <v>0</v>
      </c>
      <c r="AG81" s="35" t="n">
        <f aca="false">IF(AG$8&lt;N_st,1,0)*(1-(1-(AG$8&lt;=I81)*K81^AG$8)*(1-(AG$8&lt;=J81)*L81^AG$8))</f>
        <v>0</v>
      </c>
      <c r="AH81" s="35" t="n">
        <f aca="false">IF(AH$8&lt;N_st,1,0)*(1-(1-(AH$8&lt;=I81)*K81^AH$8)*(1-(AH$8&lt;=J81)*L81^AH$8))</f>
        <v>0</v>
      </c>
    </row>
    <row r="82" customFormat="false" ht="15" hidden="false" customHeight="false" outlineLevel="0" collapsed="false">
      <c r="A82" s="24" t="s">
        <v>207</v>
      </c>
      <c r="B82" s="14" t="s">
        <v>188</v>
      </c>
      <c r="C82" s="14" t="n">
        <v>1</v>
      </c>
      <c r="D82" s="14" t="n">
        <v>0</v>
      </c>
      <c r="E82" s="14" t="n">
        <v>1</v>
      </c>
      <c r="F82" s="32" t="n">
        <f aca="false">(1/2_시험자료!$D$25)*2_시험자료!$F$25</f>
        <v>0.25</v>
      </c>
      <c r="G82" s="33" t="n">
        <f aca="false">2_시험자료!G16</f>
        <v>278</v>
      </c>
      <c r="H82" s="34" t="n">
        <f aca="false">IF(E82=1,1000000000,texp1_s)</f>
        <v>1000000000</v>
      </c>
      <c r="I82" s="14" t="n">
        <f aca="false">FLOOR(MIN(t_fs_s,H82)/G82,1)</f>
        <v>3</v>
      </c>
      <c r="J82" s="14" t="n">
        <f aca="false">IF(C82=1,FLOOR(t_fs_s/tau_L_s,1),0)</f>
        <v>1</v>
      </c>
      <c r="K82" s="17" t="n">
        <f aca="false">IF(D82=1,1-p_cb,1)</f>
        <v>1</v>
      </c>
      <c r="L82" s="17" t="n">
        <f aca="false">IF(C82=1,p_L,0)</f>
        <v>0.15</v>
      </c>
      <c r="M82" s="35" t="n">
        <f aca="false">SUMPRODUCT(w_ie1,1-(1-(j_row&lt;=I82)*K82^j_row)*(1-(j_row&lt;=J82)*L82^j_row))</f>
        <v>2.6</v>
      </c>
      <c r="N82" s="31" t="n">
        <f aca="false">occ_st*SUMPRODUCT(w_ie1,(j_row&lt;=I82)*K82^j_row*(j_row&lt;=J82)*L82^j_row*(((j_row*G82&lt;rset_s)+(j_row*tau_L_s&lt;rset_s))&gt;0)+(j_row&lt;=I82)*K82^j_row*(1-(j_row&lt;=J82)*L82^j_row)*(j_row*G82&lt;rset_s)+(1-(j_row&lt;=I82)*K82^j_row)*(j_row&lt;=J82)*L82^j_row*(j_row*tau_L_s&lt;rset_s))</f>
        <v>13</v>
      </c>
      <c r="O82" s="35" t="n">
        <f aca="false">IF(O$8&lt;N_st,(N_st-O$8)/N_st,0)*(1-(1-(O$8&lt;=I82)*K82^O$8)*(1-(O$8&lt;=J82)*L82^O$8))</f>
        <v>0.933333333333333</v>
      </c>
      <c r="P82" s="35" t="n">
        <f aca="false">IF(P$8&lt;N_st,(N_st-P$8)/N_st,0)*(1-(1-(P$8&lt;=I82)*K82^P$8)*(1-(P$8&lt;=J82)*L82^P$8))</f>
        <v>0.866666666666667</v>
      </c>
      <c r="Q82" s="35" t="n">
        <f aca="false">IF(Q$8&lt;N_st,(N_st-Q$8)/N_st,0)*(1-(1-(Q$8&lt;=I82)*K82^Q$8)*(1-(Q$8&lt;=J82)*L82^Q$8))</f>
        <v>0.8</v>
      </c>
      <c r="R82" s="35" t="n">
        <f aca="false">IF(R$8&lt;N_st,(N_st-R$8)/N_st,0)*(1-(1-(R$8&lt;=I82)*K82^R$8)*(1-(R$8&lt;=J82)*L82^R$8))</f>
        <v>0</v>
      </c>
      <c r="S82" s="35" t="n">
        <f aca="false">IF(S$8&lt;N_st,(N_st-S$8)/N_st,0)*(1-(1-(S$8&lt;=I82)*K82^S$8)*(1-(S$8&lt;=J82)*L82^S$8))</f>
        <v>0</v>
      </c>
      <c r="T82" s="35" t="n">
        <f aca="false">IF(T$8&lt;N_st,(N_st-T$8)/N_st,0)*(1-(1-(T$8&lt;=I82)*K82^T$8)*(1-(T$8&lt;=J82)*L82^T$8))</f>
        <v>0</v>
      </c>
      <c r="U82" s="35" t="n">
        <f aca="false">IF(U$8&lt;N_st,(N_st-U$8)/N_st,0)*(1-(1-(U$8&lt;=I82)*K82^U$8)*(1-(U$8&lt;=J82)*L82^U$8))</f>
        <v>0</v>
      </c>
      <c r="V82" s="35" t="n">
        <f aca="false">IF(V$8&lt;N_st,(N_st-V$8)/N_st,0)*(1-(1-(V$8&lt;=I82)*K82^V$8)*(1-(V$8&lt;=J82)*L82^V$8))</f>
        <v>0</v>
      </c>
      <c r="W82" s="35" t="n">
        <f aca="false">IF(W$8&lt;N_st,(N_st-W$8)/N_st,0)*(1-(1-(W$8&lt;=I82)*K82^W$8)*(1-(W$8&lt;=J82)*L82^W$8))</f>
        <v>0</v>
      </c>
      <c r="X82" s="35" t="n">
        <f aca="false">IF(X$8&lt;N_st,(N_st-X$8)/N_st,0)*(1-(1-(X$8&lt;=I82)*K82^X$8)*(1-(X$8&lt;=J82)*L82^X$8))</f>
        <v>0</v>
      </c>
      <c r="Y82" s="35" t="n">
        <f aca="false">IF(Y$8&lt;N_st,(N_st-Y$8)/N_st,0)*(1-(1-(Y$8&lt;=I82)*K82^Y$8)*(1-(Y$8&lt;=J82)*L82^Y$8))</f>
        <v>0</v>
      </c>
      <c r="Z82" s="35" t="n">
        <f aca="false">IF(Z$8&lt;N_st,(N_st-Z$8)/N_st,0)*(1-(1-(Z$8&lt;=I82)*K82^Z$8)*(1-(Z$8&lt;=J82)*L82^Z$8))</f>
        <v>0</v>
      </c>
      <c r="AA82" s="35" t="n">
        <f aca="false">IF(AA$8&lt;N_st,(N_st-AA$8)/N_st,0)*(1-(1-(AA$8&lt;=I82)*K82^AA$8)*(1-(AA$8&lt;=J82)*L82^AA$8))</f>
        <v>0</v>
      </c>
      <c r="AB82" s="35" t="n">
        <f aca="false">IF(AB$8&lt;N_st,(N_st-AB$8)/N_st,0)*(1-(1-(AB$8&lt;=I82)*K82^AB$8)*(1-(AB$8&lt;=J82)*L82^AB$8))</f>
        <v>0</v>
      </c>
      <c r="AC82" s="35" t="n">
        <f aca="false">IF(AC$8&lt;N_st,(N_st-AC$8)/N_st,0)*(1-(1-(AC$8&lt;=I82)*K82^AC$8)*(1-(AC$8&lt;=J82)*L82^AC$8))</f>
        <v>0</v>
      </c>
      <c r="AD82" s="35" t="n">
        <f aca="false">IF(AD$8&lt;N_st,(N_st-AD$8)/N_st,0)*(1-(1-(AD$8&lt;=I82)*K82^AD$8)*(1-(AD$8&lt;=J82)*L82^AD$8))</f>
        <v>0</v>
      </c>
      <c r="AE82" s="35" t="n">
        <f aca="false">IF(AE$8&lt;N_st,(N_st-AE$8)/N_st,0)*(1-(1-(AE$8&lt;=I82)*K82^AE$8)*(1-(AE$8&lt;=J82)*L82^AE$8))</f>
        <v>0</v>
      </c>
      <c r="AF82" s="35" t="n">
        <f aca="false">IF(AF$8&lt;N_st,(N_st-AF$8)/N_st,0)*(1-(1-(AF$8&lt;=I82)*K82^AF$8)*(1-(AF$8&lt;=J82)*L82^AF$8))</f>
        <v>0</v>
      </c>
      <c r="AG82" s="35" t="n">
        <f aca="false">IF(AG$8&lt;N_st,(N_st-AG$8)/N_st,0)*(1-(1-(AG$8&lt;=I82)*K82^AG$8)*(1-(AG$8&lt;=J82)*L82^AG$8))</f>
        <v>0</v>
      </c>
      <c r="AH82" s="35" t="n">
        <f aca="false">IF(AH$8&lt;N_st,(N_st-AH$8)/N_st,0)*(1-(1-(AH$8&lt;=I82)*K82^AH$8)*(1-(AH$8&lt;=J82)*L82^AH$8))</f>
        <v>0</v>
      </c>
    </row>
    <row r="83" customFormat="false" ht="15" hidden="false" customHeight="false" outlineLevel="0" collapsed="false">
      <c r="A83" s="24" t="s">
        <v>207</v>
      </c>
      <c r="B83" s="14" t="s">
        <v>188</v>
      </c>
      <c r="C83" s="14" t="n">
        <v>1</v>
      </c>
      <c r="D83" s="14" t="n">
        <v>0</v>
      </c>
      <c r="E83" s="14" t="n">
        <v>0</v>
      </c>
      <c r="F83" s="32" t="n">
        <f aca="false">(1/2_시험자료!$D$25)*(1-2_시험자료!$F$25)</f>
        <v>0.25</v>
      </c>
      <c r="G83" s="33" t="n">
        <f aca="false">2_시험자료!G16</f>
        <v>278</v>
      </c>
      <c r="H83" s="34" t="n">
        <f aca="false">IF(E83=1,1000000000,texp1_s)</f>
        <v>1200</v>
      </c>
      <c r="I83" s="14" t="n">
        <f aca="false">FLOOR(MIN(t_fs_s,H83)/G83,1)</f>
        <v>3</v>
      </c>
      <c r="J83" s="14" t="n">
        <f aca="false">IF(C83=1,FLOOR(t_fs_s/tau_L_s,1),0)</f>
        <v>1</v>
      </c>
      <c r="K83" s="17" t="n">
        <f aca="false">IF(D83=1,1-p_cb,1)</f>
        <v>1</v>
      </c>
      <c r="L83" s="17" t="n">
        <f aca="false">IF(C83=1,p_L,0)</f>
        <v>0.15</v>
      </c>
      <c r="M83" s="35" t="n">
        <f aca="false">SUMPRODUCT(w_ie1,1-(1-(j_row&lt;=I83)*K83^j_row)*(1-(j_row&lt;=J83)*L83^j_row))</f>
        <v>2.6</v>
      </c>
      <c r="N83" s="31" t="n">
        <f aca="false">occ_st*SUMPRODUCT(w_ie1,(j_row&lt;=I83)*K83^j_row*(j_row&lt;=J83)*L83^j_row*(((j_row*G83&lt;rset_s)+(j_row*tau_L_s&lt;rset_s))&gt;0)+(j_row&lt;=I83)*K83^j_row*(1-(j_row&lt;=J83)*L83^j_row)*(j_row*G83&lt;rset_s)+(1-(j_row&lt;=I83)*K83^j_row)*(j_row&lt;=J83)*L83^j_row*(j_row*tau_L_s&lt;rset_s))</f>
        <v>13</v>
      </c>
      <c r="O83" s="35" t="n">
        <f aca="false">IF(O$8&lt;N_st,(N_st-O$8)/N_st,0)*(1-(1-(O$8&lt;=I83)*K83^O$8)*(1-(O$8&lt;=J83)*L83^O$8))</f>
        <v>0.933333333333333</v>
      </c>
      <c r="P83" s="35" t="n">
        <f aca="false">IF(P$8&lt;N_st,(N_st-P$8)/N_st,0)*(1-(1-(P$8&lt;=I83)*K83^P$8)*(1-(P$8&lt;=J83)*L83^P$8))</f>
        <v>0.866666666666667</v>
      </c>
      <c r="Q83" s="35" t="n">
        <f aca="false">IF(Q$8&lt;N_st,(N_st-Q$8)/N_st,0)*(1-(1-(Q$8&lt;=I83)*K83^Q$8)*(1-(Q$8&lt;=J83)*L83^Q$8))</f>
        <v>0.8</v>
      </c>
      <c r="R83" s="35" t="n">
        <f aca="false">IF(R$8&lt;N_st,(N_st-R$8)/N_st,0)*(1-(1-(R$8&lt;=I83)*K83^R$8)*(1-(R$8&lt;=J83)*L83^R$8))</f>
        <v>0</v>
      </c>
      <c r="S83" s="35" t="n">
        <f aca="false">IF(S$8&lt;N_st,(N_st-S$8)/N_st,0)*(1-(1-(S$8&lt;=I83)*K83^S$8)*(1-(S$8&lt;=J83)*L83^S$8))</f>
        <v>0</v>
      </c>
      <c r="T83" s="35" t="n">
        <f aca="false">IF(T$8&lt;N_st,(N_st-T$8)/N_st,0)*(1-(1-(T$8&lt;=I83)*K83^T$8)*(1-(T$8&lt;=J83)*L83^T$8))</f>
        <v>0</v>
      </c>
      <c r="U83" s="35" t="n">
        <f aca="false">IF(U$8&lt;N_st,(N_st-U$8)/N_st,0)*(1-(1-(U$8&lt;=I83)*K83^U$8)*(1-(U$8&lt;=J83)*L83^U$8))</f>
        <v>0</v>
      </c>
      <c r="V83" s="35" t="n">
        <f aca="false">IF(V$8&lt;N_st,(N_st-V$8)/N_st,0)*(1-(1-(V$8&lt;=I83)*K83^V$8)*(1-(V$8&lt;=J83)*L83^V$8))</f>
        <v>0</v>
      </c>
      <c r="W83" s="35" t="n">
        <f aca="false">IF(W$8&lt;N_st,(N_st-W$8)/N_st,0)*(1-(1-(W$8&lt;=I83)*K83^W$8)*(1-(W$8&lt;=J83)*L83^W$8))</f>
        <v>0</v>
      </c>
      <c r="X83" s="35" t="n">
        <f aca="false">IF(X$8&lt;N_st,(N_st-X$8)/N_st,0)*(1-(1-(X$8&lt;=I83)*K83^X$8)*(1-(X$8&lt;=J83)*L83^X$8))</f>
        <v>0</v>
      </c>
      <c r="Y83" s="35" t="n">
        <f aca="false">IF(Y$8&lt;N_st,(N_st-Y$8)/N_st,0)*(1-(1-(Y$8&lt;=I83)*K83^Y$8)*(1-(Y$8&lt;=J83)*L83^Y$8))</f>
        <v>0</v>
      </c>
      <c r="Z83" s="35" t="n">
        <f aca="false">IF(Z$8&lt;N_st,(N_st-Z$8)/N_st,0)*(1-(1-(Z$8&lt;=I83)*K83^Z$8)*(1-(Z$8&lt;=J83)*L83^Z$8))</f>
        <v>0</v>
      </c>
      <c r="AA83" s="35" t="n">
        <f aca="false">IF(AA$8&lt;N_st,(N_st-AA$8)/N_st,0)*(1-(1-(AA$8&lt;=I83)*K83^AA$8)*(1-(AA$8&lt;=J83)*L83^AA$8))</f>
        <v>0</v>
      </c>
      <c r="AB83" s="35" t="n">
        <f aca="false">IF(AB$8&lt;N_st,(N_st-AB$8)/N_st,0)*(1-(1-(AB$8&lt;=I83)*K83^AB$8)*(1-(AB$8&lt;=J83)*L83^AB$8))</f>
        <v>0</v>
      </c>
      <c r="AC83" s="35" t="n">
        <f aca="false">IF(AC$8&lt;N_st,(N_st-AC$8)/N_st,0)*(1-(1-(AC$8&lt;=I83)*K83^AC$8)*(1-(AC$8&lt;=J83)*L83^AC$8))</f>
        <v>0</v>
      </c>
      <c r="AD83" s="35" t="n">
        <f aca="false">IF(AD$8&lt;N_st,(N_st-AD$8)/N_st,0)*(1-(1-(AD$8&lt;=I83)*K83^AD$8)*(1-(AD$8&lt;=J83)*L83^AD$8))</f>
        <v>0</v>
      </c>
      <c r="AE83" s="35" t="n">
        <f aca="false">IF(AE$8&lt;N_st,(N_st-AE$8)/N_st,0)*(1-(1-(AE$8&lt;=I83)*K83^AE$8)*(1-(AE$8&lt;=J83)*L83^AE$8))</f>
        <v>0</v>
      </c>
      <c r="AF83" s="35" t="n">
        <f aca="false">IF(AF$8&lt;N_st,(N_st-AF$8)/N_st,0)*(1-(1-(AF$8&lt;=I83)*K83^AF$8)*(1-(AF$8&lt;=J83)*L83^AF$8))</f>
        <v>0</v>
      </c>
      <c r="AG83" s="35" t="n">
        <f aca="false">IF(AG$8&lt;N_st,(N_st-AG$8)/N_st,0)*(1-(1-(AG$8&lt;=I83)*K83^AG$8)*(1-(AG$8&lt;=J83)*L83^AG$8))</f>
        <v>0</v>
      </c>
      <c r="AH83" s="35" t="n">
        <f aca="false">IF(AH$8&lt;N_st,(N_st-AH$8)/N_st,0)*(1-(1-(AH$8&lt;=I83)*K83^AH$8)*(1-(AH$8&lt;=J83)*L83^AH$8))</f>
        <v>0</v>
      </c>
    </row>
    <row r="84" customFormat="false" ht="15" hidden="false" customHeight="false" outlineLevel="0" collapsed="false">
      <c r="A84" s="24" t="s">
        <v>207</v>
      </c>
      <c r="B84" s="14" t="s">
        <v>188</v>
      </c>
      <c r="C84" s="14" t="n">
        <v>1</v>
      </c>
      <c r="D84" s="14" t="n">
        <v>1</v>
      </c>
      <c r="E84" s="14" t="n">
        <v>1</v>
      </c>
      <c r="F84" s="32" t="n">
        <f aca="false">(1/2_시험자료!$D$25)*2_시험자료!$F$25</f>
        <v>0.25</v>
      </c>
      <c r="G84" s="33" t="n">
        <f aca="false">2_시험자료!G16</f>
        <v>278</v>
      </c>
      <c r="H84" s="34" t="n">
        <f aca="false">IF(E84=1,1000000000,texp1_s)</f>
        <v>1000000000</v>
      </c>
      <c r="I84" s="14" t="n">
        <f aca="false">FLOOR(MIN(t_fs_s,H84)/G84,1)</f>
        <v>3</v>
      </c>
      <c r="J84" s="14" t="n">
        <f aca="false">IF(C84=1,FLOOR(t_fs_s/tau_L_s,1),0)</f>
        <v>1</v>
      </c>
      <c r="K84" s="17" t="n">
        <f aca="false">IF(D84=1,1-p_cb,1)</f>
        <v>0.3</v>
      </c>
      <c r="L84" s="17" t="n">
        <f aca="false">IF(C84=1,p_L,0)</f>
        <v>0.15</v>
      </c>
      <c r="M84" s="35" t="n">
        <f aca="false">SUMPRODUCT(w_ie1,1-(1-(j_row&lt;=I84)*K84^j_row)*(1-(j_row&lt;=J84)*L84^j_row))</f>
        <v>0.4776</v>
      </c>
      <c r="N84" s="31" t="n">
        <f aca="false">occ_st*SUMPRODUCT(w_ie1,(j_row&lt;=I84)*K84^j_row*(j_row&lt;=J84)*L84^j_row*(((j_row*G84&lt;rset_s)+(j_row*tau_L_s&lt;rset_s))&gt;0)+(j_row&lt;=I84)*K84^j_row*(1-(j_row&lt;=J84)*L84^j_row)*(j_row*G84&lt;rset_s)+(1-(j_row&lt;=I84)*K84^j_row)*(j_row&lt;=J84)*L84^j_row*(j_row*tau_L_s&lt;rset_s))</f>
        <v>2.388</v>
      </c>
      <c r="O84" s="35" t="n">
        <f aca="false">IF(O$8&lt;N_st,(N_st-O$8)/N_st,0)*(1-(1-(O$8&lt;=I84)*K84^O$8)*(1-(O$8&lt;=J84)*L84^O$8))</f>
        <v>0.378</v>
      </c>
      <c r="P84" s="35" t="n">
        <f aca="false">IF(P$8&lt;N_st,(N_st-P$8)/N_st,0)*(1-(1-(P$8&lt;=I84)*K84^P$8)*(1-(P$8&lt;=J84)*L84^P$8))</f>
        <v>0.0780000000000001</v>
      </c>
      <c r="Q84" s="35" t="n">
        <f aca="false">IF(Q$8&lt;N_st,(N_st-Q$8)/N_st,0)*(1-(1-(Q$8&lt;=I84)*K84^Q$8)*(1-(Q$8&lt;=J84)*L84^Q$8))</f>
        <v>0.0216</v>
      </c>
      <c r="R84" s="35" t="n">
        <f aca="false">IF(R$8&lt;N_st,(N_st-R$8)/N_st,0)*(1-(1-(R$8&lt;=I84)*K84^R$8)*(1-(R$8&lt;=J84)*L84^R$8))</f>
        <v>0</v>
      </c>
      <c r="S84" s="35" t="n">
        <f aca="false">IF(S$8&lt;N_st,(N_st-S$8)/N_st,0)*(1-(1-(S$8&lt;=I84)*K84^S$8)*(1-(S$8&lt;=J84)*L84^S$8))</f>
        <v>0</v>
      </c>
      <c r="T84" s="35" t="n">
        <f aca="false">IF(T$8&lt;N_st,(N_st-T$8)/N_st,0)*(1-(1-(T$8&lt;=I84)*K84^T$8)*(1-(T$8&lt;=J84)*L84^T$8))</f>
        <v>0</v>
      </c>
      <c r="U84" s="35" t="n">
        <f aca="false">IF(U$8&lt;N_st,(N_st-U$8)/N_st,0)*(1-(1-(U$8&lt;=I84)*K84^U$8)*(1-(U$8&lt;=J84)*L84^U$8))</f>
        <v>0</v>
      </c>
      <c r="V84" s="35" t="n">
        <f aca="false">IF(V$8&lt;N_st,(N_st-V$8)/N_st,0)*(1-(1-(V$8&lt;=I84)*K84^V$8)*(1-(V$8&lt;=J84)*L84^V$8))</f>
        <v>0</v>
      </c>
      <c r="W84" s="35" t="n">
        <f aca="false">IF(W$8&lt;N_st,(N_st-W$8)/N_st,0)*(1-(1-(W$8&lt;=I84)*K84^W$8)*(1-(W$8&lt;=J84)*L84^W$8))</f>
        <v>0</v>
      </c>
      <c r="X84" s="35" t="n">
        <f aca="false">IF(X$8&lt;N_st,(N_st-X$8)/N_st,0)*(1-(1-(X$8&lt;=I84)*K84^X$8)*(1-(X$8&lt;=J84)*L84^X$8))</f>
        <v>0</v>
      </c>
      <c r="Y84" s="35" t="n">
        <f aca="false">IF(Y$8&lt;N_st,(N_st-Y$8)/N_st,0)*(1-(1-(Y$8&lt;=I84)*K84^Y$8)*(1-(Y$8&lt;=J84)*L84^Y$8))</f>
        <v>0</v>
      </c>
      <c r="Z84" s="35" t="n">
        <f aca="false">IF(Z$8&lt;N_st,(N_st-Z$8)/N_st,0)*(1-(1-(Z$8&lt;=I84)*K84^Z$8)*(1-(Z$8&lt;=J84)*L84^Z$8))</f>
        <v>0</v>
      </c>
      <c r="AA84" s="35" t="n">
        <f aca="false">IF(AA$8&lt;N_st,(N_st-AA$8)/N_st,0)*(1-(1-(AA$8&lt;=I84)*K84^AA$8)*(1-(AA$8&lt;=J84)*L84^AA$8))</f>
        <v>0</v>
      </c>
      <c r="AB84" s="35" t="n">
        <f aca="false">IF(AB$8&lt;N_st,(N_st-AB$8)/N_st,0)*(1-(1-(AB$8&lt;=I84)*K84^AB$8)*(1-(AB$8&lt;=J84)*L84^AB$8))</f>
        <v>0</v>
      </c>
      <c r="AC84" s="35" t="n">
        <f aca="false">IF(AC$8&lt;N_st,(N_st-AC$8)/N_st,0)*(1-(1-(AC$8&lt;=I84)*K84^AC$8)*(1-(AC$8&lt;=J84)*L84^AC$8))</f>
        <v>0</v>
      </c>
      <c r="AD84" s="35" t="n">
        <f aca="false">IF(AD$8&lt;N_st,(N_st-AD$8)/N_st,0)*(1-(1-(AD$8&lt;=I84)*K84^AD$8)*(1-(AD$8&lt;=J84)*L84^AD$8))</f>
        <v>0</v>
      </c>
      <c r="AE84" s="35" t="n">
        <f aca="false">IF(AE$8&lt;N_st,(N_st-AE$8)/N_st,0)*(1-(1-(AE$8&lt;=I84)*K84^AE$8)*(1-(AE$8&lt;=J84)*L84^AE$8))</f>
        <v>0</v>
      </c>
      <c r="AF84" s="35" t="n">
        <f aca="false">IF(AF$8&lt;N_st,(N_st-AF$8)/N_st,0)*(1-(1-(AF$8&lt;=I84)*K84^AF$8)*(1-(AF$8&lt;=J84)*L84^AF$8))</f>
        <v>0</v>
      </c>
      <c r="AG84" s="35" t="n">
        <f aca="false">IF(AG$8&lt;N_st,(N_st-AG$8)/N_st,0)*(1-(1-(AG$8&lt;=I84)*K84^AG$8)*(1-(AG$8&lt;=J84)*L84^AG$8))</f>
        <v>0</v>
      </c>
      <c r="AH84" s="35" t="n">
        <f aca="false">IF(AH$8&lt;N_st,(N_st-AH$8)/N_st,0)*(1-(1-(AH$8&lt;=I84)*K84^AH$8)*(1-(AH$8&lt;=J84)*L84^AH$8))</f>
        <v>0</v>
      </c>
    </row>
    <row r="85" customFormat="false" ht="15" hidden="false" customHeight="false" outlineLevel="0" collapsed="false">
      <c r="A85" s="24" t="s">
        <v>207</v>
      </c>
      <c r="B85" s="14" t="s">
        <v>188</v>
      </c>
      <c r="C85" s="14" t="n">
        <v>1</v>
      </c>
      <c r="D85" s="14" t="n">
        <v>1</v>
      </c>
      <c r="E85" s="14" t="n">
        <v>0</v>
      </c>
      <c r="F85" s="32" t="n">
        <f aca="false">(1/2_시험자료!$D$25)*(1-2_시험자료!$F$25)</f>
        <v>0.25</v>
      </c>
      <c r="G85" s="33" t="n">
        <f aca="false">2_시험자료!G16</f>
        <v>278</v>
      </c>
      <c r="H85" s="34" t="n">
        <f aca="false">IF(E85=1,1000000000,texp1_s)</f>
        <v>1200</v>
      </c>
      <c r="I85" s="14" t="n">
        <f aca="false">FLOOR(MIN(t_fs_s,H85)/G85,1)</f>
        <v>3</v>
      </c>
      <c r="J85" s="14" t="n">
        <f aca="false">IF(C85=1,FLOOR(t_fs_s/tau_L_s,1),0)</f>
        <v>1</v>
      </c>
      <c r="K85" s="17" t="n">
        <f aca="false">IF(D85=1,1-p_cb,1)</f>
        <v>0.3</v>
      </c>
      <c r="L85" s="17" t="n">
        <f aca="false">IF(C85=1,p_L,0)</f>
        <v>0.15</v>
      </c>
      <c r="M85" s="35" t="n">
        <f aca="false">SUMPRODUCT(w_ie1,1-(1-(j_row&lt;=I85)*K85^j_row)*(1-(j_row&lt;=J85)*L85^j_row))</f>
        <v>0.4776</v>
      </c>
      <c r="N85" s="31" t="n">
        <f aca="false">occ_st*SUMPRODUCT(w_ie1,(j_row&lt;=I85)*K85^j_row*(j_row&lt;=J85)*L85^j_row*(((j_row*G85&lt;rset_s)+(j_row*tau_L_s&lt;rset_s))&gt;0)+(j_row&lt;=I85)*K85^j_row*(1-(j_row&lt;=J85)*L85^j_row)*(j_row*G85&lt;rset_s)+(1-(j_row&lt;=I85)*K85^j_row)*(j_row&lt;=J85)*L85^j_row*(j_row*tau_L_s&lt;rset_s))</f>
        <v>2.388</v>
      </c>
      <c r="O85" s="35" t="n">
        <f aca="false">IF(O$8&lt;N_st,(N_st-O$8)/N_st,0)*(1-(1-(O$8&lt;=I85)*K85^O$8)*(1-(O$8&lt;=J85)*L85^O$8))</f>
        <v>0.378</v>
      </c>
      <c r="P85" s="35" t="n">
        <f aca="false">IF(P$8&lt;N_st,(N_st-P$8)/N_st,0)*(1-(1-(P$8&lt;=I85)*K85^P$8)*(1-(P$8&lt;=J85)*L85^P$8))</f>
        <v>0.0780000000000001</v>
      </c>
      <c r="Q85" s="35" t="n">
        <f aca="false">IF(Q$8&lt;N_st,(N_st-Q$8)/N_st,0)*(1-(1-(Q$8&lt;=I85)*K85^Q$8)*(1-(Q$8&lt;=J85)*L85^Q$8))</f>
        <v>0.0216</v>
      </c>
      <c r="R85" s="35" t="n">
        <f aca="false">IF(R$8&lt;N_st,(N_st-R$8)/N_st,0)*(1-(1-(R$8&lt;=I85)*K85^R$8)*(1-(R$8&lt;=J85)*L85^R$8))</f>
        <v>0</v>
      </c>
      <c r="S85" s="35" t="n">
        <f aca="false">IF(S$8&lt;N_st,(N_st-S$8)/N_st,0)*(1-(1-(S$8&lt;=I85)*K85^S$8)*(1-(S$8&lt;=J85)*L85^S$8))</f>
        <v>0</v>
      </c>
      <c r="T85" s="35" t="n">
        <f aca="false">IF(T$8&lt;N_st,(N_st-T$8)/N_st,0)*(1-(1-(T$8&lt;=I85)*K85^T$8)*(1-(T$8&lt;=J85)*L85^T$8))</f>
        <v>0</v>
      </c>
      <c r="U85" s="35" t="n">
        <f aca="false">IF(U$8&lt;N_st,(N_st-U$8)/N_st,0)*(1-(1-(U$8&lt;=I85)*K85^U$8)*(1-(U$8&lt;=J85)*L85^U$8))</f>
        <v>0</v>
      </c>
      <c r="V85" s="35" t="n">
        <f aca="false">IF(V$8&lt;N_st,(N_st-V$8)/N_st,0)*(1-(1-(V$8&lt;=I85)*K85^V$8)*(1-(V$8&lt;=J85)*L85^V$8))</f>
        <v>0</v>
      </c>
      <c r="W85" s="35" t="n">
        <f aca="false">IF(W$8&lt;N_st,(N_st-W$8)/N_st,0)*(1-(1-(W$8&lt;=I85)*K85^W$8)*(1-(W$8&lt;=J85)*L85^W$8))</f>
        <v>0</v>
      </c>
      <c r="X85" s="35" t="n">
        <f aca="false">IF(X$8&lt;N_st,(N_st-X$8)/N_st,0)*(1-(1-(X$8&lt;=I85)*K85^X$8)*(1-(X$8&lt;=J85)*L85^X$8))</f>
        <v>0</v>
      </c>
      <c r="Y85" s="35" t="n">
        <f aca="false">IF(Y$8&lt;N_st,(N_st-Y$8)/N_st,0)*(1-(1-(Y$8&lt;=I85)*K85^Y$8)*(1-(Y$8&lt;=J85)*L85^Y$8))</f>
        <v>0</v>
      </c>
      <c r="Z85" s="35" t="n">
        <f aca="false">IF(Z$8&lt;N_st,(N_st-Z$8)/N_st,0)*(1-(1-(Z$8&lt;=I85)*K85^Z$8)*(1-(Z$8&lt;=J85)*L85^Z$8))</f>
        <v>0</v>
      </c>
      <c r="AA85" s="35" t="n">
        <f aca="false">IF(AA$8&lt;N_st,(N_st-AA$8)/N_st,0)*(1-(1-(AA$8&lt;=I85)*K85^AA$8)*(1-(AA$8&lt;=J85)*L85^AA$8))</f>
        <v>0</v>
      </c>
      <c r="AB85" s="35" t="n">
        <f aca="false">IF(AB$8&lt;N_st,(N_st-AB$8)/N_st,0)*(1-(1-(AB$8&lt;=I85)*K85^AB$8)*(1-(AB$8&lt;=J85)*L85^AB$8))</f>
        <v>0</v>
      </c>
      <c r="AC85" s="35" t="n">
        <f aca="false">IF(AC$8&lt;N_st,(N_st-AC$8)/N_st,0)*(1-(1-(AC$8&lt;=I85)*K85^AC$8)*(1-(AC$8&lt;=J85)*L85^AC$8))</f>
        <v>0</v>
      </c>
      <c r="AD85" s="35" t="n">
        <f aca="false">IF(AD$8&lt;N_st,(N_st-AD$8)/N_st,0)*(1-(1-(AD$8&lt;=I85)*K85^AD$8)*(1-(AD$8&lt;=J85)*L85^AD$8))</f>
        <v>0</v>
      </c>
      <c r="AE85" s="35" t="n">
        <f aca="false">IF(AE$8&lt;N_st,(N_st-AE$8)/N_st,0)*(1-(1-(AE$8&lt;=I85)*K85^AE$8)*(1-(AE$8&lt;=J85)*L85^AE$8))</f>
        <v>0</v>
      </c>
      <c r="AF85" s="35" t="n">
        <f aca="false">IF(AF$8&lt;N_st,(N_st-AF$8)/N_st,0)*(1-(1-(AF$8&lt;=I85)*K85^AF$8)*(1-(AF$8&lt;=J85)*L85^AF$8))</f>
        <v>0</v>
      </c>
      <c r="AG85" s="35" t="n">
        <f aca="false">IF(AG$8&lt;N_st,(N_st-AG$8)/N_st,0)*(1-(1-(AG$8&lt;=I85)*K85^AG$8)*(1-(AG$8&lt;=J85)*L85^AG$8))</f>
        <v>0</v>
      </c>
      <c r="AH85" s="35" t="n">
        <f aca="false">IF(AH$8&lt;N_st,(N_st-AH$8)/N_st,0)*(1-(1-(AH$8&lt;=I85)*K85^AH$8)*(1-(AH$8&lt;=J85)*L85^AH$8))</f>
        <v>0</v>
      </c>
    </row>
    <row r="86" customFormat="false" ht="15" hidden="false" customHeight="false" outlineLevel="0" collapsed="false">
      <c r="A86" s="24" t="s">
        <v>207</v>
      </c>
      <c r="B86" s="14" t="s">
        <v>188</v>
      </c>
      <c r="C86" s="14" t="n">
        <v>2</v>
      </c>
      <c r="D86" s="14" t="n">
        <v>0</v>
      </c>
      <c r="E86" s="14" t="n">
        <v>1</v>
      </c>
      <c r="F86" s="32" t="n">
        <f aca="false">(1/2_시험자료!$D$25)*2_시험자료!$F$25</f>
        <v>0.25</v>
      </c>
      <c r="G86" s="33" t="n">
        <f aca="false">2_시험자료!G16</f>
        <v>278</v>
      </c>
      <c r="H86" s="34" t="n">
        <f aca="false">IF(E86=1,1000000000,texp2_s)</f>
        <v>1000000000</v>
      </c>
      <c r="I86" s="14" t="n">
        <f aca="false">FLOOR(MIN(t_fs_s,H86)/G86,1)</f>
        <v>3</v>
      </c>
      <c r="J86" s="14" t="n">
        <f aca="false">IF(C86=1,FLOOR(t_fs_s/tau_L_s,1),0)</f>
        <v>0</v>
      </c>
      <c r="K86" s="17" t="n">
        <f aca="false">IF(D86=1,1-p_cb,1)</f>
        <v>1</v>
      </c>
      <c r="L86" s="17" t="n">
        <f aca="false">IF(C86=1,p_L,0)</f>
        <v>0</v>
      </c>
      <c r="M86" s="35" t="n">
        <f aca="false">SUMPRODUCT(w_ie2,1-(1-(j_row&lt;=I86)*K86^j_row)*(1-(j_row&lt;=J86)*L86^j_row))</f>
        <v>3</v>
      </c>
      <c r="N86" s="31" t="n">
        <f aca="false">occ_st*SUMPRODUCT(w_ie2,(j_row&lt;=I86)*K86^j_row*(j_row&lt;=J86)*L86^j_row*(((j_row*G86&lt;rset_s)+(j_row*tau_L_s&lt;rset_s))&gt;0)+(j_row&lt;=I86)*K86^j_row*(1-(j_row&lt;=J86)*L86^j_row)*(j_row*G86&lt;rset_s)+(1-(j_row&lt;=I86)*K86^j_row)*(j_row&lt;=J86)*L86^j_row*(j_row*tau_L_s&lt;rset_s))</f>
        <v>15</v>
      </c>
      <c r="O86" s="35" t="n">
        <f aca="false">IF(O$8&lt;N_st,1,0)*(1-(1-(O$8&lt;=I86)*K86^O$8)*(1-(O$8&lt;=J86)*L86^O$8))</f>
        <v>1</v>
      </c>
      <c r="P86" s="35" t="n">
        <f aca="false">IF(P$8&lt;N_st,1,0)*(1-(1-(P$8&lt;=I86)*K86^P$8)*(1-(P$8&lt;=J86)*L86^P$8))</f>
        <v>1</v>
      </c>
      <c r="Q86" s="35" t="n">
        <f aca="false">IF(Q$8&lt;N_st,1,0)*(1-(1-(Q$8&lt;=I86)*K86^Q$8)*(1-(Q$8&lt;=J86)*L86^Q$8))</f>
        <v>1</v>
      </c>
      <c r="R86" s="35" t="n">
        <f aca="false">IF(R$8&lt;N_st,1,0)*(1-(1-(R$8&lt;=I86)*K86^R$8)*(1-(R$8&lt;=J86)*L86^R$8))</f>
        <v>0</v>
      </c>
      <c r="S86" s="35" t="n">
        <f aca="false">IF(S$8&lt;N_st,1,0)*(1-(1-(S$8&lt;=I86)*K86^S$8)*(1-(S$8&lt;=J86)*L86^S$8))</f>
        <v>0</v>
      </c>
      <c r="T86" s="35" t="n">
        <f aca="false">IF(T$8&lt;N_st,1,0)*(1-(1-(T$8&lt;=I86)*K86^T$8)*(1-(T$8&lt;=J86)*L86^T$8))</f>
        <v>0</v>
      </c>
      <c r="U86" s="35" t="n">
        <f aca="false">IF(U$8&lt;N_st,1,0)*(1-(1-(U$8&lt;=I86)*K86^U$8)*(1-(U$8&lt;=J86)*L86^U$8))</f>
        <v>0</v>
      </c>
      <c r="V86" s="35" t="n">
        <f aca="false">IF(V$8&lt;N_st,1,0)*(1-(1-(V$8&lt;=I86)*K86^V$8)*(1-(V$8&lt;=J86)*L86^V$8))</f>
        <v>0</v>
      </c>
      <c r="W86" s="35" t="n">
        <f aca="false">IF(W$8&lt;N_st,1,0)*(1-(1-(W$8&lt;=I86)*K86^W$8)*(1-(W$8&lt;=J86)*L86^W$8))</f>
        <v>0</v>
      </c>
      <c r="X86" s="35" t="n">
        <f aca="false">IF(X$8&lt;N_st,1,0)*(1-(1-(X$8&lt;=I86)*K86^X$8)*(1-(X$8&lt;=J86)*L86^X$8))</f>
        <v>0</v>
      </c>
      <c r="Y86" s="35" t="n">
        <f aca="false">IF(Y$8&lt;N_st,1,0)*(1-(1-(Y$8&lt;=I86)*K86^Y$8)*(1-(Y$8&lt;=J86)*L86^Y$8))</f>
        <v>0</v>
      </c>
      <c r="Z86" s="35" t="n">
        <f aca="false">IF(Z$8&lt;N_st,1,0)*(1-(1-(Z$8&lt;=I86)*K86^Z$8)*(1-(Z$8&lt;=J86)*L86^Z$8))</f>
        <v>0</v>
      </c>
      <c r="AA86" s="35" t="n">
        <f aca="false">IF(AA$8&lt;N_st,1,0)*(1-(1-(AA$8&lt;=I86)*K86^AA$8)*(1-(AA$8&lt;=J86)*L86^AA$8))</f>
        <v>0</v>
      </c>
      <c r="AB86" s="35" t="n">
        <f aca="false">IF(AB$8&lt;N_st,1,0)*(1-(1-(AB$8&lt;=I86)*K86^AB$8)*(1-(AB$8&lt;=J86)*L86^AB$8))</f>
        <v>0</v>
      </c>
      <c r="AC86" s="35" t="n">
        <f aca="false">IF(AC$8&lt;N_st,1,0)*(1-(1-(AC$8&lt;=I86)*K86^AC$8)*(1-(AC$8&lt;=J86)*L86^AC$8))</f>
        <v>0</v>
      </c>
      <c r="AD86" s="35" t="n">
        <f aca="false">IF(AD$8&lt;N_st,1,0)*(1-(1-(AD$8&lt;=I86)*K86^AD$8)*(1-(AD$8&lt;=J86)*L86^AD$8))</f>
        <v>0</v>
      </c>
      <c r="AE86" s="35" t="n">
        <f aca="false">IF(AE$8&lt;N_st,1,0)*(1-(1-(AE$8&lt;=I86)*K86^AE$8)*(1-(AE$8&lt;=J86)*L86^AE$8))</f>
        <v>0</v>
      </c>
      <c r="AF86" s="35" t="n">
        <f aca="false">IF(AF$8&lt;N_st,1,0)*(1-(1-(AF$8&lt;=I86)*K86^AF$8)*(1-(AF$8&lt;=J86)*L86^AF$8))</f>
        <v>0</v>
      </c>
      <c r="AG86" s="35" t="n">
        <f aca="false">IF(AG$8&lt;N_st,1,0)*(1-(1-(AG$8&lt;=I86)*K86^AG$8)*(1-(AG$8&lt;=J86)*L86^AG$8))</f>
        <v>0</v>
      </c>
      <c r="AH86" s="35" t="n">
        <f aca="false">IF(AH$8&lt;N_st,1,0)*(1-(1-(AH$8&lt;=I86)*K86^AH$8)*(1-(AH$8&lt;=J86)*L86^AH$8))</f>
        <v>0</v>
      </c>
    </row>
    <row r="87" customFormat="false" ht="15" hidden="false" customHeight="false" outlineLevel="0" collapsed="false">
      <c r="A87" s="24" t="s">
        <v>207</v>
      </c>
      <c r="B87" s="14" t="s">
        <v>188</v>
      </c>
      <c r="C87" s="14" t="n">
        <v>2</v>
      </c>
      <c r="D87" s="14" t="n">
        <v>0</v>
      </c>
      <c r="E87" s="14" t="n">
        <v>0</v>
      </c>
      <c r="F87" s="32" t="n">
        <f aca="false">(1/2_시험자료!$D$25)*(1-2_시험자료!$F$25)</f>
        <v>0.25</v>
      </c>
      <c r="G87" s="33" t="n">
        <f aca="false">2_시험자료!G16</f>
        <v>278</v>
      </c>
      <c r="H87" s="34" t="n">
        <f aca="false">IF(E87=1,1000000000,texp2_s)</f>
        <v>750</v>
      </c>
      <c r="I87" s="14" t="n">
        <f aca="false">FLOOR(MIN(t_fs_s,H87)/G87,1)</f>
        <v>2</v>
      </c>
      <c r="J87" s="14" t="n">
        <f aca="false">IF(C87=1,FLOOR(t_fs_s/tau_L_s,1),0)</f>
        <v>0</v>
      </c>
      <c r="K87" s="17" t="n">
        <f aca="false">IF(D87=1,1-p_cb,1)</f>
        <v>1</v>
      </c>
      <c r="L87" s="17" t="n">
        <f aca="false">IF(C87=1,p_L,0)</f>
        <v>0</v>
      </c>
      <c r="M87" s="35" t="n">
        <f aca="false">SUMPRODUCT(w_ie2,1-(1-(j_row&lt;=I87)*K87^j_row)*(1-(j_row&lt;=J87)*L87^j_row))</f>
        <v>2</v>
      </c>
      <c r="N87" s="31" t="n">
        <f aca="false">occ_st*SUMPRODUCT(w_ie2,(j_row&lt;=I87)*K87^j_row*(j_row&lt;=J87)*L87^j_row*(((j_row*G87&lt;rset_s)+(j_row*tau_L_s&lt;rset_s))&gt;0)+(j_row&lt;=I87)*K87^j_row*(1-(j_row&lt;=J87)*L87^j_row)*(j_row*G87&lt;rset_s)+(1-(j_row&lt;=I87)*K87^j_row)*(j_row&lt;=J87)*L87^j_row*(j_row*tau_L_s&lt;rset_s))</f>
        <v>10</v>
      </c>
      <c r="O87" s="35" t="n">
        <f aca="false">IF(O$8&lt;N_st,1,0)*(1-(1-(O$8&lt;=I87)*K87^O$8)*(1-(O$8&lt;=J87)*L87^O$8))</f>
        <v>1</v>
      </c>
      <c r="P87" s="35" t="n">
        <f aca="false">IF(P$8&lt;N_st,1,0)*(1-(1-(P$8&lt;=I87)*K87^P$8)*(1-(P$8&lt;=J87)*L87^P$8))</f>
        <v>1</v>
      </c>
      <c r="Q87" s="35" t="n">
        <f aca="false">IF(Q$8&lt;N_st,1,0)*(1-(1-(Q$8&lt;=I87)*K87^Q$8)*(1-(Q$8&lt;=J87)*L87^Q$8))</f>
        <v>0</v>
      </c>
      <c r="R87" s="35" t="n">
        <f aca="false">IF(R$8&lt;N_st,1,0)*(1-(1-(R$8&lt;=I87)*K87^R$8)*(1-(R$8&lt;=J87)*L87^R$8))</f>
        <v>0</v>
      </c>
      <c r="S87" s="35" t="n">
        <f aca="false">IF(S$8&lt;N_st,1,0)*(1-(1-(S$8&lt;=I87)*K87^S$8)*(1-(S$8&lt;=J87)*L87^S$8))</f>
        <v>0</v>
      </c>
      <c r="T87" s="35" t="n">
        <f aca="false">IF(T$8&lt;N_st,1,0)*(1-(1-(T$8&lt;=I87)*K87^T$8)*(1-(T$8&lt;=J87)*L87^T$8))</f>
        <v>0</v>
      </c>
      <c r="U87" s="35" t="n">
        <f aca="false">IF(U$8&lt;N_st,1,0)*(1-(1-(U$8&lt;=I87)*K87^U$8)*(1-(U$8&lt;=J87)*L87^U$8))</f>
        <v>0</v>
      </c>
      <c r="V87" s="35" t="n">
        <f aca="false">IF(V$8&lt;N_st,1,0)*(1-(1-(V$8&lt;=I87)*K87^V$8)*(1-(V$8&lt;=J87)*L87^V$8))</f>
        <v>0</v>
      </c>
      <c r="W87" s="35" t="n">
        <f aca="false">IF(W$8&lt;N_st,1,0)*(1-(1-(W$8&lt;=I87)*K87^W$8)*(1-(W$8&lt;=J87)*L87^W$8))</f>
        <v>0</v>
      </c>
      <c r="X87" s="35" t="n">
        <f aca="false">IF(X$8&lt;N_st,1,0)*(1-(1-(X$8&lt;=I87)*K87^X$8)*(1-(X$8&lt;=J87)*L87^X$8))</f>
        <v>0</v>
      </c>
      <c r="Y87" s="35" t="n">
        <f aca="false">IF(Y$8&lt;N_st,1,0)*(1-(1-(Y$8&lt;=I87)*K87^Y$8)*(1-(Y$8&lt;=J87)*L87^Y$8))</f>
        <v>0</v>
      </c>
      <c r="Z87" s="35" t="n">
        <f aca="false">IF(Z$8&lt;N_st,1,0)*(1-(1-(Z$8&lt;=I87)*K87^Z$8)*(1-(Z$8&lt;=J87)*L87^Z$8))</f>
        <v>0</v>
      </c>
      <c r="AA87" s="35" t="n">
        <f aca="false">IF(AA$8&lt;N_st,1,0)*(1-(1-(AA$8&lt;=I87)*K87^AA$8)*(1-(AA$8&lt;=J87)*L87^AA$8))</f>
        <v>0</v>
      </c>
      <c r="AB87" s="35" t="n">
        <f aca="false">IF(AB$8&lt;N_st,1,0)*(1-(1-(AB$8&lt;=I87)*K87^AB$8)*(1-(AB$8&lt;=J87)*L87^AB$8))</f>
        <v>0</v>
      </c>
      <c r="AC87" s="35" t="n">
        <f aca="false">IF(AC$8&lt;N_st,1,0)*(1-(1-(AC$8&lt;=I87)*K87^AC$8)*(1-(AC$8&lt;=J87)*L87^AC$8))</f>
        <v>0</v>
      </c>
      <c r="AD87" s="35" t="n">
        <f aca="false">IF(AD$8&lt;N_st,1,0)*(1-(1-(AD$8&lt;=I87)*K87^AD$8)*(1-(AD$8&lt;=J87)*L87^AD$8))</f>
        <v>0</v>
      </c>
      <c r="AE87" s="35" t="n">
        <f aca="false">IF(AE$8&lt;N_st,1,0)*(1-(1-(AE$8&lt;=I87)*K87^AE$8)*(1-(AE$8&lt;=J87)*L87^AE$8))</f>
        <v>0</v>
      </c>
      <c r="AF87" s="35" t="n">
        <f aca="false">IF(AF$8&lt;N_st,1,0)*(1-(1-(AF$8&lt;=I87)*K87^AF$8)*(1-(AF$8&lt;=J87)*L87^AF$8))</f>
        <v>0</v>
      </c>
      <c r="AG87" s="35" t="n">
        <f aca="false">IF(AG$8&lt;N_st,1,0)*(1-(1-(AG$8&lt;=I87)*K87^AG$8)*(1-(AG$8&lt;=J87)*L87^AG$8))</f>
        <v>0</v>
      </c>
      <c r="AH87" s="35" t="n">
        <f aca="false">IF(AH$8&lt;N_st,1,0)*(1-(1-(AH$8&lt;=I87)*K87^AH$8)*(1-(AH$8&lt;=J87)*L87^AH$8))</f>
        <v>0</v>
      </c>
    </row>
    <row r="88" customFormat="false" ht="15" hidden="false" customHeight="false" outlineLevel="0" collapsed="false">
      <c r="A88" s="24" t="s">
        <v>207</v>
      </c>
      <c r="B88" s="14" t="s">
        <v>188</v>
      </c>
      <c r="C88" s="14" t="n">
        <v>2</v>
      </c>
      <c r="D88" s="14" t="n">
        <v>1</v>
      </c>
      <c r="E88" s="14" t="n">
        <v>1</v>
      </c>
      <c r="F88" s="32" t="n">
        <f aca="false">(1/2_시험자료!$D$25)*2_시험자료!$F$25</f>
        <v>0.25</v>
      </c>
      <c r="G88" s="33" t="n">
        <f aca="false">2_시험자료!G16</f>
        <v>278</v>
      </c>
      <c r="H88" s="34" t="n">
        <f aca="false">IF(E88=1,1000000000,texp2_s)</f>
        <v>1000000000</v>
      </c>
      <c r="I88" s="14" t="n">
        <f aca="false">FLOOR(MIN(t_fs_s,H88)/G88,1)</f>
        <v>3</v>
      </c>
      <c r="J88" s="14" t="n">
        <f aca="false">IF(C88=1,FLOOR(t_fs_s/tau_L_s,1),0)</f>
        <v>0</v>
      </c>
      <c r="K88" s="17" t="n">
        <f aca="false">IF(D88=1,1-p_cb,1)</f>
        <v>0.3</v>
      </c>
      <c r="L88" s="17" t="n">
        <f aca="false">IF(C88=1,p_L,0)</f>
        <v>0</v>
      </c>
      <c r="M88" s="35" t="n">
        <f aca="false">SUMPRODUCT(w_ie2,1-(1-(j_row&lt;=I88)*K88^j_row)*(1-(j_row&lt;=J88)*L88^j_row))</f>
        <v>0.417</v>
      </c>
      <c r="N88" s="31" t="n">
        <f aca="false">occ_st*SUMPRODUCT(w_ie2,(j_row&lt;=I88)*K88^j_row*(j_row&lt;=J88)*L88^j_row*(((j_row*G88&lt;rset_s)+(j_row*tau_L_s&lt;rset_s))&gt;0)+(j_row&lt;=I88)*K88^j_row*(1-(j_row&lt;=J88)*L88^j_row)*(j_row*G88&lt;rset_s)+(1-(j_row&lt;=I88)*K88^j_row)*(j_row&lt;=J88)*L88^j_row*(j_row*tau_L_s&lt;rset_s))</f>
        <v>2.085</v>
      </c>
      <c r="O88" s="35" t="n">
        <f aca="false">IF(O$8&lt;N_st,1,0)*(1-(1-(O$8&lt;=I88)*K88^O$8)*(1-(O$8&lt;=J88)*L88^O$8))</f>
        <v>0.3</v>
      </c>
      <c r="P88" s="35" t="n">
        <f aca="false">IF(P$8&lt;N_st,1,0)*(1-(1-(P$8&lt;=I88)*K88^P$8)*(1-(P$8&lt;=J88)*L88^P$8))</f>
        <v>0.0900000000000001</v>
      </c>
      <c r="Q88" s="35" t="n">
        <f aca="false">IF(Q$8&lt;N_st,1,0)*(1-(1-(Q$8&lt;=I88)*K88^Q$8)*(1-(Q$8&lt;=J88)*L88^Q$8))</f>
        <v>0.027</v>
      </c>
      <c r="R88" s="35" t="n">
        <f aca="false">IF(R$8&lt;N_st,1,0)*(1-(1-(R$8&lt;=I88)*K88^R$8)*(1-(R$8&lt;=J88)*L88^R$8))</f>
        <v>0</v>
      </c>
      <c r="S88" s="35" t="n">
        <f aca="false">IF(S$8&lt;N_st,1,0)*(1-(1-(S$8&lt;=I88)*K88^S$8)*(1-(S$8&lt;=J88)*L88^S$8))</f>
        <v>0</v>
      </c>
      <c r="T88" s="35" t="n">
        <f aca="false">IF(T$8&lt;N_st,1,0)*(1-(1-(T$8&lt;=I88)*K88^T$8)*(1-(T$8&lt;=J88)*L88^T$8))</f>
        <v>0</v>
      </c>
      <c r="U88" s="35" t="n">
        <f aca="false">IF(U$8&lt;N_st,1,0)*(1-(1-(U$8&lt;=I88)*K88^U$8)*(1-(U$8&lt;=J88)*L88^U$8))</f>
        <v>0</v>
      </c>
      <c r="V88" s="35" t="n">
        <f aca="false">IF(V$8&lt;N_st,1,0)*(1-(1-(V$8&lt;=I88)*K88^V$8)*(1-(V$8&lt;=J88)*L88^V$8))</f>
        <v>0</v>
      </c>
      <c r="W88" s="35" t="n">
        <f aca="false">IF(W$8&lt;N_st,1,0)*(1-(1-(W$8&lt;=I88)*K88^W$8)*(1-(W$8&lt;=J88)*L88^W$8))</f>
        <v>0</v>
      </c>
      <c r="X88" s="35" t="n">
        <f aca="false">IF(X$8&lt;N_st,1,0)*(1-(1-(X$8&lt;=I88)*K88^X$8)*(1-(X$8&lt;=J88)*L88^X$8))</f>
        <v>0</v>
      </c>
      <c r="Y88" s="35" t="n">
        <f aca="false">IF(Y$8&lt;N_st,1,0)*(1-(1-(Y$8&lt;=I88)*K88^Y$8)*(1-(Y$8&lt;=J88)*L88^Y$8))</f>
        <v>0</v>
      </c>
      <c r="Z88" s="35" t="n">
        <f aca="false">IF(Z$8&lt;N_st,1,0)*(1-(1-(Z$8&lt;=I88)*K88^Z$8)*(1-(Z$8&lt;=J88)*L88^Z$8))</f>
        <v>0</v>
      </c>
      <c r="AA88" s="35" t="n">
        <f aca="false">IF(AA$8&lt;N_st,1,0)*(1-(1-(AA$8&lt;=I88)*K88^AA$8)*(1-(AA$8&lt;=J88)*L88^AA$8))</f>
        <v>0</v>
      </c>
      <c r="AB88" s="35" t="n">
        <f aca="false">IF(AB$8&lt;N_st,1,0)*(1-(1-(AB$8&lt;=I88)*K88^AB$8)*(1-(AB$8&lt;=J88)*L88^AB$8))</f>
        <v>0</v>
      </c>
      <c r="AC88" s="35" t="n">
        <f aca="false">IF(AC$8&lt;N_st,1,0)*(1-(1-(AC$8&lt;=I88)*K88^AC$8)*(1-(AC$8&lt;=J88)*L88^AC$8))</f>
        <v>0</v>
      </c>
      <c r="AD88" s="35" t="n">
        <f aca="false">IF(AD$8&lt;N_st,1,0)*(1-(1-(AD$8&lt;=I88)*K88^AD$8)*(1-(AD$8&lt;=J88)*L88^AD$8))</f>
        <v>0</v>
      </c>
      <c r="AE88" s="35" t="n">
        <f aca="false">IF(AE$8&lt;N_st,1,0)*(1-(1-(AE$8&lt;=I88)*K88^AE$8)*(1-(AE$8&lt;=J88)*L88^AE$8))</f>
        <v>0</v>
      </c>
      <c r="AF88" s="35" t="n">
        <f aca="false">IF(AF$8&lt;N_st,1,0)*(1-(1-(AF$8&lt;=I88)*K88^AF$8)*(1-(AF$8&lt;=J88)*L88^AF$8))</f>
        <v>0</v>
      </c>
      <c r="AG88" s="35" t="n">
        <f aca="false">IF(AG$8&lt;N_st,1,0)*(1-(1-(AG$8&lt;=I88)*K88^AG$8)*(1-(AG$8&lt;=J88)*L88^AG$8))</f>
        <v>0</v>
      </c>
      <c r="AH88" s="35" t="n">
        <f aca="false">IF(AH$8&lt;N_st,1,0)*(1-(1-(AH$8&lt;=I88)*K88^AH$8)*(1-(AH$8&lt;=J88)*L88^AH$8))</f>
        <v>0</v>
      </c>
    </row>
    <row r="89" customFormat="false" ht="15" hidden="false" customHeight="false" outlineLevel="0" collapsed="false">
      <c r="A89" s="24" t="s">
        <v>207</v>
      </c>
      <c r="B89" s="14" t="s">
        <v>188</v>
      </c>
      <c r="C89" s="14" t="n">
        <v>2</v>
      </c>
      <c r="D89" s="14" t="n">
        <v>1</v>
      </c>
      <c r="E89" s="14" t="n">
        <v>0</v>
      </c>
      <c r="F89" s="32" t="n">
        <f aca="false">(1/2_시험자료!$D$25)*(1-2_시험자료!$F$25)</f>
        <v>0.25</v>
      </c>
      <c r="G89" s="33" t="n">
        <f aca="false">2_시험자료!G16</f>
        <v>278</v>
      </c>
      <c r="H89" s="34" t="n">
        <f aca="false">IF(E89=1,1000000000,texp2_s)</f>
        <v>750</v>
      </c>
      <c r="I89" s="14" t="n">
        <f aca="false">FLOOR(MIN(t_fs_s,H89)/G89,1)</f>
        <v>2</v>
      </c>
      <c r="J89" s="14" t="n">
        <f aca="false">IF(C89=1,FLOOR(t_fs_s/tau_L_s,1),0)</f>
        <v>0</v>
      </c>
      <c r="K89" s="17" t="n">
        <f aca="false">IF(D89=1,1-p_cb,1)</f>
        <v>0.3</v>
      </c>
      <c r="L89" s="17" t="n">
        <f aca="false">IF(C89=1,p_L,0)</f>
        <v>0</v>
      </c>
      <c r="M89" s="35" t="n">
        <f aca="false">SUMPRODUCT(w_ie2,1-(1-(j_row&lt;=I89)*K89^j_row)*(1-(j_row&lt;=J89)*L89^j_row))</f>
        <v>0.39</v>
      </c>
      <c r="N89" s="31" t="n">
        <f aca="false">occ_st*SUMPRODUCT(w_ie2,(j_row&lt;=I89)*K89^j_row*(j_row&lt;=J89)*L89^j_row*(((j_row*G89&lt;rset_s)+(j_row*tau_L_s&lt;rset_s))&gt;0)+(j_row&lt;=I89)*K89^j_row*(1-(j_row&lt;=J89)*L89^j_row)*(j_row*G89&lt;rset_s)+(1-(j_row&lt;=I89)*K89^j_row)*(j_row&lt;=J89)*L89^j_row*(j_row*tau_L_s&lt;rset_s))</f>
        <v>1.95</v>
      </c>
      <c r="O89" s="35" t="n">
        <f aca="false">IF(O$8&lt;N_st,1,0)*(1-(1-(O$8&lt;=I89)*K89^O$8)*(1-(O$8&lt;=J89)*L89^O$8))</f>
        <v>0.3</v>
      </c>
      <c r="P89" s="35" t="n">
        <f aca="false">IF(P$8&lt;N_st,1,0)*(1-(1-(P$8&lt;=I89)*K89^P$8)*(1-(P$8&lt;=J89)*L89^P$8))</f>
        <v>0.0900000000000001</v>
      </c>
      <c r="Q89" s="35" t="n">
        <f aca="false">IF(Q$8&lt;N_st,1,0)*(1-(1-(Q$8&lt;=I89)*K89^Q$8)*(1-(Q$8&lt;=J89)*L89^Q$8))</f>
        <v>0</v>
      </c>
      <c r="R89" s="35" t="n">
        <f aca="false">IF(R$8&lt;N_st,1,0)*(1-(1-(R$8&lt;=I89)*K89^R$8)*(1-(R$8&lt;=J89)*L89^R$8))</f>
        <v>0</v>
      </c>
      <c r="S89" s="35" t="n">
        <f aca="false">IF(S$8&lt;N_st,1,0)*(1-(1-(S$8&lt;=I89)*K89^S$8)*(1-(S$8&lt;=J89)*L89^S$8))</f>
        <v>0</v>
      </c>
      <c r="T89" s="35" t="n">
        <f aca="false">IF(T$8&lt;N_st,1,0)*(1-(1-(T$8&lt;=I89)*K89^T$8)*(1-(T$8&lt;=J89)*L89^T$8))</f>
        <v>0</v>
      </c>
      <c r="U89" s="35" t="n">
        <f aca="false">IF(U$8&lt;N_st,1,0)*(1-(1-(U$8&lt;=I89)*K89^U$8)*(1-(U$8&lt;=J89)*L89^U$8))</f>
        <v>0</v>
      </c>
      <c r="V89" s="35" t="n">
        <f aca="false">IF(V$8&lt;N_st,1,0)*(1-(1-(V$8&lt;=I89)*K89^V$8)*(1-(V$8&lt;=J89)*L89^V$8))</f>
        <v>0</v>
      </c>
      <c r="W89" s="35" t="n">
        <f aca="false">IF(W$8&lt;N_st,1,0)*(1-(1-(W$8&lt;=I89)*K89^W$8)*(1-(W$8&lt;=J89)*L89^W$8))</f>
        <v>0</v>
      </c>
      <c r="X89" s="35" t="n">
        <f aca="false">IF(X$8&lt;N_st,1,0)*(1-(1-(X$8&lt;=I89)*K89^X$8)*(1-(X$8&lt;=J89)*L89^X$8))</f>
        <v>0</v>
      </c>
      <c r="Y89" s="35" t="n">
        <f aca="false">IF(Y$8&lt;N_st,1,0)*(1-(1-(Y$8&lt;=I89)*K89^Y$8)*(1-(Y$8&lt;=J89)*L89^Y$8))</f>
        <v>0</v>
      </c>
      <c r="Z89" s="35" t="n">
        <f aca="false">IF(Z$8&lt;N_st,1,0)*(1-(1-(Z$8&lt;=I89)*K89^Z$8)*(1-(Z$8&lt;=J89)*L89^Z$8))</f>
        <v>0</v>
      </c>
      <c r="AA89" s="35" t="n">
        <f aca="false">IF(AA$8&lt;N_st,1,0)*(1-(1-(AA$8&lt;=I89)*K89^AA$8)*(1-(AA$8&lt;=J89)*L89^AA$8))</f>
        <v>0</v>
      </c>
      <c r="AB89" s="35" t="n">
        <f aca="false">IF(AB$8&lt;N_st,1,0)*(1-(1-(AB$8&lt;=I89)*K89^AB$8)*(1-(AB$8&lt;=J89)*L89^AB$8))</f>
        <v>0</v>
      </c>
      <c r="AC89" s="35" t="n">
        <f aca="false">IF(AC$8&lt;N_st,1,0)*(1-(1-(AC$8&lt;=I89)*K89^AC$8)*(1-(AC$8&lt;=J89)*L89^AC$8))</f>
        <v>0</v>
      </c>
      <c r="AD89" s="35" t="n">
        <f aca="false">IF(AD$8&lt;N_st,1,0)*(1-(1-(AD$8&lt;=I89)*K89^AD$8)*(1-(AD$8&lt;=J89)*L89^AD$8))</f>
        <v>0</v>
      </c>
      <c r="AE89" s="35" t="n">
        <f aca="false">IF(AE$8&lt;N_st,1,0)*(1-(1-(AE$8&lt;=I89)*K89^AE$8)*(1-(AE$8&lt;=J89)*L89^AE$8))</f>
        <v>0</v>
      </c>
      <c r="AF89" s="35" t="n">
        <f aca="false">IF(AF$8&lt;N_st,1,0)*(1-(1-(AF$8&lt;=I89)*K89^AF$8)*(1-(AF$8&lt;=J89)*L89^AF$8))</f>
        <v>0</v>
      </c>
      <c r="AG89" s="35" t="n">
        <f aca="false">IF(AG$8&lt;N_st,1,0)*(1-(1-(AG$8&lt;=I89)*K89^AG$8)*(1-(AG$8&lt;=J89)*L89^AG$8))</f>
        <v>0</v>
      </c>
      <c r="AH89" s="35" t="n">
        <f aca="false">IF(AH$8&lt;N_st,1,0)*(1-(1-(AH$8&lt;=I89)*K89^AH$8)*(1-(AH$8&lt;=J89)*L89^AH$8))</f>
        <v>0</v>
      </c>
    </row>
    <row r="90" customFormat="false" ht="15" hidden="false" customHeight="false" outlineLevel="0" collapsed="false">
      <c r="A90" s="24" t="s">
        <v>207</v>
      </c>
      <c r="B90" s="14" t="s">
        <v>190</v>
      </c>
      <c r="C90" s="14" t="n">
        <v>1</v>
      </c>
      <c r="D90" s="14" t="n">
        <v>0</v>
      </c>
      <c r="E90" s="14" t="n">
        <v>1</v>
      </c>
      <c r="F90" s="32" t="n">
        <f aca="false">(1/2_시험자료!$D$25)*2_시험자료!$F$25</f>
        <v>0.25</v>
      </c>
      <c r="G90" s="33" t="n">
        <f aca="false">2_시험자료!G17</f>
        <v>236</v>
      </c>
      <c r="H90" s="34" t="n">
        <f aca="false">IF(E90=1,1000000000,texp1_s)</f>
        <v>1000000000</v>
      </c>
      <c r="I90" s="14" t="n">
        <f aca="false">FLOOR(MIN(t_fs_s,H90)/G90,1)</f>
        <v>3</v>
      </c>
      <c r="J90" s="14" t="n">
        <f aca="false">IF(C90=1,FLOOR(t_fs_s/tau_L_s,1),0)</f>
        <v>1</v>
      </c>
      <c r="K90" s="17" t="n">
        <f aca="false">IF(D90=1,1-p_cb,1)</f>
        <v>1</v>
      </c>
      <c r="L90" s="17" t="n">
        <f aca="false">IF(C90=1,p_L,0)</f>
        <v>0.15</v>
      </c>
      <c r="M90" s="35" t="n">
        <f aca="false">SUMPRODUCT(w_ie1,1-(1-(j_row&lt;=I90)*K90^j_row)*(1-(j_row&lt;=J90)*L90^j_row))</f>
        <v>2.6</v>
      </c>
      <c r="N90" s="31" t="n">
        <f aca="false">occ_st*SUMPRODUCT(w_ie1,(j_row&lt;=I90)*K90^j_row*(j_row&lt;=J90)*L90^j_row*(((j_row*G90&lt;rset_s)+(j_row*tau_L_s&lt;rset_s))&gt;0)+(j_row&lt;=I90)*K90^j_row*(1-(j_row&lt;=J90)*L90^j_row)*(j_row*G90&lt;rset_s)+(1-(j_row&lt;=I90)*K90^j_row)*(j_row&lt;=J90)*L90^j_row*(j_row*tau_L_s&lt;rset_s))</f>
        <v>13</v>
      </c>
      <c r="O90" s="35" t="n">
        <f aca="false">IF(O$8&lt;N_st,(N_st-O$8)/N_st,0)*(1-(1-(O$8&lt;=I90)*K90^O$8)*(1-(O$8&lt;=J90)*L90^O$8))</f>
        <v>0.933333333333333</v>
      </c>
      <c r="P90" s="35" t="n">
        <f aca="false">IF(P$8&lt;N_st,(N_st-P$8)/N_st,0)*(1-(1-(P$8&lt;=I90)*K90^P$8)*(1-(P$8&lt;=J90)*L90^P$8))</f>
        <v>0.866666666666667</v>
      </c>
      <c r="Q90" s="35" t="n">
        <f aca="false">IF(Q$8&lt;N_st,(N_st-Q$8)/N_st,0)*(1-(1-(Q$8&lt;=I90)*K90^Q$8)*(1-(Q$8&lt;=J90)*L90^Q$8))</f>
        <v>0.8</v>
      </c>
      <c r="R90" s="35" t="n">
        <f aca="false">IF(R$8&lt;N_st,(N_st-R$8)/N_st,0)*(1-(1-(R$8&lt;=I90)*K90^R$8)*(1-(R$8&lt;=J90)*L90^R$8))</f>
        <v>0</v>
      </c>
      <c r="S90" s="35" t="n">
        <f aca="false">IF(S$8&lt;N_st,(N_st-S$8)/N_st,0)*(1-(1-(S$8&lt;=I90)*K90^S$8)*(1-(S$8&lt;=J90)*L90^S$8))</f>
        <v>0</v>
      </c>
      <c r="T90" s="35" t="n">
        <f aca="false">IF(T$8&lt;N_st,(N_st-T$8)/N_st,0)*(1-(1-(T$8&lt;=I90)*K90^T$8)*(1-(T$8&lt;=J90)*L90^T$8))</f>
        <v>0</v>
      </c>
      <c r="U90" s="35" t="n">
        <f aca="false">IF(U$8&lt;N_st,(N_st-U$8)/N_st,0)*(1-(1-(U$8&lt;=I90)*K90^U$8)*(1-(U$8&lt;=J90)*L90^U$8))</f>
        <v>0</v>
      </c>
      <c r="V90" s="35" t="n">
        <f aca="false">IF(V$8&lt;N_st,(N_st-V$8)/N_st,0)*(1-(1-(V$8&lt;=I90)*K90^V$8)*(1-(V$8&lt;=J90)*L90^V$8))</f>
        <v>0</v>
      </c>
      <c r="W90" s="35" t="n">
        <f aca="false">IF(W$8&lt;N_st,(N_st-W$8)/N_st,0)*(1-(1-(W$8&lt;=I90)*K90^W$8)*(1-(W$8&lt;=J90)*L90^W$8))</f>
        <v>0</v>
      </c>
      <c r="X90" s="35" t="n">
        <f aca="false">IF(X$8&lt;N_st,(N_st-X$8)/N_st,0)*(1-(1-(X$8&lt;=I90)*K90^X$8)*(1-(X$8&lt;=J90)*L90^X$8))</f>
        <v>0</v>
      </c>
      <c r="Y90" s="35" t="n">
        <f aca="false">IF(Y$8&lt;N_st,(N_st-Y$8)/N_st,0)*(1-(1-(Y$8&lt;=I90)*K90^Y$8)*(1-(Y$8&lt;=J90)*L90^Y$8))</f>
        <v>0</v>
      </c>
      <c r="Z90" s="35" t="n">
        <f aca="false">IF(Z$8&lt;N_st,(N_st-Z$8)/N_st,0)*(1-(1-(Z$8&lt;=I90)*K90^Z$8)*(1-(Z$8&lt;=J90)*L90^Z$8))</f>
        <v>0</v>
      </c>
      <c r="AA90" s="35" t="n">
        <f aca="false">IF(AA$8&lt;N_st,(N_st-AA$8)/N_st,0)*(1-(1-(AA$8&lt;=I90)*K90^AA$8)*(1-(AA$8&lt;=J90)*L90^AA$8))</f>
        <v>0</v>
      </c>
      <c r="AB90" s="35" t="n">
        <f aca="false">IF(AB$8&lt;N_st,(N_st-AB$8)/N_st,0)*(1-(1-(AB$8&lt;=I90)*K90^AB$8)*(1-(AB$8&lt;=J90)*L90^AB$8))</f>
        <v>0</v>
      </c>
      <c r="AC90" s="35" t="n">
        <f aca="false">IF(AC$8&lt;N_st,(N_st-AC$8)/N_st,0)*(1-(1-(AC$8&lt;=I90)*K90^AC$8)*(1-(AC$8&lt;=J90)*L90^AC$8))</f>
        <v>0</v>
      </c>
      <c r="AD90" s="35" t="n">
        <f aca="false">IF(AD$8&lt;N_st,(N_st-AD$8)/N_st,0)*(1-(1-(AD$8&lt;=I90)*K90^AD$8)*(1-(AD$8&lt;=J90)*L90^AD$8))</f>
        <v>0</v>
      </c>
      <c r="AE90" s="35" t="n">
        <f aca="false">IF(AE$8&lt;N_st,(N_st-AE$8)/N_st,0)*(1-(1-(AE$8&lt;=I90)*K90^AE$8)*(1-(AE$8&lt;=J90)*L90^AE$8))</f>
        <v>0</v>
      </c>
      <c r="AF90" s="35" t="n">
        <f aca="false">IF(AF$8&lt;N_st,(N_st-AF$8)/N_st,0)*(1-(1-(AF$8&lt;=I90)*K90^AF$8)*(1-(AF$8&lt;=J90)*L90^AF$8))</f>
        <v>0</v>
      </c>
      <c r="AG90" s="35" t="n">
        <f aca="false">IF(AG$8&lt;N_st,(N_st-AG$8)/N_st,0)*(1-(1-(AG$8&lt;=I90)*K90^AG$8)*(1-(AG$8&lt;=J90)*L90^AG$8))</f>
        <v>0</v>
      </c>
      <c r="AH90" s="35" t="n">
        <f aca="false">IF(AH$8&lt;N_st,(N_st-AH$8)/N_st,0)*(1-(1-(AH$8&lt;=I90)*K90^AH$8)*(1-(AH$8&lt;=J90)*L90^AH$8))</f>
        <v>0</v>
      </c>
    </row>
    <row r="91" customFormat="false" ht="15" hidden="false" customHeight="false" outlineLevel="0" collapsed="false">
      <c r="A91" s="24" t="s">
        <v>207</v>
      </c>
      <c r="B91" s="14" t="s">
        <v>190</v>
      </c>
      <c r="C91" s="14" t="n">
        <v>1</v>
      </c>
      <c r="D91" s="14" t="n">
        <v>0</v>
      </c>
      <c r="E91" s="14" t="n">
        <v>0</v>
      </c>
      <c r="F91" s="32" t="n">
        <f aca="false">(1/2_시험자료!$D$25)*(1-2_시험자료!$F$25)</f>
        <v>0.25</v>
      </c>
      <c r="G91" s="33" t="n">
        <f aca="false">2_시험자료!G17</f>
        <v>236</v>
      </c>
      <c r="H91" s="34" t="n">
        <f aca="false">IF(E91=1,1000000000,texp1_s)</f>
        <v>1200</v>
      </c>
      <c r="I91" s="14" t="n">
        <f aca="false">FLOOR(MIN(t_fs_s,H91)/G91,1)</f>
        <v>3</v>
      </c>
      <c r="J91" s="14" t="n">
        <f aca="false">IF(C91=1,FLOOR(t_fs_s/tau_L_s,1),0)</f>
        <v>1</v>
      </c>
      <c r="K91" s="17" t="n">
        <f aca="false">IF(D91=1,1-p_cb,1)</f>
        <v>1</v>
      </c>
      <c r="L91" s="17" t="n">
        <f aca="false">IF(C91=1,p_L,0)</f>
        <v>0.15</v>
      </c>
      <c r="M91" s="35" t="n">
        <f aca="false">SUMPRODUCT(w_ie1,1-(1-(j_row&lt;=I91)*K91^j_row)*(1-(j_row&lt;=J91)*L91^j_row))</f>
        <v>2.6</v>
      </c>
      <c r="N91" s="31" t="n">
        <f aca="false">occ_st*SUMPRODUCT(w_ie1,(j_row&lt;=I91)*K91^j_row*(j_row&lt;=J91)*L91^j_row*(((j_row*G91&lt;rset_s)+(j_row*tau_L_s&lt;rset_s))&gt;0)+(j_row&lt;=I91)*K91^j_row*(1-(j_row&lt;=J91)*L91^j_row)*(j_row*G91&lt;rset_s)+(1-(j_row&lt;=I91)*K91^j_row)*(j_row&lt;=J91)*L91^j_row*(j_row*tau_L_s&lt;rset_s))</f>
        <v>13</v>
      </c>
      <c r="O91" s="35" t="n">
        <f aca="false">IF(O$8&lt;N_st,(N_st-O$8)/N_st,0)*(1-(1-(O$8&lt;=I91)*K91^O$8)*(1-(O$8&lt;=J91)*L91^O$8))</f>
        <v>0.933333333333333</v>
      </c>
      <c r="P91" s="35" t="n">
        <f aca="false">IF(P$8&lt;N_st,(N_st-P$8)/N_st,0)*(1-(1-(P$8&lt;=I91)*K91^P$8)*(1-(P$8&lt;=J91)*L91^P$8))</f>
        <v>0.866666666666667</v>
      </c>
      <c r="Q91" s="35" t="n">
        <f aca="false">IF(Q$8&lt;N_st,(N_st-Q$8)/N_st,0)*(1-(1-(Q$8&lt;=I91)*K91^Q$8)*(1-(Q$8&lt;=J91)*L91^Q$8))</f>
        <v>0.8</v>
      </c>
      <c r="R91" s="35" t="n">
        <f aca="false">IF(R$8&lt;N_st,(N_st-R$8)/N_st,0)*(1-(1-(R$8&lt;=I91)*K91^R$8)*(1-(R$8&lt;=J91)*L91^R$8))</f>
        <v>0</v>
      </c>
      <c r="S91" s="35" t="n">
        <f aca="false">IF(S$8&lt;N_st,(N_st-S$8)/N_st,0)*(1-(1-(S$8&lt;=I91)*K91^S$8)*(1-(S$8&lt;=J91)*L91^S$8))</f>
        <v>0</v>
      </c>
      <c r="T91" s="35" t="n">
        <f aca="false">IF(T$8&lt;N_st,(N_st-T$8)/N_st,0)*(1-(1-(T$8&lt;=I91)*K91^T$8)*(1-(T$8&lt;=J91)*L91^T$8))</f>
        <v>0</v>
      </c>
      <c r="U91" s="35" t="n">
        <f aca="false">IF(U$8&lt;N_st,(N_st-U$8)/N_st,0)*(1-(1-(U$8&lt;=I91)*K91^U$8)*(1-(U$8&lt;=J91)*L91^U$8))</f>
        <v>0</v>
      </c>
      <c r="V91" s="35" t="n">
        <f aca="false">IF(V$8&lt;N_st,(N_st-V$8)/N_st,0)*(1-(1-(V$8&lt;=I91)*K91^V$8)*(1-(V$8&lt;=J91)*L91^V$8))</f>
        <v>0</v>
      </c>
      <c r="W91" s="35" t="n">
        <f aca="false">IF(W$8&lt;N_st,(N_st-W$8)/N_st,0)*(1-(1-(W$8&lt;=I91)*K91^W$8)*(1-(W$8&lt;=J91)*L91^W$8))</f>
        <v>0</v>
      </c>
      <c r="X91" s="35" t="n">
        <f aca="false">IF(X$8&lt;N_st,(N_st-X$8)/N_st,0)*(1-(1-(X$8&lt;=I91)*K91^X$8)*(1-(X$8&lt;=J91)*L91^X$8))</f>
        <v>0</v>
      </c>
      <c r="Y91" s="35" t="n">
        <f aca="false">IF(Y$8&lt;N_st,(N_st-Y$8)/N_st,0)*(1-(1-(Y$8&lt;=I91)*K91^Y$8)*(1-(Y$8&lt;=J91)*L91^Y$8))</f>
        <v>0</v>
      </c>
      <c r="Z91" s="35" t="n">
        <f aca="false">IF(Z$8&lt;N_st,(N_st-Z$8)/N_st,0)*(1-(1-(Z$8&lt;=I91)*K91^Z$8)*(1-(Z$8&lt;=J91)*L91^Z$8))</f>
        <v>0</v>
      </c>
      <c r="AA91" s="35" t="n">
        <f aca="false">IF(AA$8&lt;N_st,(N_st-AA$8)/N_st,0)*(1-(1-(AA$8&lt;=I91)*K91^AA$8)*(1-(AA$8&lt;=J91)*L91^AA$8))</f>
        <v>0</v>
      </c>
      <c r="AB91" s="35" t="n">
        <f aca="false">IF(AB$8&lt;N_st,(N_st-AB$8)/N_st,0)*(1-(1-(AB$8&lt;=I91)*K91^AB$8)*(1-(AB$8&lt;=J91)*L91^AB$8))</f>
        <v>0</v>
      </c>
      <c r="AC91" s="35" t="n">
        <f aca="false">IF(AC$8&lt;N_st,(N_st-AC$8)/N_st,0)*(1-(1-(AC$8&lt;=I91)*K91^AC$8)*(1-(AC$8&lt;=J91)*L91^AC$8))</f>
        <v>0</v>
      </c>
      <c r="AD91" s="35" t="n">
        <f aca="false">IF(AD$8&lt;N_st,(N_st-AD$8)/N_st,0)*(1-(1-(AD$8&lt;=I91)*K91^AD$8)*(1-(AD$8&lt;=J91)*L91^AD$8))</f>
        <v>0</v>
      </c>
      <c r="AE91" s="35" t="n">
        <f aca="false">IF(AE$8&lt;N_st,(N_st-AE$8)/N_st,0)*(1-(1-(AE$8&lt;=I91)*K91^AE$8)*(1-(AE$8&lt;=J91)*L91^AE$8))</f>
        <v>0</v>
      </c>
      <c r="AF91" s="35" t="n">
        <f aca="false">IF(AF$8&lt;N_st,(N_st-AF$8)/N_st,0)*(1-(1-(AF$8&lt;=I91)*K91^AF$8)*(1-(AF$8&lt;=J91)*L91^AF$8))</f>
        <v>0</v>
      </c>
      <c r="AG91" s="35" t="n">
        <f aca="false">IF(AG$8&lt;N_st,(N_st-AG$8)/N_st,0)*(1-(1-(AG$8&lt;=I91)*K91^AG$8)*(1-(AG$8&lt;=J91)*L91^AG$8))</f>
        <v>0</v>
      </c>
      <c r="AH91" s="35" t="n">
        <f aca="false">IF(AH$8&lt;N_st,(N_st-AH$8)/N_st,0)*(1-(1-(AH$8&lt;=I91)*K91^AH$8)*(1-(AH$8&lt;=J91)*L91^AH$8))</f>
        <v>0</v>
      </c>
    </row>
    <row r="92" customFormat="false" ht="15" hidden="false" customHeight="false" outlineLevel="0" collapsed="false">
      <c r="A92" s="24" t="s">
        <v>207</v>
      </c>
      <c r="B92" s="14" t="s">
        <v>190</v>
      </c>
      <c r="C92" s="14" t="n">
        <v>1</v>
      </c>
      <c r="D92" s="14" t="n">
        <v>1</v>
      </c>
      <c r="E92" s="14" t="n">
        <v>1</v>
      </c>
      <c r="F92" s="32" t="n">
        <f aca="false">(1/2_시험자료!$D$25)*2_시험자료!$F$25</f>
        <v>0.25</v>
      </c>
      <c r="G92" s="33" t="n">
        <f aca="false">2_시험자료!G17</f>
        <v>236</v>
      </c>
      <c r="H92" s="34" t="n">
        <f aca="false">IF(E92=1,1000000000,texp1_s)</f>
        <v>1000000000</v>
      </c>
      <c r="I92" s="14" t="n">
        <f aca="false">FLOOR(MIN(t_fs_s,H92)/G92,1)</f>
        <v>3</v>
      </c>
      <c r="J92" s="14" t="n">
        <f aca="false">IF(C92=1,FLOOR(t_fs_s/tau_L_s,1),0)</f>
        <v>1</v>
      </c>
      <c r="K92" s="17" t="n">
        <f aca="false">IF(D92=1,1-p_cb,1)</f>
        <v>0.3</v>
      </c>
      <c r="L92" s="17" t="n">
        <f aca="false">IF(C92=1,p_L,0)</f>
        <v>0.15</v>
      </c>
      <c r="M92" s="35" t="n">
        <f aca="false">SUMPRODUCT(w_ie1,1-(1-(j_row&lt;=I92)*K92^j_row)*(1-(j_row&lt;=J92)*L92^j_row))</f>
        <v>0.4776</v>
      </c>
      <c r="N92" s="31" t="n">
        <f aca="false">occ_st*SUMPRODUCT(w_ie1,(j_row&lt;=I92)*K92^j_row*(j_row&lt;=J92)*L92^j_row*(((j_row*G92&lt;rset_s)+(j_row*tau_L_s&lt;rset_s))&gt;0)+(j_row&lt;=I92)*K92^j_row*(1-(j_row&lt;=J92)*L92^j_row)*(j_row*G92&lt;rset_s)+(1-(j_row&lt;=I92)*K92^j_row)*(j_row&lt;=J92)*L92^j_row*(j_row*tau_L_s&lt;rset_s))</f>
        <v>2.388</v>
      </c>
      <c r="O92" s="35" t="n">
        <f aca="false">IF(O$8&lt;N_st,(N_st-O$8)/N_st,0)*(1-(1-(O$8&lt;=I92)*K92^O$8)*(1-(O$8&lt;=J92)*L92^O$8))</f>
        <v>0.378</v>
      </c>
      <c r="P92" s="35" t="n">
        <f aca="false">IF(P$8&lt;N_st,(N_st-P$8)/N_st,0)*(1-(1-(P$8&lt;=I92)*K92^P$8)*(1-(P$8&lt;=J92)*L92^P$8))</f>
        <v>0.0780000000000001</v>
      </c>
      <c r="Q92" s="35" t="n">
        <f aca="false">IF(Q$8&lt;N_st,(N_st-Q$8)/N_st,0)*(1-(1-(Q$8&lt;=I92)*K92^Q$8)*(1-(Q$8&lt;=J92)*L92^Q$8))</f>
        <v>0.0216</v>
      </c>
      <c r="R92" s="35" t="n">
        <f aca="false">IF(R$8&lt;N_st,(N_st-R$8)/N_st,0)*(1-(1-(R$8&lt;=I92)*K92^R$8)*(1-(R$8&lt;=J92)*L92^R$8))</f>
        <v>0</v>
      </c>
      <c r="S92" s="35" t="n">
        <f aca="false">IF(S$8&lt;N_st,(N_st-S$8)/N_st,0)*(1-(1-(S$8&lt;=I92)*K92^S$8)*(1-(S$8&lt;=J92)*L92^S$8))</f>
        <v>0</v>
      </c>
      <c r="T92" s="35" t="n">
        <f aca="false">IF(T$8&lt;N_st,(N_st-T$8)/N_st,0)*(1-(1-(T$8&lt;=I92)*K92^T$8)*(1-(T$8&lt;=J92)*L92^T$8))</f>
        <v>0</v>
      </c>
      <c r="U92" s="35" t="n">
        <f aca="false">IF(U$8&lt;N_st,(N_st-U$8)/N_st,0)*(1-(1-(U$8&lt;=I92)*K92^U$8)*(1-(U$8&lt;=J92)*L92^U$8))</f>
        <v>0</v>
      </c>
      <c r="V92" s="35" t="n">
        <f aca="false">IF(V$8&lt;N_st,(N_st-V$8)/N_st,0)*(1-(1-(V$8&lt;=I92)*K92^V$8)*(1-(V$8&lt;=J92)*L92^V$8))</f>
        <v>0</v>
      </c>
      <c r="W92" s="35" t="n">
        <f aca="false">IF(W$8&lt;N_st,(N_st-W$8)/N_st,0)*(1-(1-(W$8&lt;=I92)*K92^W$8)*(1-(W$8&lt;=J92)*L92^W$8))</f>
        <v>0</v>
      </c>
      <c r="X92" s="35" t="n">
        <f aca="false">IF(X$8&lt;N_st,(N_st-X$8)/N_st,0)*(1-(1-(X$8&lt;=I92)*K92^X$8)*(1-(X$8&lt;=J92)*L92^X$8))</f>
        <v>0</v>
      </c>
      <c r="Y92" s="35" t="n">
        <f aca="false">IF(Y$8&lt;N_st,(N_st-Y$8)/N_st,0)*(1-(1-(Y$8&lt;=I92)*K92^Y$8)*(1-(Y$8&lt;=J92)*L92^Y$8))</f>
        <v>0</v>
      </c>
      <c r="Z92" s="35" t="n">
        <f aca="false">IF(Z$8&lt;N_st,(N_st-Z$8)/N_st,0)*(1-(1-(Z$8&lt;=I92)*K92^Z$8)*(1-(Z$8&lt;=J92)*L92^Z$8))</f>
        <v>0</v>
      </c>
      <c r="AA92" s="35" t="n">
        <f aca="false">IF(AA$8&lt;N_st,(N_st-AA$8)/N_st,0)*(1-(1-(AA$8&lt;=I92)*K92^AA$8)*(1-(AA$8&lt;=J92)*L92^AA$8))</f>
        <v>0</v>
      </c>
      <c r="AB92" s="35" t="n">
        <f aca="false">IF(AB$8&lt;N_st,(N_st-AB$8)/N_st,0)*(1-(1-(AB$8&lt;=I92)*K92^AB$8)*(1-(AB$8&lt;=J92)*L92^AB$8))</f>
        <v>0</v>
      </c>
      <c r="AC92" s="35" t="n">
        <f aca="false">IF(AC$8&lt;N_st,(N_st-AC$8)/N_st,0)*(1-(1-(AC$8&lt;=I92)*K92^AC$8)*(1-(AC$8&lt;=J92)*L92^AC$8))</f>
        <v>0</v>
      </c>
      <c r="AD92" s="35" t="n">
        <f aca="false">IF(AD$8&lt;N_st,(N_st-AD$8)/N_st,0)*(1-(1-(AD$8&lt;=I92)*K92^AD$8)*(1-(AD$8&lt;=J92)*L92^AD$8))</f>
        <v>0</v>
      </c>
      <c r="AE92" s="35" t="n">
        <f aca="false">IF(AE$8&lt;N_st,(N_st-AE$8)/N_st,0)*(1-(1-(AE$8&lt;=I92)*K92^AE$8)*(1-(AE$8&lt;=J92)*L92^AE$8))</f>
        <v>0</v>
      </c>
      <c r="AF92" s="35" t="n">
        <f aca="false">IF(AF$8&lt;N_st,(N_st-AF$8)/N_st,0)*(1-(1-(AF$8&lt;=I92)*K92^AF$8)*(1-(AF$8&lt;=J92)*L92^AF$8))</f>
        <v>0</v>
      </c>
      <c r="AG92" s="35" t="n">
        <f aca="false">IF(AG$8&lt;N_st,(N_st-AG$8)/N_st,0)*(1-(1-(AG$8&lt;=I92)*K92^AG$8)*(1-(AG$8&lt;=J92)*L92^AG$8))</f>
        <v>0</v>
      </c>
      <c r="AH92" s="35" t="n">
        <f aca="false">IF(AH$8&lt;N_st,(N_st-AH$8)/N_st,0)*(1-(1-(AH$8&lt;=I92)*K92^AH$8)*(1-(AH$8&lt;=J92)*L92^AH$8))</f>
        <v>0</v>
      </c>
    </row>
    <row r="93" customFormat="false" ht="15" hidden="false" customHeight="false" outlineLevel="0" collapsed="false">
      <c r="A93" s="24" t="s">
        <v>207</v>
      </c>
      <c r="B93" s="14" t="s">
        <v>190</v>
      </c>
      <c r="C93" s="14" t="n">
        <v>1</v>
      </c>
      <c r="D93" s="14" t="n">
        <v>1</v>
      </c>
      <c r="E93" s="14" t="n">
        <v>0</v>
      </c>
      <c r="F93" s="32" t="n">
        <f aca="false">(1/2_시험자료!$D$25)*(1-2_시험자료!$F$25)</f>
        <v>0.25</v>
      </c>
      <c r="G93" s="33" t="n">
        <f aca="false">2_시험자료!G17</f>
        <v>236</v>
      </c>
      <c r="H93" s="34" t="n">
        <f aca="false">IF(E93=1,1000000000,texp1_s)</f>
        <v>1200</v>
      </c>
      <c r="I93" s="14" t="n">
        <f aca="false">FLOOR(MIN(t_fs_s,H93)/G93,1)</f>
        <v>3</v>
      </c>
      <c r="J93" s="14" t="n">
        <f aca="false">IF(C93=1,FLOOR(t_fs_s/tau_L_s,1),0)</f>
        <v>1</v>
      </c>
      <c r="K93" s="17" t="n">
        <f aca="false">IF(D93=1,1-p_cb,1)</f>
        <v>0.3</v>
      </c>
      <c r="L93" s="17" t="n">
        <f aca="false">IF(C93=1,p_L,0)</f>
        <v>0.15</v>
      </c>
      <c r="M93" s="35" t="n">
        <f aca="false">SUMPRODUCT(w_ie1,1-(1-(j_row&lt;=I93)*K93^j_row)*(1-(j_row&lt;=J93)*L93^j_row))</f>
        <v>0.4776</v>
      </c>
      <c r="N93" s="31" t="n">
        <f aca="false">occ_st*SUMPRODUCT(w_ie1,(j_row&lt;=I93)*K93^j_row*(j_row&lt;=J93)*L93^j_row*(((j_row*G93&lt;rset_s)+(j_row*tau_L_s&lt;rset_s))&gt;0)+(j_row&lt;=I93)*K93^j_row*(1-(j_row&lt;=J93)*L93^j_row)*(j_row*G93&lt;rset_s)+(1-(j_row&lt;=I93)*K93^j_row)*(j_row&lt;=J93)*L93^j_row*(j_row*tau_L_s&lt;rset_s))</f>
        <v>2.388</v>
      </c>
      <c r="O93" s="35" t="n">
        <f aca="false">IF(O$8&lt;N_st,(N_st-O$8)/N_st,0)*(1-(1-(O$8&lt;=I93)*K93^O$8)*(1-(O$8&lt;=J93)*L93^O$8))</f>
        <v>0.378</v>
      </c>
      <c r="P93" s="35" t="n">
        <f aca="false">IF(P$8&lt;N_st,(N_st-P$8)/N_st,0)*(1-(1-(P$8&lt;=I93)*K93^P$8)*(1-(P$8&lt;=J93)*L93^P$8))</f>
        <v>0.0780000000000001</v>
      </c>
      <c r="Q93" s="35" t="n">
        <f aca="false">IF(Q$8&lt;N_st,(N_st-Q$8)/N_st,0)*(1-(1-(Q$8&lt;=I93)*K93^Q$8)*(1-(Q$8&lt;=J93)*L93^Q$8))</f>
        <v>0.0216</v>
      </c>
      <c r="R93" s="35" t="n">
        <f aca="false">IF(R$8&lt;N_st,(N_st-R$8)/N_st,0)*(1-(1-(R$8&lt;=I93)*K93^R$8)*(1-(R$8&lt;=J93)*L93^R$8))</f>
        <v>0</v>
      </c>
      <c r="S93" s="35" t="n">
        <f aca="false">IF(S$8&lt;N_st,(N_st-S$8)/N_st,0)*(1-(1-(S$8&lt;=I93)*K93^S$8)*(1-(S$8&lt;=J93)*L93^S$8))</f>
        <v>0</v>
      </c>
      <c r="T93" s="35" t="n">
        <f aca="false">IF(T$8&lt;N_st,(N_st-T$8)/N_st,0)*(1-(1-(T$8&lt;=I93)*K93^T$8)*(1-(T$8&lt;=J93)*L93^T$8))</f>
        <v>0</v>
      </c>
      <c r="U93" s="35" t="n">
        <f aca="false">IF(U$8&lt;N_st,(N_st-U$8)/N_st,0)*(1-(1-(U$8&lt;=I93)*K93^U$8)*(1-(U$8&lt;=J93)*L93^U$8))</f>
        <v>0</v>
      </c>
      <c r="V93" s="35" t="n">
        <f aca="false">IF(V$8&lt;N_st,(N_st-V$8)/N_st,0)*(1-(1-(V$8&lt;=I93)*K93^V$8)*(1-(V$8&lt;=J93)*L93^V$8))</f>
        <v>0</v>
      </c>
      <c r="W93" s="35" t="n">
        <f aca="false">IF(W$8&lt;N_st,(N_st-W$8)/N_st,0)*(1-(1-(W$8&lt;=I93)*K93^W$8)*(1-(W$8&lt;=J93)*L93^W$8))</f>
        <v>0</v>
      </c>
      <c r="X93" s="35" t="n">
        <f aca="false">IF(X$8&lt;N_st,(N_st-X$8)/N_st,0)*(1-(1-(X$8&lt;=I93)*K93^X$8)*(1-(X$8&lt;=J93)*L93^X$8))</f>
        <v>0</v>
      </c>
      <c r="Y93" s="35" t="n">
        <f aca="false">IF(Y$8&lt;N_st,(N_st-Y$8)/N_st,0)*(1-(1-(Y$8&lt;=I93)*K93^Y$8)*(1-(Y$8&lt;=J93)*L93^Y$8))</f>
        <v>0</v>
      </c>
      <c r="Z93" s="35" t="n">
        <f aca="false">IF(Z$8&lt;N_st,(N_st-Z$8)/N_st,0)*(1-(1-(Z$8&lt;=I93)*K93^Z$8)*(1-(Z$8&lt;=J93)*L93^Z$8))</f>
        <v>0</v>
      </c>
      <c r="AA93" s="35" t="n">
        <f aca="false">IF(AA$8&lt;N_st,(N_st-AA$8)/N_st,0)*(1-(1-(AA$8&lt;=I93)*K93^AA$8)*(1-(AA$8&lt;=J93)*L93^AA$8))</f>
        <v>0</v>
      </c>
      <c r="AB93" s="35" t="n">
        <f aca="false">IF(AB$8&lt;N_st,(N_st-AB$8)/N_st,0)*(1-(1-(AB$8&lt;=I93)*K93^AB$8)*(1-(AB$8&lt;=J93)*L93^AB$8))</f>
        <v>0</v>
      </c>
      <c r="AC93" s="35" t="n">
        <f aca="false">IF(AC$8&lt;N_st,(N_st-AC$8)/N_st,0)*(1-(1-(AC$8&lt;=I93)*K93^AC$8)*(1-(AC$8&lt;=J93)*L93^AC$8))</f>
        <v>0</v>
      </c>
      <c r="AD93" s="35" t="n">
        <f aca="false">IF(AD$8&lt;N_st,(N_st-AD$8)/N_st,0)*(1-(1-(AD$8&lt;=I93)*K93^AD$8)*(1-(AD$8&lt;=J93)*L93^AD$8))</f>
        <v>0</v>
      </c>
      <c r="AE93" s="35" t="n">
        <f aca="false">IF(AE$8&lt;N_st,(N_st-AE$8)/N_st,0)*(1-(1-(AE$8&lt;=I93)*K93^AE$8)*(1-(AE$8&lt;=J93)*L93^AE$8))</f>
        <v>0</v>
      </c>
      <c r="AF93" s="35" t="n">
        <f aca="false">IF(AF$8&lt;N_st,(N_st-AF$8)/N_st,0)*(1-(1-(AF$8&lt;=I93)*K93^AF$8)*(1-(AF$8&lt;=J93)*L93^AF$8))</f>
        <v>0</v>
      </c>
      <c r="AG93" s="35" t="n">
        <f aca="false">IF(AG$8&lt;N_st,(N_st-AG$8)/N_st,0)*(1-(1-(AG$8&lt;=I93)*K93^AG$8)*(1-(AG$8&lt;=J93)*L93^AG$8))</f>
        <v>0</v>
      </c>
      <c r="AH93" s="35" t="n">
        <f aca="false">IF(AH$8&lt;N_st,(N_st-AH$8)/N_st,0)*(1-(1-(AH$8&lt;=I93)*K93^AH$8)*(1-(AH$8&lt;=J93)*L93^AH$8))</f>
        <v>0</v>
      </c>
    </row>
    <row r="94" customFormat="false" ht="15" hidden="false" customHeight="false" outlineLevel="0" collapsed="false">
      <c r="A94" s="24" t="s">
        <v>207</v>
      </c>
      <c r="B94" s="14" t="s">
        <v>190</v>
      </c>
      <c r="C94" s="14" t="n">
        <v>2</v>
      </c>
      <c r="D94" s="14" t="n">
        <v>0</v>
      </c>
      <c r="E94" s="14" t="n">
        <v>1</v>
      </c>
      <c r="F94" s="32" t="n">
        <f aca="false">(1/2_시험자료!$D$25)*2_시험자료!$F$25</f>
        <v>0.25</v>
      </c>
      <c r="G94" s="33" t="n">
        <f aca="false">2_시험자료!G17</f>
        <v>236</v>
      </c>
      <c r="H94" s="34" t="n">
        <f aca="false">IF(E94=1,1000000000,texp2_s)</f>
        <v>1000000000</v>
      </c>
      <c r="I94" s="14" t="n">
        <f aca="false">FLOOR(MIN(t_fs_s,H94)/G94,1)</f>
        <v>3</v>
      </c>
      <c r="J94" s="14" t="n">
        <f aca="false">IF(C94=1,FLOOR(t_fs_s/tau_L_s,1),0)</f>
        <v>0</v>
      </c>
      <c r="K94" s="17" t="n">
        <f aca="false">IF(D94=1,1-p_cb,1)</f>
        <v>1</v>
      </c>
      <c r="L94" s="17" t="n">
        <f aca="false">IF(C94=1,p_L,0)</f>
        <v>0</v>
      </c>
      <c r="M94" s="35" t="n">
        <f aca="false">SUMPRODUCT(w_ie2,1-(1-(j_row&lt;=I94)*K94^j_row)*(1-(j_row&lt;=J94)*L94^j_row))</f>
        <v>3</v>
      </c>
      <c r="N94" s="31" t="n">
        <f aca="false">occ_st*SUMPRODUCT(w_ie2,(j_row&lt;=I94)*K94^j_row*(j_row&lt;=J94)*L94^j_row*(((j_row*G94&lt;rset_s)+(j_row*tau_L_s&lt;rset_s))&gt;0)+(j_row&lt;=I94)*K94^j_row*(1-(j_row&lt;=J94)*L94^j_row)*(j_row*G94&lt;rset_s)+(1-(j_row&lt;=I94)*K94^j_row)*(j_row&lt;=J94)*L94^j_row*(j_row*tau_L_s&lt;rset_s))</f>
        <v>15</v>
      </c>
      <c r="O94" s="35" t="n">
        <f aca="false">IF(O$8&lt;N_st,1,0)*(1-(1-(O$8&lt;=I94)*K94^O$8)*(1-(O$8&lt;=J94)*L94^O$8))</f>
        <v>1</v>
      </c>
      <c r="P94" s="35" t="n">
        <f aca="false">IF(P$8&lt;N_st,1,0)*(1-(1-(P$8&lt;=I94)*K94^P$8)*(1-(P$8&lt;=J94)*L94^P$8))</f>
        <v>1</v>
      </c>
      <c r="Q94" s="35" t="n">
        <f aca="false">IF(Q$8&lt;N_st,1,0)*(1-(1-(Q$8&lt;=I94)*K94^Q$8)*(1-(Q$8&lt;=J94)*L94^Q$8))</f>
        <v>1</v>
      </c>
      <c r="R94" s="35" t="n">
        <f aca="false">IF(R$8&lt;N_st,1,0)*(1-(1-(R$8&lt;=I94)*K94^R$8)*(1-(R$8&lt;=J94)*L94^R$8))</f>
        <v>0</v>
      </c>
      <c r="S94" s="35" t="n">
        <f aca="false">IF(S$8&lt;N_st,1,0)*(1-(1-(S$8&lt;=I94)*K94^S$8)*(1-(S$8&lt;=J94)*L94^S$8))</f>
        <v>0</v>
      </c>
      <c r="T94" s="35" t="n">
        <f aca="false">IF(T$8&lt;N_st,1,0)*(1-(1-(T$8&lt;=I94)*K94^T$8)*(1-(T$8&lt;=J94)*L94^T$8))</f>
        <v>0</v>
      </c>
      <c r="U94" s="35" t="n">
        <f aca="false">IF(U$8&lt;N_st,1,0)*(1-(1-(U$8&lt;=I94)*K94^U$8)*(1-(U$8&lt;=J94)*L94^U$8))</f>
        <v>0</v>
      </c>
      <c r="V94" s="35" t="n">
        <f aca="false">IF(V$8&lt;N_st,1,0)*(1-(1-(V$8&lt;=I94)*K94^V$8)*(1-(V$8&lt;=J94)*L94^V$8))</f>
        <v>0</v>
      </c>
      <c r="W94" s="35" t="n">
        <f aca="false">IF(W$8&lt;N_st,1,0)*(1-(1-(W$8&lt;=I94)*K94^W$8)*(1-(W$8&lt;=J94)*L94^W$8))</f>
        <v>0</v>
      </c>
      <c r="X94" s="35" t="n">
        <f aca="false">IF(X$8&lt;N_st,1,0)*(1-(1-(X$8&lt;=I94)*K94^X$8)*(1-(X$8&lt;=J94)*L94^X$8))</f>
        <v>0</v>
      </c>
      <c r="Y94" s="35" t="n">
        <f aca="false">IF(Y$8&lt;N_st,1,0)*(1-(1-(Y$8&lt;=I94)*K94^Y$8)*(1-(Y$8&lt;=J94)*L94^Y$8))</f>
        <v>0</v>
      </c>
      <c r="Z94" s="35" t="n">
        <f aca="false">IF(Z$8&lt;N_st,1,0)*(1-(1-(Z$8&lt;=I94)*K94^Z$8)*(1-(Z$8&lt;=J94)*L94^Z$8))</f>
        <v>0</v>
      </c>
      <c r="AA94" s="35" t="n">
        <f aca="false">IF(AA$8&lt;N_st,1,0)*(1-(1-(AA$8&lt;=I94)*K94^AA$8)*(1-(AA$8&lt;=J94)*L94^AA$8))</f>
        <v>0</v>
      </c>
      <c r="AB94" s="35" t="n">
        <f aca="false">IF(AB$8&lt;N_st,1,0)*(1-(1-(AB$8&lt;=I94)*K94^AB$8)*(1-(AB$8&lt;=J94)*L94^AB$8))</f>
        <v>0</v>
      </c>
      <c r="AC94" s="35" t="n">
        <f aca="false">IF(AC$8&lt;N_st,1,0)*(1-(1-(AC$8&lt;=I94)*K94^AC$8)*(1-(AC$8&lt;=J94)*L94^AC$8))</f>
        <v>0</v>
      </c>
      <c r="AD94" s="35" t="n">
        <f aca="false">IF(AD$8&lt;N_st,1,0)*(1-(1-(AD$8&lt;=I94)*K94^AD$8)*(1-(AD$8&lt;=J94)*L94^AD$8))</f>
        <v>0</v>
      </c>
      <c r="AE94" s="35" t="n">
        <f aca="false">IF(AE$8&lt;N_st,1,0)*(1-(1-(AE$8&lt;=I94)*K94^AE$8)*(1-(AE$8&lt;=J94)*L94^AE$8))</f>
        <v>0</v>
      </c>
      <c r="AF94" s="35" t="n">
        <f aca="false">IF(AF$8&lt;N_st,1,0)*(1-(1-(AF$8&lt;=I94)*K94^AF$8)*(1-(AF$8&lt;=J94)*L94^AF$8))</f>
        <v>0</v>
      </c>
      <c r="AG94" s="35" t="n">
        <f aca="false">IF(AG$8&lt;N_st,1,0)*(1-(1-(AG$8&lt;=I94)*K94^AG$8)*(1-(AG$8&lt;=J94)*L94^AG$8))</f>
        <v>0</v>
      </c>
      <c r="AH94" s="35" t="n">
        <f aca="false">IF(AH$8&lt;N_st,1,0)*(1-(1-(AH$8&lt;=I94)*K94^AH$8)*(1-(AH$8&lt;=J94)*L94^AH$8))</f>
        <v>0</v>
      </c>
    </row>
    <row r="95" customFormat="false" ht="15" hidden="false" customHeight="false" outlineLevel="0" collapsed="false">
      <c r="A95" s="24" t="s">
        <v>207</v>
      </c>
      <c r="B95" s="14" t="s">
        <v>190</v>
      </c>
      <c r="C95" s="14" t="n">
        <v>2</v>
      </c>
      <c r="D95" s="14" t="n">
        <v>0</v>
      </c>
      <c r="E95" s="14" t="n">
        <v>0</v>
      </c>
      <c r="F95" s="32" t="n">
        <f aca="false">(1/2_시험자료!$D$25)*(1-2_시험자료!$F$25)</f>
        <v>0.25</v>
      </c>
      <c r="G95" s="33" t="n">
        <f aca="false">2_시험자료!G17</f>
        <v>236</v>
      </c>
      <c r="H95" s="34" t="n">
        <f aca="false">IF(E95=1,1000000000,texp2_s)</f>
        <v>750</v>
      </c>
      <c r="I95" s="14" t="n">
        <f aca="false">FLOOR(MIN(t_fs_s,H95)/G95,1)</f>
        <v>3</v>
      </c>
      <c r="J95" s="14" t="n">
        <f aca="false">IF(C95=1,FLOOR(t_fs_s/tau_L_s,1),0)</f>
        <v>0</v>
      </c>
      <c r="K95" s="17" t="n">
        <f aca="false">IF(D95=1,1-p_cb,1)</f>
        <v>1</v>
      </c>
      <c r="L95" s="17" t="n">
        <f aca="false">IF(C95=1,p_L,0)</f>
        <v>0</v>
      </c>
      <c r="M95" s="35" t="n">
        <f aca="false">SUMPRODUCT(w_ie2,1-(1-(j_row&lt;=I95)*K95^j_row)*(1-(j_row&lt;=J95)*L95^j_row))</f>
        <v>3</v>
      </c>
      <c r="N95" s="31" t="n">
        <f aca="false">occ_st*SUMPRODUCT(w_ie2,(j_row&lt;=I95)*K95^j_row*(j_row&lt;=J95)*L95^j_row*(((j_row*G95&lt;rset_s)+(j_row*tau_L_s&lt;rset_s))&gt;0)+(j_row&lt;=I95)*K95^j_row*(1-(j_row&lt;=J95)*L95^j_row)*(j_row*G95&lt;rset_s)+(1-(j_row&lt;=I95)*K95^j_row)*(j_row&lt;=J95)*L95^j_row*(j_row*tau_L_s&lt;rset_s))</f>
        <v>15</v>
      </c>
      <c r="O95" s="35" t="n">
        <f aca="false">IF(O$8&lt;N_st,1,0)*(1-(1-(O$8&lt;=I95)*K95^O$8)*(1-(O$8&lt;=J95)*L95^O$8))</f>
        <v>1</v>
      </c>
      <c r="P95" s="35" t="n">
        <f aca="false">IF(P$8&lt;N_st,1,0)*(1-(1-(P$8&lt;=I95)*K95^P$8)*(1-(P$8&lt;=J95)*L95^P$8))</f>
        <v>1</v>
      </c>
      <c r="Q95" s="35" t="n">
        <f aca="false">IF(Q$8&lt;N_st,1,0)*(1-(1-(Q$8&lt;=I95)*K95^Q$8)*(1-(Q$8&lt;=J95)*L95^Q$8))</f>
        <v>1</v>
      </c>
      <c r="R95" s="35" t="n">
        <f aca="false">IF(R$8&lt;N_st,1,0)*(1-(1-(R$8&lt;=I95)*K95^R$8)*(1-(R$8&lt;=J95)*L95^R$8))</f>
        <v>0</v>
      </c>
      <c r="S95" s="35" t="n">
        <f aca="false">IF(S$8&lt;N_st,1,0)*(1-(1-(S$8&lt;=I95)*K95^S$8)*(1-(S$8&lt;=J95)*L95^S$8))</f>
        <v>0</v>
      </c>
      <c r="T95" s="35" t="n">
        <f aca="false">IF(T$8&lt;N_st,1,0)*(1-(1-(T$8&lt;=I95)*K95^T$8)*(1-(T$8&lt;=J95)*L95^T$8))</f>
        <v>0</v>
      </c>
      <c r="U95" s="35" t="n">
        <f aca="false">IF(U$8&lt;N_st,1,0)*(1-(1-(U$8&lt;=I95)*K95^U$8)*(1-(U$8&lt;=J95)*L95^U$8))</f>
        <v>0</v>
      </c>
      <c r="V95" s="35" t="n">
        <f aca="false">IF(V$8&lt;N_st,1,0)*(1-(1-(V$8&lt;=I95)*K95^V$8)*(1-(V$8&lt;=J95)*L95^V$8))</f>
        <v>0</v>
      </c>
      <c r="W95" s="35" t="n">
        <f aca="false">IF(W$8&lt;N_st,1,0)*(1-(1-(W$8&lt;=I95)*K95^W$8)*(1-(W$8&lt;=J95)*L95^W$8))</f>
        <v>0</v>
      </c>
      <c r="X95" s="35" t="n">
        <f aca="false">IF(X$8&lt;N_st,1,0)*(1-(1-(X$8&lt;=I95)*K95^X$8)*(1-(X$8&lt;=J95)*L95^X$8))</f>
        <v>0</v>
      </c>
      <c r="Y95" s="35" t="n">
        <f aca="false">IF(Y$8&lt;N_st,1,0)*(1-(1-(Y$8&lt;=I95)*K95^Y$8)*(1-(Y$8&lt;=J95)*L95^Y$8))</f>
        <v>0</v>
      </c>
      <c r="Z95" s="35" t="n">
        <f aca="false">IF(Z$8&lt;N_st,1,0)*(1-(1-(Z$8&lt;=I95)*K95^Z$8)*(1-(Z$8&lt;=J95)*L95^Z$8))</f>
        <v>0</v>
      </c>
      <c r="AA95" s="35" t="n">
        <f aca="false">IF(AA$8&lt;N_st,1,0)*(1-(1-(AA$8&lt;=I95)*K95^AA$8)*(1-(AA$8&lt;=J95)*L95^AA$8))</f>
        <v>0</v>
      </c>
      <c r="AB95" s="35" t="n">
        <f aca="false">IF(AB$8&lt;N_st,1,0)*(1-(1-(AB$8&lt;=I95)*K95^AB$8)*(1-(AB$8&lt;=J95)*L95^AB$8))</f>
        <v>0</v>
      </c>
      <c r="AC95" s="35" t="n">
        <f aca="false">IF(AC$8&lt;N_st,1,0)*(1-(1-(AC$8&lt;=I95)*K95^AC$8)*(1-(AC$8&lt;=J95)*L95^AC$8))</f>
        <v>0</v>
      </c>
      <c r="AD95" s="35" t="n">
        <f aca="false">IF(AD$8&lt;N_st,1,0)*(1-(1-(AD$8&lt;=I95)*K95^AD$8)*(1-(AD$8&lt;=J95)*L95^AD$8))</f>
        <v>0</v>
      </c>
      <c r="AE95" s="35" t="n">
        <f aca="false">IF(AE$8&lt;N_st,1,0)*(1-(1-(AE$8&lt;=I95)*K95^AE$8)*(1-(AE$8&lt;=J95)*L95^AE$8))</f>
        <v>0</v>
      </c>
      <c r="AF95" s="35" t="n">
        <f aca="false">IF(AF$8&lt;N_st,1,0)*(1-(1-(AF$8&lt;=I95)*K95^AF$8)*(1-(AF$8&lt;=J95)*L95^AF$8))</f>
        <v>0</v>
      </c>
      <c r="AG95" s="35" t="n">
        <f aca="false">IF(AG$8&lt;N_st,1,0)*(1-(1-(AG$8&lt;=I95)*K95^AG$8)*(1-(AG$8&lt;=J95)*L95^AG$8))</f>
        <v>0</v>
      </c>
      <c r="AH95" s="35" t="n">
        <f aca="false">IF(AH$8&lt;N_st,1,0)*(1-(1-(AH$8&lt;=I95)*K95^AH$8)*(1-(AH$8&lt;=J95)*L95^AH$8))</f>
        <v>0</v>
      </c>
    </row>
    <row r="96" customFormat="false" ht="15" hidden="false" customHeight="false" outlineLevel="0" collapsed="false">
      <c r="A96" s="24" t="s">
        <v>207</v>
      </c>
      <c r="B96" s="14" t="s">
        <v>190</v>
      </c>
      <c r="C96" s="14" t="n">
        <v>2</v>
      </c>
      <c r="D96" s="14" t="n">
        <v>1</v>
      </c>
      <c r="E96" s="14" t="n">
        <v>1</v>
      </c>
      <c r="F96" s="32" t="n">
        <f aca="false">(1/2_시험자료!$D$25)*2_시험자료!$F$25</f>
        <v>0.25</v>
      </c>
      <c r="G96" s="33" t="n">
        <f aca="false">2_시험자료!G17</f>
        <v>236</v>
      </c>
      <c r="H96" s="34" t="n">
        <f aca="false">IF(E96=1,1000000000,texp2_s)</f>
        <v>1000000000</v>
      </c>
      <c r="I96" s="14" t="n">
        <f aca="false">FLOOR(MIN(t_fs_s,H96)/G96,1)</f>
        <v>3</v>
      </c>
      <c r="J96" s="14" t="n">
        <f aca="false">IF(C96=1,FLOOR(t_fs_s/tau_L_s,1),0)</f>
        <v>0</v>
      </c>
      <c r="K96" s="17" t="n">
        <f aca="false">IF(D96=1,1-p_cb,1)</f>
        <v>0.3</v>
      </c>
      <c r="L96" s="17" t="n">
        <f aca="false">IF(C96=1,p_L,0)</f>
        <v>0</v>
      </c>
      <c r="M96" s="35" t="n">
        <f aca="false">SUMPRODUCT(w_ie2,1-(1-(j_row&lt;=I96)*K96^j_row)*(1-(j_row&lt;=J96)*L96^j_row))</f>
        <v>0.417</v>
      </c>
      <c r="N96" s="31" t="n">
        <f aca="false">occ_st*SUMPRODUCT(w_ie2,(j_row&lt;=I96)*K96^j_row*(j_row&lt;=J96)*L96^j_row*(((j_row*G96&lt;rset_s)+(j_row*tau_L_s&lt;rset_s))&gt;0)+(j_row&lt;=I96)*K96^j_row*(1-(j_row&lt;=J96)*L96^j_row)*(j_row*G96&lt;rset_s)+(1-(j_row&lt;=I96)*K96^j_row)*(j_row&lt;=J96)*L96^j_row*(j_row*tau_L_s&lt;rset_s))</f>
        <v>2.085</v>
      </c>
      <c r="O96" s="35" t="n">
        <f aca="false">IF(O$8&lt;N_st,1,0)*(1-(1-(O$8&lt;=I96)*K96^O$8)*(1-(O$8&lt;=J96)*L96^O$8))</f>
        <v>0.3</v>
      </c>
      <c r="P96" s="35" t="n">
        <f aca="false">IF(P$8&lt;N_st,1,0)*(1-(1-(P$8&lt;=I96)*K96^P$8)*(1-(P$8&lt;=J96)*L96^P$8))</f>
        <v>0.0900000000000001</v>
      </c>
      <c r="Q96" s="35" t="n">
        <f aca="false">IF(Q$8&lt;N_st,1,0)*(1-(1-(Q$8&lt;=I96)*K96^Q$8)*(1-(Q$8&lt;=J96)*L96^Q$8))</f>
        <v>0.027</v>
      </c>
      <c r="R96" s="35" t="n">
        <f aca="false">IF(R$8&lt;N_st,1,0)*(1-(1-(R$8&lt;=I96)*K96^R$8)*(1-(R$8&lt;=J96)*L96^R$8))</f>
        <v>0</v>
      </c>
      <c r="S96" s="35" t="n">
        <f aca="false">IF(S$8&lt;N_st,1,0)*(1-(1-(S$8&lt;=I96)*K96^S$8)*(1-(S$8&lt;=J96)*L96^S$8))</f>
        <v>0</v>
      </c>
      <c r="T96" s="35" t="n">
        <f aca="false">IF(T$8&lt;N_st,1,0)*(1-(1-(T$8&lt;=I96)*K96^T$8)*(1-(T$8&lt;=J96)*L96^T$8))</f>
        <v>0</v>
      </c>
      <c r="U96" s="35" t="n">
        <f aca="false">IF(U$8&lt;N_st,1,0)*(1-(1-(U$8&lt;=I96)*K96^U$8)*(1-(U$8&lt;=J96)*L96^U$8))</f>
        <v>0</v>
      </c>
      <c r="V96" s="35" t="n">
        <f aca="false">IF(V$8&lt;N_st,1,0)*(1-(1-(V$8&lt;=I96)*K96^V$8)*(1-(V$8&lt;=J96)*L96^V$8))</f>
        <v>0</v>
      </c>
      <c r="W96" s="35" t="n">
        <f aca="false">IF(W$8&lt;N_st,1,0)*(1-(1-(W$8&lt;=I96)*K96^W$8)*(1-(W$8&lt;=J96)*L96^W$8))</f>
        <v>0</v>
      </c>
      <c r="X96" s="35" t="n">
        <f aca="false">IF(X$8&lt;N_st,1,0)*(1-(1-(X$8&lt;=I96)*K96^X$8)*(1-(X$8&lt;=J96)*L96^X$8))</f>
        <v>0</v>
      </c>
      <c r="Y96" s="35" t="n">
        <f aca="false">IF(Y$8&lt;N_st,1,0)*(1-(1-(Y$8&lt;=I96)*K96^Y$8)*(1-(Y$8&lt;=J96)*L96^Y$8))</f>
        <v>0</v>
      </c>
      <c r="Z96" s="35" t="n">
        <f aca="false">IF(Z$8&lt;N_st,1,0)*(1-(1-(Z$8&lt;=I96)*K96^Z$8)*(1-(Z$8&lt;=J96)*L96^Z$8))</f>
        <v>0</v>
      </c>
      <c r="AA96" s="35" t="n">
        <f aca="false">IF(AA$8&lt;N_st,1,0)*(1-(1-(AA$8&lt;=I96)*K96^AA$8)*(1-(AA$8&lt;=J96)*L96^AA$8))</f>
        <v>0</v>
      </c>
      <c r="AB96" s="35" t="n">
        <f aca="false">IF(AB$8&lt;N_st,1,0)*(1-(1-(AB$8&lt;=I96)*K96^AB$8)*(1-(AB$8&lt;=J96)*L96^AB$8))</f>
        <v>0</v>
      </c>
      <c r="AC96" s="35" t="n">
        <f aca="false">IF(AC$8&lt;N_st,1,0)*(1-(1-(AC$8&lt;=I96)*K96^AC$8)*(1-(AC$8&lt;=J96)*L96^AC$8))</f>
        <v>0</v>
      </c>
      <c r="AD96" s="35" t="n">
        <f aca="false">IF(AD$8&lt;N_st,1,0)*(1-(1-(AD$8&lt;=I96)*K96^AD$8)*(1-(AD$8&lt;=J96)*L96^AD$8))</f>
        <v>0</v>
      </c>
      <c r="AE96" s="35" t="n">
        <f aca="false">IF(AE$8&lt;N_st,1,0)*(1-(1-(AE$8&lt;=I96)*K96^AE$8)*(1-(AE$8&lt;=J96)*L96^AE$8))</f>
        <v>0</v>
      </c>
      <c r="AF96" s="35" t="n">
        <f aca="false">IF(AF$8&lt;N_st,1,0)*(1-(1-(AF$8&lt;=I96)*K96^AF$8)*(1-(AF$8&lt;=J96)*L96^AF$8))</f>
        <v>0</v>
      </c>
      <c r="AG96" s="35" t="n">
        <f aca="false">IF(AG$8&lt;N_st,1,0)*(1-(1-(AG$8&lt;=I96)*K96^AG$8)*(1-(AG$8&lt;=J96)*L96^AG$8))</f>
        <v>0</v>
      </c>
      <c r="AH96" s="35" t="n">
        <f aca="false">IF(AH$8&lt;N_st,1,0)*(1-(1-(AH$8&lt;=I96)*K96^AH$8)*(1-(AH$8&lt;=J96)*L96^AH$8))</f>
        <v>0</v>
      </c>
    </row>
    <row r="97" customFormat="false" ht="15" hidden="false" customHeight="false" outlineLevel="0" collapsed="false">
      <c r="A97" s="24" t="s">
        <v>207</v>
      </c>
      <c r="B97" s="14" t="s">
        <v>190</v>
      </c>
      <c r="C97" s="14" t="n">
        <v>2</v>
      </c>
      <c r="D97" s="14" t="n">
        <v>1</v>
      </c>
      <c r="E97" s="14" t="n">
        <v>0</v>
      </c>
      <c r="F97" s="32" t="n">
        <f aca="false">(1/2_시험자료!$D$25)*(1-2_시험자료!$F$25)</f>
        <v>0.25</v>
      </c>
      <c r="G97" s="33" t="n">
        <f aca="false">2_시험자료!G17</f>
        <v>236</v>
      </c>
      <c r="H97" s="34" t="n">
        <f aca="false">IF(E97=1,1000000000,texp2_s)</f>
        <v>750</v>
      </c>
      <c r="I97" s="14" t="n">
        <f aca="false">FLOOR(MIN(t_fs_s,H97)/G97,1)</f>
        <v>3</v>
      </c>
      <c r="J97" s="14" t="n">
        <f aca="false">IF(C97=1,FLOOR(t_fs_s/tau_L_s,1),0)</f>
        <v>0</v>
      </c>
      <c r="K97" s="17" t="n">
        <f aca="false">IF(D97=1,1-p_cb,1)</f>
        <v>0.3</v>
      </c>
      <c r="L97" s="17" t="n">
        <f aca="false">IF(C97=1,p_L,0)</f>
        <v>0</v>
      </c>
      <c r="M97" s="35" t="n">
        <f aca="false">SUMPRODUCT(w_ie2,1-(1-(j_row&lt;=I97)*K97^j_row)*(1-(j_row&lt;=J97)*L97^j_row))</f>
        <v>0.417</v>
      </c>
      <c r="N97" s="31" t="n">
        <f aca="false">occ_st*SUMPRODUCT(w_ie2,(j_row&lt;=I97)*K97^j_row*(j_row&lt;=J97)*L97^j_row*(((j_row*G97&lt;rset_s)+(j_row*tau_L_s&lt;rset_s))&gt;0)+(j_row&lt;=I97)*K97^j_row*(1-(j_row&lt;=J97)*L97^j_row)*(j_row*G97&lt;rset_s)+(1-(j_row&lt;=I97)*K97^j_row)*(j_row&lt;=J97)*L97^j_row*(j_row*tau_L_s&lt;rset_s))</f>
        <v>2.085</v>
      </c>
      <c r="O97" s="35" t="n">
        <f aca="false">IF(O$8&lt;N_st,1,0)*(1-(1-(O$8&lt;=I97)*K97^O$8)*(1-(O$8&lt;=J97)*L97^O$8))</f>
        <v>0.3</v>
      </c>
      <c r="P97" s="35" t="n">
        <f aca="false">IF(P$8&lt;N_st,1,0)*(1-(1-(P$8&lt;=I97)*K97^P$8)*(1-(P$8&lt;=J97)*L97^P$8))</f>
        <v>0.0900000000000001</v>
      </c>
      <c r="Q97" s="35" t="n">
        <f aca="false">IF(Q$8&lt;N_st,1,0)*(1-(1-(Q$8&lt;=I97)*K97^Q$8)*(1-(Q$8&lt;=J97)*L97^Q$8))</f>
        <v>0.027</v>
      </c>
      <c r="R97" s="35" t="n">
        <f aca="false">IF(R$8&lt;N_st,1,0)*(1-(1-(R$8&lt;=I97)*K97^R$8)*(1-(R$8&lt;=J97)*L97^R$8))</f>
        <v>0</v>
      </c>
      <c r="S97" s="35" t="n">
        <f aca="false">IF(S$8&lt;N_st,1,0)*(1-(1-(S$8&lt;=I97)*K97^S$8)*(1-(S$8&lt;=J97)*L97^S$8))</f>
        <v>0</v>
      </c>
      <c r="T97" s="35" t="n">
        <f aca="false">IF(T$8&lt;N_st,1,0)*(1-(1-(T$8&lt;=I97)*K97^T$8)*(1-(T$8&lt;=J97)*L97^T$8))</f>
        <v>0</v>
      </c>
      <c r="U97" s="35" t="n">
        <f aca="false">IF(U$8&lt;N_st,1,0)*(1-(1-(U$8&lt;=I97)*K97^U$8)*(1-(U$8&lt;=J97)*L97^U$8))</f>
        <v>0</v>
      </c>
      <c r="V97" s="35" t="n">
        <f aca="false">IF(V$8&lt;N_st,1,0)*(1-(1-(V$8&lt;=I97)*K97^V$8)*(1-(V$8&lt;=J97)*L97^V$8))</f>
        <v>0</v>
      </c>
      <c r="W97" s="35" t="n">
        <f aca="false">IF(W$8&lt;N_st,1,0)*(1-(1-(W$8&lt;=I97)*K97^W$8)*(1-(W$8&lt;=J97)*L97^W$8))</f>
        <v>0</v>
      </c>
      <c r="X97" s="35" t="n">
        <f aca="false">IF(X$8&lt;N_st,1,0)*(1-(1-(X$8&lt;=I97)*K97^X$8)*(1-(X$8&lt;=J97)*L97^X$8))</f>
        <v>0</v>
      </c>
      <c r="Y97" s="35" t="n">
        <f aca="false">IF(Y$8&lt;N_st,1,0)*(1-(1-(Y$8&lt;=I97)*K97^Y$8)*(1-(Y$8&lt;=J97)*L97^Y$8))</f>
        <v>0</v>
      </c>
      <c r="Z97" s="35" t="n">
        <f aca="false">IF(Z$8&lt;N_st,1,0)*(1-(1-(Z$8&lt;=I97)*K97^Z$8)*(1-(Z$8&lt;=J97)*L97^Z$8))</f>
        <v>0</v>
      </c>
      <c r="AA97" s="35" t="n">
        <f aca="false">IF(AA$8&lt;N_st,1,0)*(1-(1-(AA$8&lt;=I97)*K97^AA$8)*(1-(AA$8&lt;=J97)*L97^AA$8))</f>
        <v>0</v>
      </c>
      <c r="AB97" s="35" t="n">
        <f aca="false">IF(AB$8&lt;N_st,1,0)*(1-(1-(AB$8&lt;=I97)*K97^AB$8)*(1-(AB$8&lt;=J97)*L97^AB$8))</f>
        <v>0</v>
      </c>
      <c r="AC97" s="35" t="n">
        <f aca="false">IF(AC$8&lt;N_st,1,0)*(1-(1-(AC$8&lt;=I97)*K97^AC$8)*(1-(AC$8&lt;=J97)*L97^AC$8))</f>
        <v>0</v>
      </c>
      <c r="AD97" s="35" t="n">
        <f aca="false">IF(AD$8&lt;N_st,1,0)*(1-(1-(AD$8&lt;=I97)*K97^AD$8)*(1-(AD$8&lt;=J97)*L97^AD$8))</f>
        <v>0</v>
      </c>
      <c r="AE97" s="35" t="n">
        <f aca="false">IF(AE$8&lt;N_st,1,0)*(1-(1-(AE$8&lt;=I97)*K97^AE$8)*(1-(AE$8&lt;=J97)*L97^AE$8))</f>
        <v>0</v>
      </c>
      <c r="AF97" s="35" t="n">
        <f aca="false">IF(AF$8&lt;N_st,1,0)*(1-(1-(AF$8&lt;=I97)*K97^AF$8)*(1-(AF$8&lt;=J97)*L97^AF$8))</f>
        <v>0</v>
      </c>
      <c r="AG97" s="35" t="n">
        <f aca="false">IF(AG$8&lt;N_st,1,0)*(1-(1-(AG$8&lt;=I97)*K97^AG$8)*(1-(AG$8&lt;=J97)*L97^AG$8))</f>
        <v>0</v>
      </c>
      <c r="AH97" s="35" t="n">
        <f aca="false">IF(AH$8&lt;N_st,1,0)*(1-(1-(AH$8&lt;=I97)*K97^AH$8)*(1-(AH$8&lt;=J97)*L97^AH$8))</f>
        <v>0</v>
      </c>
    </row>
    <row r="98" customFormat="false" ht="15" hidden="false" customHeight="false" outlineLevel="0" collapsed="false">
      <c r="A98" s="24" t="s">
        <v>282</v>
      </c>
      <c r="B98" s="14" t="s">
        <v>283</v>
      </c>
      <c r="C98" s="14" t="n">
        <v>1</v>
      </c>
      <c r="D98" s="14" t="n">
        <v>0</v>
      </c>
      <c r="E98" s="14" t="n">
        <v>0</v>
      </c>
      <c r="F98" s="14" t="n">
        <v>1</v>
      </c>
      <c r="G98" s="27" t="n">
        <f aca="false">1000000000</f>
        <v>1000000000</v>
      </c>
      <c r="H98" s="34" t="n">
        <f aca="false">IF(E98=1,1000000000,texp1_s)</f>
        <v>1200</v>
      </c>
      <c r="I98" s="14" t="n">
        <f aca="false">FLOOR(MIN(t_fs_s,H98)/G98,1)</f>
        <v>0</v>
      </c>
      <c r="J98" s="14" t="n">
        <f aca="false">IF(C98=1,FLOOR(t_fs_s/tau_L_s,1),0)</f>
        <v>1</v>
      </c>
      <c r="K98" s="17" t="n">
        <f aca="false">IF(D98=1,1-p_cb,1)</f>
        <v>1</v>
      </c>
      <c r="L98" s="17" t="n">
        <f aca="false">IF(C98=1,p_L,0)</f>
        <v>0.15</v>
      </c>
      <c r="M98" s="35" t="n">
        <f aca="false">SUMPRODUCT(w_ie1,1-(1-(j_row&lt;=I98)*K98^j_row)*(1-(j_row&lt;=J98)*L98^j_row))</f>
        <v>0.14</v>
      </c>
      <c r="N98" s="31" t="n">
        <f aca="false">occ_st*SUMPRODUCT(w_ie1,(j_row&lt;=I98)*K98^j_row*(j_row&lt;=J98)*L98^j_row*(((j_row*G98&lt;rset_s)+(j_row*tau_L_s&lt;rset_s))&gt;0)+(j_row&lt;=I98)*K98^j_row*(1-(j_row&lt;=J98)*L98^j_row)*(j_row*G98&lt;rset_s)+(1-(j_row&lt;=I98)*K98^j_row)*(j_row&lt;=J98)*L98^j_row*(j_row*tau_L_s&lt;rset_s))</f>
        <v>0.7</v>
      </c>
      <c r="O98" s="35" t="n">
        <f aca="false">IF(O$8&lt;N_st,(N_st-O$8)/N_st,0)*(1-(1-(O$8&lt;=I98)*K98^O$8)*(1-(O$8&lt;=J98)*L98^O$8))</f>
        <v>0.14</v>
      </c>
      <c r="P98" s="35" t="n">
        <f aca="false">IF(P$8&lt;N_st,(N_st-P$8)/N_st,0)*(1-(1-(P$8&lt;=I98)*K98^P$8)*(1-(P$8&lt;=J98)*L98^P$8))</f>
        <v>0</v>
      </c>
      <c r="Q98" s="35" t="n">
        <f aca="false">IF(Q$8&lt;N_st,(N_st-Q$8)/N_st,0)*(1-(1-(Q$8&lt;=I98)*K98^Q$8)*(1-(Q$8&lt;=J98)*L98^Q$8))</f>
        <v>0</v>
      </c>
      <c r="R98" s="35" t="n">
        <f aca="false">IF(R$8&lt;N_st,(N_st-R$8)/N_st,0)*(1-(1-(R$8&lt;=I98)*K98^R$8)*(1-(R$8&lt;=J98)*L98^R$8))</f>
        <v>0</v>
      </c>
      <c r="S98" s="35" t="n">
        <f aca="false">IF(S$8&lt;N_st,(N_st-S$8)/N_st,0)*(1-(1-(S$8&lt;=I98)*K98^S$8)*(1-(S$8&lt;=J98)*L98^S$8))</f>
        <v>0</v>
      </c>
      <c r="T98" s="35" t="n">
        <f aca="false">IF(T$8&lt;N_st,(N_st-T$8)/N_st,0)*(1-(1-(T$8&lt;=I98)*K98^T$8)*(1-(T$8&lt;=J98)*L98^T$8))</f>
        <v>0</v>
      </c>
      <c r="U98" s="35" t="n">
        <f aca="false">IF(U$8&lt;N_st,(N_st-U$8)/N_st,0)*(1-(1-(U$8&lt;=I98)*K98^U$8)*(1-(U$8&lt;=J98)*L98^U$8))</f>
        <v>0</v>
      </c>
      <c r="V98" s="35" t="n">
        <f aca="false">IF(V$8&lt;N_st,(N_st-V$8)/N_st,0)*(1-(1-(V$8&lt;=I98)*K98^V$8)*(1-(V$8&lt;=J98)*L98^V$8))</f>
        <v>0</v>
      </c>
      <c r="W98" s="35" t="n">
        <f aca="false">IF(W$8&lt;N_st,(N_st-W$8)/N_st,0)*(1-(1-(W$8&lt;=I98)*K98^W$8)*(1-(W$8&lt;=J98)*L98^W$8))</f>
        <v>0</v>
      </c>
      <c r="X98" s="35" t="n">
        <f aca="false">IF(X$8&lt;N_st,(N_st-X$8)/N_st,0)*(1-(1-(X$8&lt;=I98)*K98^X$8)*(1-(X$8&lt;=J98)*L98^X$8))</f>
        <v>0</v>
      </c>
      <c r="Y98" s="35" t="n">
        <f aca="false">IF(Y$8&lt;N_st,(N_st-Y$8)/N_st,0)*(1-(1-(Y$8&lt;=I98)*K98^Y$8)*(1-(Y$8&lt;=J98)*L98^Y$8))</f>
        <v>0</v>
      </c>
      <c r="Z98" s="35" t="n">
        <f aca="false">IF(Z$8&lt;N_st,(N_st-Z$8)/N_st,0)*(1-(1-(Z$8&lt;=I98)*K98^Z$8)*(1-(Z$8&lt;=J98)*L98^Z$8))</f>
        <v>0</v>
      </c>
      <c r="AA98" s="35" t="n">
        <f aca="false">IF(AA$8&lt;N_st,(N_st-AA$8)/N_st,0)*(1-(1-(AA$8&lt;=I98)*K98^AA$8)*(1-(AA$8&lt;=J98)*L98^AA$8))</f>
        <v>0</v>
      </c>
      <c r="AB98" s="35" t="n">
        <f aca="false">IF(AB$8&lt;N_st,(N_st-AB$8)/N_st,0)*(1-(1-(AB$8&lt;=I98)*K98^AB$8)*(1-(AB$8&lt;=J98)*L98^AB$8))</f>
        <v>0</v>
      </c>
      <c r="AC98" s="35" t="n">
        <f aca="false">IF(AC$8&lt;N_st,(N_st-AC$8)/N_st,0)*(1-(1-(AC$8&lt;=I98)*K98^AC$8)*(1-(AC$8&lt;=J98)*L98^AC$8))</f>
        <v>0</v>
      </c>
      <c r="AD98" s="35" t="n">
        <f aca="false">IF(AD$8&lt;N_st,(N_st-AD$8)/N_st,0)*(1-(1-(AD$8&lt;=I98)*K98^AD$8)*(1-(AD$8&lt;=J98)*L98^AD$8))</f>
        <v>0</v>
      </c>
      <c r="AE98" s="35" t="n">
        <f aca="false">IF(AE$8&lt;N_st,(N_st-AE$8)/N_st,0)*(1-(1-(AE$8&lt;=I98)*K98^AE$8)*(1-(AE$8&lt;=J98)*L98^AE$8))</f>
        <v>0</v>
      </c>
      <c r="AF98" s="35" t="n">
        <f aca="false">IF(AF$8&lt;N_st,(N_st-AF$8)/N_st,0)*(1-(1-(AF$8&lt;=I98)*K98^AF$8)*(1-(AF$8&lt;=J98)*L98^AF$8))</f>
        <v>0</v>
      </c>
      <c r="AG98" s="35" t="n">
        <f aca="false">IF(AG$8&lt;N_st,(N_st-AG$8)/N_st,0)*(1-(1-(AG$8&lt;=I98)*K98^AG$8)*(1-(AG$8&lt;=J98)*L98^AG$8))</f>
        <v>0</v>
      </c>
      <c r="AH98" s="35" t="n">
        <f aca="false">IF(AH$8&lt;N_st,(N_st-AH$8)/N_st,0)*(1-(1-(AH$8&lt;=I98)*K98^AH$8)*(1-(AH$8&lt;=J98)*L98^AH$8))</f>
        <v>0</v>
      </c>
    </row>
    <row r="100" customFormat="false" ht="15" hidden="false" customHeight="false" outlineLevel="0" collapsed="false">
      <c r="A100" s="28" t="s">
        <v>284</v>
      </c>
    </row>
    <row r="101" customFormat="false" ht="26.85" hidden="false" customHeight="false" outlineLevel="0" collapsed="false">
      <c r="A101" s="6" t="s">
        <v>157</v>
      </c>
      <c r="B101" s="6" t="s">
        <v>250</v>
      </c>
      <c r="C101" s="6" t="s">
        <v>285</v>
      </c>
      <c r="D101" s="7" t="s">
        <v>260</v>
      </c>
      <c r="E101" s="7" t="s">
        <v>261</v>
      </c>
      <c r="F101" s="7" t="s">
        <v>262</v>
      </c>
      <c r="G101" s="7" t="s">
        <v>263</v>
      </c>
      <c r="H101" s="7" t="s">
        <v>264</v>
      </c>
      <c r="I101" s="7" t="s">
        <v>265</v>
      </c>
      <c r="J101" s="7" t="s">
        <v>266</v>
      </c>
      <c r="K101" s="7" t="s">
        <v>267</v>
      </c>
      <c r="L101" s="7" t="s">
        <v>268</v>
      </c>
      <c r="M101" s="7" t="s">
        <v>269</v>
      </c>
      <c r="N101" s="7" t="s">
        <v>270</v>
      </c>
      <c r="O101" s="7" t="s">
        <v>271</v>
      </c>
      <c r="P101" s="7" t="s">
        <v>272</v>
      </c>
      <c r="Q101" s="7" t="s">
        <v>273</v>
      </c>
      <c r="R101" s="7" t="s">
        <v>274</v>
      </c>
      <c r="S101" s="7" t="s">
        <v>275</v>
      </c>
      <c r="T101" s="7" t="s">
        <v>276</v>
      </c>
      <c r="U101" s="7" t="s">
        <v>277</v>
      </c>
      <c r="V101" s="7" t="s">
        <v>278</v>
      </c>
      <c r="W101" s="7" t="s">
        <v>279</v>
      </c>
      <c r="X101" s="7" t="s">
        <v>280</v>
      </c>
      <c r="Y101" s="7" t="s">
        <v>281</v>
      </c>
    </row>
    <row r="102" customFormat="false" ht="15" hidden="false" customHeight="false" outlineLevel="0" collapsed="false">
      <c r="A102" s="24" t="s">
        <v>199</v>
      </c>
      <c r="B102" s="14" t="n">
        <v>1</v>
      </c>
      <c r="C102" s="14" t="n">
        <v>0</v>
      </c>
      <c r="D102" s="36" t="n">
        <f aca="false">SUMPRODUCT(($A$10:$A$98=A102)*($C$10:$C$98=B102)*($D$10:$D$98=C102)*$F$10:$F$98*M$10:M$98)</f>
        <v>0.668888888888889</v>
      </c>
      <c r="E102" s="29" t="n">
        <f aca="false">SUMPRODUCT(($A$10:$A$98=A102)*($C$10:$C$98=B102)*($D$10:$D$98=C102)*$F$10:$F$98*N$10:N$98)</f>
        <v>3.34444444444444</v>
      </c>
      <c r="F102" s="35" t="n">
        <f aca="false">SUMPRODUCT(($A$10:$A$98=A102)*($C$10:$C$98=B102)*($D$10:$D$98=C102)*$F$10:$F$98*O$10:O$98)</f>
        <v>0.668888888888889</v>
      </c>
      <c r="G102" s="35" t="n">
        <f aca="false">SUMPRODUCT(($A$10:$A$98=A102)*($C$10:$C$98=B102)*($D$10:$D$98=C102)*$F$10:$F$98*P$10:P$98)</f>
        <v>0</v>
      </c>
      <c r="H102" s="35" t="n">
        <f aca="false">SUMPRODUCT(($A$10:$A$98=A102)*($C$10:$C$98=B102)*($D$10:$D$98=C102)*$F$10:$F$98*Q$10:Q$98)</f>
        <v>0</v>
      </c>
      <c r="I102" s="35" t="n">
        <f aca="false">SUMPRODUCT(($A$10:$A$98=A102)*($C$10:$C$98=B102)*($D$10:$D$98=C102)*$F$10:$F$98*R$10:R$98)</f>
        <v>0</v>
      </c>
      <c r="J102" s="35" t="n">
        <f aca="false">SUMPRODUCT(($A$10:$A$98=A102)*($C$10:$C$98=B102)*($D$10:$D$98=C102)*$F$10:$F$98*S$10:S$98)</f>
        <v>0</v>
      </c>
      <c r="K102" s="35" t="n">
        <f aca="false">SUMPRODUCT(($A$10:$A$98=A102)*($C$10:$C$98=B102)*($D$10:$D$98=C102)*$F$10:$F$98*T$10:T$98)</f>
        <v>0</v>
      </c>
      <c r="L102" s="35" t="n">
        <f aca="false">SUMPRODUCT(($A$10:$A$98=A102)*($C$10:$C$98=B102)*($D$10:$D$98=C102)*$F$10:$F$98*U$10:U$98)</f>
        <v>0</v>
      </c>
      <c r="M102" s="35" t="n">
        <f aca="false">SUMPRODUCT(($A$10:$A$98=A102)*($C$10:$C$98=B102)*($D$10:$D$98=C102)*$F$10:$F$98*V$10:V$98)</f>
        <v>0</v>
      </c>
      <c r="N102" s="35" t="n">
        <f aca="false">SUMPRODUCT(($A$10:$A$98=A102)*($C$10:$C$98=B102)*($D$10:$D$98=C102)*$F$10:$F$98*W$10:W$98)</f>
        <v>0</v>
      </c>
      <c r="O102" s="35" t="n">
        <f aca="false">SUMPRODUCT(($A$10:$A$98=A102)*($C$10:$C$98=B102)*($D$10:$D$98=C102)*$F$10:$F$98*X$10:X$98)</f>
        <v>0</v>
      </c>
      <c r="P102" s="35" t="n">
        <f aca="false">SUMPRODUCT(($A$10:$A$98=A102)*($C$10:$C$98=B102)*($D$10:$D$98=C102)*$F$10:$F$98*Y$10:Y$98)</f>
        <v>0</v>
      </c>
      <c r="Q102" s="35" t="n">
        <f aca="false">SUMPRODUCT(($A$10:$A$98=A102)*($C$10:$C$98=B102)*($D$10:$D$98=C102)*$F$10:$F$98*Z$10:Z$98)</f>
        <v>0</v>
      </c>
      <c r="R102" s="35" t="n">
        <f aca="false">SUMPRODUCT(($A$10:$A$98=A102)*($C$10:$C$98=B102)*($D$10:$D$98=C102)*$F$10:$F$98*AA$10:AA$98)</f>
        <v>0</v>
      </c>
      <c r="S102" s="35" t="n">
        <f aca="false">SUMPRODUCT(($A$10:$A$98=A102)*($C$10:$C$98=B102)*($D$10:$D$98=C102)*$F$10:$F$98*AB$10:AB$98)</f>
        <v>0</v>
      </c>
      <c r="T102" s="35" t="n">
        <f aca="false">SUMPRODUCT(($A$10:$A$98=A102)*($C$10:$C$98=B102)*($D$10:$D$98=C102)*$F$10:$F$98*AC$10:AC$98)</f>
        <v>0</v>
      </c>
      <c r="U102" s="35" t="n">
        <f aca="false">SUMPRODUCT(($A$10:$A$98=A102)*($C$10:$C$98=B102)*($D$10:$D$98=C102)*$F$10:$F$98*AD$10:AD$98)</f>
        <v>0</v>
      </c>
      <c r="V102" s="35" t="n">
        <f aca="false">SUMPRODUCT(($A$10:$A$98=A102)*($C$10:$C$98=B102)*($D$10:$D$98=C102)*$F$10:$F$98*AE$10:AE$98)</f>
        <v>0</v>
      </c>
      <c r="W102" s="35" t="n">
        <f aca="false">SUMPRODUCT(($A$10:$A$98=A102)*($C$10:$C$98=B102)*($D$10:$D$98=C102)*$F$10:$F$98*AF$10:AF$98)</f>
        <v>0</v>
      </c>
      <c r="X102" s="35" t="n">
        <f aca="false">SUMPRODUCT(($A$10:$A$98=A102)*($C$10:$C$98=B102)*($D$10:$D$98=C102)*$F$10:$F$98*AG$10:AG$98)</f>
        <v>0</v>
      </c>
      <c r="Y102" s="35" t="n">
        <f aca="false">SUMPRODUCT(($A$10:$A$98=A102)*($C$10:$C$98=B102)*($D$10:$D$98=C102)*$F$10:$F$98*AH$10:AH$98)</f>
        <v>0</v>
      </c>
    </row>
    <row r="103" customFormat="false" ht="15" hidden="false" customHeight="false" outlineLevel="0" collapsed="false">
      <c r="A103" s="24" t="s">
        <v>199</v>
      </c>
      <c r="B103" s="14" t="n">
        <v>1</v>
      </c>
      <c r="C103" s="14" t="n">
        <v>1</v>
      </c>
      <c r="D103" s="36" t="n">
        <f aca="false">SUMPRODUCT(($A$10:$A$98=A103)*($C$10:$C$98=B103)*($D$10:$D$98=C103)*$F$10:$F$98*M$10:M$98)</f>
        <v>0.298666666666667</v>
      </c>
      <c r="E103" s="29" t="n">
        <f aca="false">SUMPRODUCT(($A$10:$A$98=A103)*($C$10:$C$98=B103)*($D$10:$D$98=C103)*$F$10:$F$98*N$10:N$98)</f>
        <v>1.49333333333333</v>
      </c>
      <c r="F103" s="35" t="n">
        <f aca="false">SUMPRODUCT(($A$10:$A$98=A103)*($C$10:$C$98=B103)*($D$10:$D$98=C103)*$F$10:$F$98*O$10:O$98)</f>
        <v>0.298666666666667</v>
      </c>
      <c r="G103" s="35" t="n">
        <f aca="false">SUMPRODUCT(($A$10:$A$98=A103)*($C$10:$C$98=B103)*($D$10:$D$98=C103)*$F$10:$F$98*P$10:P$98)</f>
        <v>0</v>
      </c>
      <c r="H103" s="35" t="n">
        <f aca="false">SUMPRODUCT(($A$10:$A$98=A103)*($C$10:$C$98=B103)*($D$10:$D$98=C103)*$F$10:$F$98*Q$10:Q$98)</f>
        <v>0</v>
      </c>
      <c r="I103" s="35" t="n">
        <f aca="false">SUMPRODUCT(($A$10:$A$98=A103)*($C$10:$C$98=B103)*($D$10:$D$98=C103)*$F$10:$F$98*R$10:R$98)</f>
        <v>0</v>
      </c>
      <c r="J103" s="35" t="n">
        <f aca="false">SUMPRODUCT(($A$10:$A$98=A103)*($C$10:$C$98=B103)*($D$10:$D$98=C103)*$F$10:$F$98*S$10:S$98)</f>
        <v>0</v>
      </c>
      <c r="K103" s="35" t="n">
        <f aca="false">SUMPRODUCT(($A$10:$A$98=A103)*($C$10:$C$98=B103)*($D$10:$D$98=C103)*$F$10:$F$98*T$10:T$98)</f>
        <v>0</v>
      </c>
      <c r="L103" s="35" t="n">
        <f aca="false">SUMPRODUCT(($A$10:$A$98=A103)*($C$10:$C$98=B103)*($D$10:$D$98=C103)*$F$10:$F$98*U$10:U$98)</f>
        <v>0</v>
      </c>
      <c r="M103" s="35" t="n">
        <f aca="false">SUMPRODUCT(($A$10:$A$98=A103)*($C$10:$C$98=B103)*($D$10:$D$98=C103)*$F$10:$F$98*V$10:V$98)</f>
        <v>0</v>
      </c>
      <c r="N103" s="35" t="n">
        <f aca="false">SUMPRODUCT(($A$10:$A$98=A103)*($C$10:$C$98=B103)*($D$10:$D$98=C103)*$F$10:$F$98*W$10:W$98)</f>
        <v>0</v>
      </c>
      <c r="O103" s="35" t="n">
        <f aca="false">SUMPRODUCT(($A$10:$A$98=A103)*($C$10:$C$98=B103)*($D$10:$D$98=C103)*$F$10:$F$98*X$10:X$98)</f>
        <v>0</v>
      </c>
      <c r="P103" s="35" t="n">
        <f aca="false">SUMPRODUCT(($A$10:$A$98=A103)*($C$10:$C$98=B103)*($D$10:$D$98=C103)*$F$10:$F$98*Y$10:Y$98)</f>
        <v>0</v>
      </c>
      <c r="Q103" s="35" t="n">
        <f aca="false">SUMPRODUCT(($A$10:$A$98=A103)*($C$10:$C$98=B103)*($D$10:$D$98=C103)*$F$10:$F$98*Z$10:Z$98)</f>
        <v>0</v>
      </c>
      <c r="R103" s="35" t="n">
        <f aca="false">SUMPRODUCT(($A$10:$A$98=A103)*($C$10:$C$98=B103)*($D$10:$D$98=C103)*$F$10:$F$98*AA$10:AA$98)</f>
        <v>0</v>
      </c>
      <c r="S103" s="35" t="n">
        <f aca="false">SUMPRODUCT(($A$10:$A$98=A103)*($C$10:$C$98=B103)*($D$10:$D$98=C103)*$F$10:$F$98*AB$10:AB$98)</f>
        <v>0</v>
      </c>
      <c r="T103" s="35" t="n">
        <f aca="false">SUMPRODUCT(($A$10:$A$98=A103)*($C$10:$C$98=B103)*($D$10:$D$98=C103)*$F$10:$F$98*AC$10:AC$98)</f>
        <v>0</v>
      </c>
      <c r="U103" s="35" t="n">
        <f aca="false">SUMPRODUCT(($A$10:$A$98=A103)*($C$10:$C$98=B103)*($D$10:$D$98=C103)*$F$10:$F$98*AD$10:AD$98)</f>
        <v>0</v>
      </c>
      <c r="V103" s="35" t="n">
        <f aca="false">SUMPRODUCT(($A$10:$A$98=A103)*($C$10:$C$98=B103)*($D$10:$D$98=C103)*$F$10:$F$98*AE$10:AE$98)</f>
        <v>0</v>
      </c>
      <c r="W103" s="35" t="n">
        <f aca="false">SUMPRODUCT(($A$10:$A$98=A103)*($C$10:$C$98=B103)*($D$10:$D$98=C103)*$F$10:$F$98*AF$10:AF$98)</f>
        <v>0</v>
      </c>
      <c r="X103" s="35" t="n">
        <f aca="false">SUMPRODUCT(($A$10:$A$98=A103)*($C$10:$C$98=B103)*($D$10:$D$98=C103)*$F$10:$F$98*AG$10:AG$98)</f>
        <v>0</v>
      </c>
      <c r="Y103" s="35" t="n">
        <f aca="false">SUMPRODUCT(($A$10:$A$98=A103)*($C$10:$C$98=B103)*($D$10:$D$98=C103)*$F$10:$F$98*AH$10:AH$98)</f>
        <v>0</v>
      </c>
    </row>
    <row r="104" customFormat="false" ht="15" hidden="false" customHeight="false" outlineLevel="0" collapsed="false">
      <c r="A104" s="24" t="s">
        <v>199</v>
      </c>
      <c r="B104" s="14" t="n">
        <v>2</v>
      </c>
      <c r="C104" s="14" t="n">
        <v>0</v>
      </c>
      <c r="D104" s="36" t="n">
        <f aca="false">SUMPRODUCT(($A$10:$A$98=A104)*($C$10:$C$98=B104)*($D$10:$D$98=C104)*$F$10:$F$98*M$10:M$98)</f>
        <v>0.666666666666667</v>
      </c>
      <c r="E104" s="29" t="n">
        <f aca="false">SUMPRODUCT(($A$10:$A$98=A104)*($C$10:$C$98=B104)*($D$10:$D$98=C104)*$F$10:$F$98*N$10:N$98)</f>
        <v>3.33333333333333</v>
      </c>
      <c r="F104" s="35" t="n">
        <f aca="false">SUMPRODUCT(($A$10:$A$98=A104)*($C$10:$C$98=B104)*($D$10:$D$98=C104)*$F$10:$F$98*O$10:O$98)</f>
        <v>0.666666666666667</v>
      </c>
      <c r="G104" s="35" t="n">
        <f aca="false">SUMPRODUCT(($A$10:$A$98=A104)*($C$10:$C$98=B104)*($D$10:$D$98=C104)*$F$10:$F$98*P$10:P$98)</f>
        <v>0</v>
      </c>
      <c r="H104" s="35" t="n">
        <f aca="false">SUMPRODUCT(($A$10:$A$98=A104)*($C$10:$C$98=B104)*($D$10:$D$98=C104)*$F$10:$F$98*Q$10:Q$98)</f>
        <v>0</v>
      </c>
      <c r="I104" s="35" t="n">
        <f aca="false">SUMPRODUCT(($A$10:$A$98=A104)*($C$10:$C$98=B104)*($D$10:$D$98=C104)*$F$10:$F$98*R$10:R$98)</f>
        <v>0</v>
      </c>
      <c r="J104" s="35" t="n">
        <f aca="false">SUMPRODUCT(($A$10:$A$98=A104)*($C$10:$C$98=B104)*($D$10:$D$98=C104)*$F$10:$F$98*S$10:S$98)</f>
        <v>0</v>
      </c>
      <c r="K104" s="35" t="n">
        <f aca="false">SUMPRODUCT(($A$10:$A$98=A104)*($C$10:$C$98=B104)*($D$10:$D$98=C104)*$F$10:$F$98*T$10:T$98)</f>
        <v>0</v>
      </c>
      <c r="L104" s="35" t="n">
        <f aca="false">SUMPRODUCT(($A$10:$A$98=A104)*($C$10:$C$98=B104)*($D$10:$D$98=C104)*$F$10:$F$98*U$10:U$98)</f>
        <v>0</v>
      </c>
      <c r="M104" s="35" t="n">
        <f aca="false">SUMPRODUCT(($A$10:$A$98=A104)*($C$10:$C$98=B104)*($D$10:$D$98=C104)*$F$10:$F$98*V$10:V$98)</f>
        <v>0</v>
      </c>
      <c r="N104" s="35" t="n">
        <f aca="false">SUMPRODUCT(($A$10:$A$98=A104)*($C$10:$C$98=B104)*($D$10:$D$98=C104)*$F$10:$F$98*W$10:W$98)</f>
        <v>0</v>
      </c>
      <c r="O104" s="35" t="n">
        <f aca="false">SUMPRODUCT(($A$10:$A$98=A104)*($C$10:$C$98=B104)*($D$10:$D$98=C104)*$F$10:$F$98*X$10:X$98)</f>
        <v>0</v>
      </c>
      <c r="P104" s="35" t="n">
        <f aca="false">SUMPRODUCT(($A$10:$A$98=A104)*($C$10:$C$98=B104)*($D$10:$D$98=C104)*$F$10:$F$98*Y$10:Y$98)</f>
        <v>0</v>
      </c>
      <c r="Q104" s="35" t="n">
        <f aca="false">SUMPRODUCT(($A$10:$A$98=A104)*($C$10:$C$98=B104)*($D$10:$D$98=C104)*$F$10:$F$98*Z$10:Z$98)</f>
        <v>0</v>
      </c>
      <c r="R104" s="35" t="n">
        <f aca="false">SUMPRODUCT(($A$10:$A$98=A104)*($C$10:$C$98=B104)*($D$10:$D$98=C104)*$F$10:$F$98*AA$10:AA$98)</f>
        <v>0</v>
      </c>
      <c r="S104" s="35" t="n">
        <f aca="false">SUMPRODUCT(($A$10:$A$98=A104)*($C$10:$C$98=B104)*($D$10:$D$98=C104)*$F$10:$F$98*AB$10:AB$98)</f>
        <v>0</v>
      </c>
      <c r="T104" s="35" t="n">
        <f aca="false">SUMPRODUCT(($A$10:$A$98=A104)*($C$10:$C$98=B104)*($D$10:$D$98=C104)*$F$10:$F$98*AC$10:AC$98)</f>
        <v>0</v>
      </c>
      <c r="U104" s="35" t="n">
        <f aca="false">SUMPRODUCT(($A$10:$A$98=A104)*($C$10:$C$98=B104)*($D$10:$D$98=C104)*$F$10:$F$98*AD$10:AD$98)</f>
        <v>0</v>
      </c>
      <c r="V104" s="35" t="n">
        <f aca="false">SUMPRODUCT(($A$10:$A$98=A104)*($C$10:$C$98=B104)*($D$10:$D$98=C104)*$F$10:$F$98*AE$10:AE$98)</f>
        <v>0</v>
      </c>
      <c r="W104" s="35" t="n">
        <f aca="false">SUMPRODUCT(($A$10:$A$98=A104)*($C$10:$C$98=B104)*($D$10:$D$98=C104)*$F$10:$F$98*AF$10:AF$98)</f>
        <v>0</v>
      </c>
      <c r="X104" s="35" t="n">
        <f aca="false">SUMPRODUCT(($A$10:$A$98=A104)*($C$10:$C$98=B104)*($D$10:$D$98=C104)*$F$10:$F$98*AG$10:AG$98)</f>
        <v>0</v>
      </c>
      <c r="Y104" s="35" t="n">
        <f aca="false">SUMPRODUCT(($A$10:$A$98=A104)*($C$10:$C$98=B104)*($D$10:$D$98=C104)*$F$10:$F$98*AH$10:AH$98)</f>
        <v>0</v>
      </c>
    </row>
    <row r="105" customFormat="false" ht="15" hidden="false" customHeight="false" outlineLevel="0" collapsed="false">
      <c r="A105" s="24" t="s">
        <v>199</v>
      </c>
      <c r="B105" s="14" t="n">
        <v>2</v>
      </c>
      <c r="C105" s="14" t="n">
        <v>1</v>
      </c>
      <c r="D105" s="36" t="n">
        <f aca="false">SUMPRODUCT(($A$10:$A$98=A105)*($C$10:$C$98=B105)*($D$10:$D$98=C105)*$F$10:$F$98*M$10:M$98)</f>
        <v>0.2</v>
      </c>
      <c r="E105" s="29" t="n">
        <f aca="false">SUMPRODUCT(($A$10:$A$98=A105)*($C$10:$C$98=B105)*($D$10:$D$98=C105)*$F$10:$F$98*N$10:N$98)</f>
        <v>1</v>
      </c>
      <c r="F105" s="35" t="n">
        <f aca="false">SUMPRODUCT(($A$10:$A$98=A105)*($C$10:$C$98=B105)*($D$10:$D$98=C105)*$F$10:$F$98*O$10:O$98)</f>
        <v>0.2</v>
      </c>
      <c r="G105" s="35" t="n">
        <f aca="false">SUMPRODUCT(($A$10:$A$98=A105)*($C$10:$C$98=B105)*($D$10:$D$98=C105)*$F$10:$F$98*P$10:P$98)</f>
        <v>0</v>
      </c>
      <c r="H105" s="35" t="n">
        <f aca="false">SUMPRODUCT(($A$10:$A$98=A105)*($C$10:$C$98=B105)*($D$10:$D$98=C105)*$F$10:$F$98*Q$10:Q$98)</f>
        <v>0</v>
      </c>
      <c r="I105" s="35" t="n">
        <f aca="false">SUMPRODUCT(($A$10:$A$98=A105)*($C$10:$C$98=B105)*($D$10:$D$98=C105)*$F$10:$F$98*R$10:R$98)</f>
        <v>0</v>
      </c>
      <c r="J105" s="35" t="n">
        <f aca="false">SUMPRODUCT(($A$10:$A$98=A105)*($C$10:$C$98=B105)*($D$10:$D$98=C105)*$F$10:$F$98*S$10:S$98)</f>
        <v>0</v>
      </c>
      <c r="K105" s="35" t="n">
        <f aca="false">SUMPRODUCT(($A$10:$A$98=A105)*($C$10:$C$98=B105)*($D$10:$D$98=C105)*$F$10:$F$98*T$10:T$98)</f>
        <v>0</v>
      </c>
      <c r="L105" s="35" t="n">
        <f aca="false">SUMPRODUCT(($A$10:$A$98=A105)*($C$10:$C$98=B105)*($D$10:$D$98=C105)*$F$10:$F$98*U$10:U$98)</f>
        <v>0</v>
      </c>
      <c r="M105" s="35" t="n">
        <f aca="false">SUMPRODUCT(($A$10:$A$98=A105)*($C$10:$C$98=B105)*($D$10:$D$98=C105)*$F$10:$F$98*V$10:V$98)</f>
        <v>0</v>
      </c>
      <c r="N105" s="35" t="n">
        <f aca="false">SUMPRODUCT(($A$10:$A$98=A105)*($C$10:$C$98=B105)*($D$10:$D$98=C105)*$F$10:$F$98*W$10:W$98)</f>
        <v>0</v>
      </c>
      <c r="O105" s="35" t="n">
        <f aca="false">SUMPRODUCT(($A$10:$A$98=A105)*($C$10:$C$98=B105)*($D$10:$D$98=C105)*$F$10:$F$98*X$10:X$98)</f>
        <v>0</v>
      </c>
      <c r="P105" s="35" t="n">
        <f aca="false">SUMPRODUCT(($A$10:$A$98=A105)*($C$10:$C$98=B105)*($D$10:$D$98=C105)*$F$10:$F$98*Y$10:Y$98)</f>
        <v>0</v>
      </c>
      <c r="Q105" s="35" t="n">
        <f aca="false">SUMPRODUCT(($A$10:$A$98=A105)*($C$10:$C$98=B105)*($D$10:$D$98=C105)*$F$10:$F$98*Z$10:Z$98)</f>
        <v>0</v>
      </c>
      <c r="R105" s="35" t="n">
        <f aca="false">SUMPRODUCT(($A$10:$A$98=A105)*($C$10:$C$98=B105)*($D$10:$D$98=C105)*$F$10:$F$98*AA$10:AA$98)</f>
        <v>0</v>
      </c>
      <c r="S105" s="35" t="n">
        <f aca="false">SUMPRODUCT(($A$10:$A$98=A105)*($C$10:$C$98=B105)*($D$10:$D$98=C105)*$F$10:$F$98*AB$10:AB$98)</f>
        <v>0</v>
      </c>
      <c r="T105" s="35" t="n">
        <f aca="false">SUMPRODUCT(($A$10:$A$98=A105)*($C$10:$C$98=B105)*($D$10:$D$98=C105)*$F$10:$F$98*AC$10:AC$98)</f>
        <v>0</v>
      </c>
      <c r="U105" s="35" t="n">
        <f aca="false">SUMPRODUCT(($A$10:$A$98=A105)*($C$10:$C$98=B105)*($D$10:$D$98=C105)*$F$10:$F$98*AD$10:AD$98)</f>
        <v>0</v>
      </c>
      <c r="V105" s="35" t="n">
        <f aca="false">SUMPRODUCT(($A$10:$A$98=A105)*($C$10:$C$98=B105)*($D$10:$D$98=C105)*$F$10:$F$98*AE$10:AE$98)</f>
        <v>0</v>
      </c>
      <c r="W105" s="35" t="n">
        <f aca="false">SUMPRODUCT(($A$10:$A$98=A105)*($C$10:$C$98=B105)*($D$10:$D$98=C105)*$F$10:$F$98*AF$10:AF$98)</f>
        <v>0</v>
      </c>
      <c r="X105" s="35" t="n">
        <f aca="false">SUMPRODUCT(($A$10:$A$98=A105)*($C$10:$C$98=B105)*($D$10:$D$98=C105)*$F$10:$F$98*AG$10:AG$98)</f>
        <v>0</v>
      </c>
      <c r="Y105" s="35" t="n">
        <f aca="false">SUMPRODUCT(($A$10:$A$98=A105)*($C$10:$C$98=B105)*($D$10:$D$98=C105)*$F$10:$F$98*AH$10:AH$98)</f>
        <v>0</v>
      </c>
    </row>
    <row r="106" customFormat="false" ht="15" hidden="false" customHeight="false" outlineLevel="0" collapsed="false">
      <c r="A106" s="24" t="s">
        <v>201</v>
      </c>
      <c r="B106" s="14" t="n">
        <v>1</v>
      </c>
      <c r="C106" s="14" t="n">
        <v>0</v>
      </c>
      <c r="D106" s="36" t="n">
        <f aca="false">SUMPRODUCT(($A$10:$A$98=A106)*($C$10:$C$98=B106)*($D$10:$D$98=C106)*$F$10:$F$98*M$10:M$98)</f>
        <v>7</v>
      </c>
      <c r="E106" s="29" t="n">
        <f aca="false">SUMPRODUCT(($A$10:$A$98=A106)*($C$10:$C$98=B106)*($D$10:$D$98=C106)*$F$10:$F$98*N$10:N$98)</f>
        <v>35</v>
      </c>
      <c r="F106" s="35" t="n">
        <f aca="false">SUMPRODUCT(($A$10:$A$98=A106)*($C$10:$C$98=B106)*($D$10:$D$98=C106)*$F$10:$F$98*O$10:O$98)</f>
        <v>0.933333333333333</v>
      </c>
      <c r="G106" s="35" t="n">
        <f aca="false">SUMPRODUCT(($A$10:$A$98=A106)*($C$10:$C$98=B106)*($D$10:$D$98=C106)*$F$10:$F$98*P$10:P$98)</f>
        <v>0.866666666666667</v>
      </c>
      <c r="H106" s="35" t="n">
        <f aca="false">SUMPRODUCT(($A$10:$A$98=A106)*($C$10:$C$98=B106)*($D$10:$D$98=C106)*$F$10:$F$98*Q$10:Q$98)</f>
        <v>0.8</v>
      </c>
      <c r="I106" s="35" t="n">
        <f aca="false">SUMPRODUCT(($A$10:$A$98=A106)*($C$10:$C$98=B106)*($D$10:$D$98=C106)*$F$10:$F$98*R$10:R$98)</f>
        <v>0.733333333333333</v>
      </c>
      <c r="J106" s="35" t="n">
        <f aca="false">SUMPRODUCT(($A$10:$A$98=A106)*($C$10:$C$98=B106)*($D$10:$D$98=C106)*$F$10:$F$98*S$10:S$98)</f>
        <v>0.666666666666667</v>
      </c>
      <c r="K106" s="35" t="n">
        <f aca="false">SUMPRODUCT(($A$10:$A$98=A106)*($C$10:$C$98=B106)*($D$10:$D$98=C106)*$F$10:$F$98*T$10:T$98)</f>
        <v>0.6</v>
      </c>
      <c r="L106" s="35" t="n">
        <f aca="false">SUMPRODUCT(($A$10:$A$98=A106)*($C$10:$C$98=B106)*($D$10:$D$98=C106)*$F$10:$F$98*U$10:U$98)</f>
        <v>0.533333333333333</v>
      </c>
      <c r="M106" s="35" t="n">
        <f aca="false">SUMPRODUCT(($A$10:$A$98=A106)*($C$10:$C$98=B106)*($D$10:$D$98=C106)*$F$10:$F$98*V$10:V$98)</f>
        <v>0.466666666666667</v>
      </c>
      <c r="N106" s="35" t="n">
        <f aca="false">SUMPRODUCT(($A$10:$A$98=A106)*($C$10:$C$98=B106)*($D$10:$D$98=C106)*$F$10:$F$98*W$10:W$98)</f>
        <v>0.4</v>
      </c>
      <c r="O106" s="35" t="n">
        <f aca="false">SUMPRODUCT(($A$10:$A$98=A106)*($C$10:$C$98=B106)*($D$10:$D$98=C106)*$F$10:$F$98*X$10:X$98)</f>
        <v>0.333333333333333</v>
      </c>
      <c r="P106" s="35" t="n">
        <f aca="false">SUMPRODUCT(($A$10:$A$98=A106)*($C$10:$C$98=B106)*($D$10:$D$98=C106)*$F$10:$F$98*Y$10:Y$98)</f>
        <v>0.266666666666667</v>
      </c>
      <c r="Q106" s="35" t="n">
        <f aca="false">SUMPRODUCT(($A$10:$A$98=A106)*($C$10:$C$98=B106)*($D$10:$D$98=C106)*$F$10:$F$98*Z$10:Z$98)</f>
        <v>0.2</v>
      </c>
      <c r="R106" s="35" t="n">
        <f aca="false">SUMPRODUCT(($A$10:$A$98=A106)*($C$10:$C$98=B106)*($D$10:$D$98=C106)*$F$10:$F$98*AA$10:AA$98)</f>
        <v>0.133333333333333</v>
      </c>
      <c r="S106" s="35" t="n">
        <f aca="false">SUMPRODUCT(($A$10:$A$98=A106)*($C$10:$C$98=B106)*($D$10:$D$98=C106)*$F$10:$F$98*AB$10:AB$98)</f>
        <v>0.0666666666666667</v>
      </c>
      <c r="T106" s="35" t="n">
        <f aca="false">SUMPRODUCT(($A$10:$A$98=A106)*($C$10:$C$98=B106)*($D$10:$D$98=C106)*$F$10:$F$98*AC$10:AC$98)</f>
        <v>0</v>
      </c>
      <c r="U106" s="35" t="n">
        <f aca="false">SUMPRODUCT(($A$10:$A$98=A106)*($C$10:$C$98=B106)*($D$10:$D$98=C106)*$F$10:$F$98*AD$10:AD$98)</f>
        <v>0</v>
      </c>
      <c r="V106" s="35" t="n">
        <f aca="false">SUMPRODUCT(($A$10:$A$98=A106)*($C$10:$C$98=B106)*($D$10:$D$98=C106)*$F$10:$F$98*AE$10:AE$98)</f>
        <v>0</v>
      </c>
      <c r="W106" s="35" t="n">
        <f aca="false">SUMPRODUCT(($A$10:$A$98=A106)*($C$10:$C$98=B106)*($D$10:$D$98=C106)*$F$10:$F$98*AF$10:AF$98)</f>
        <v>0</v>
      </c>
      <c r="X106" s="35" t="n">
        <f aca="false">SUMPRODUCT(($A$10:$A$98=A106)*($C$10:$C$98=B106)*($D$10:$D$98=C106)*$F$10:$F$98*AG$10:AG$98)</f>
        <v>0</v>
      </c>
      <c r="Y106" s="35" t="n">
        <f aca="false">SUMPRODUCT(($A$10:$A$98=A106)*($C$10:$C$98=B106)*($D$10:$D$98=C106)*$F$10:$F$98*AH$10:AH$98)</f>
        <v>0</v>
      </c>
    </row>
    <row r="107" customFormat="false" ht="15" hidden="false" customHeight="false" outlineLevel="0" collapsed="false">
      <c r="A107" s="24" t="s">
        <v>201</v>
      </c>
      <c r="B107" s="14" t="n">
        <v>1</v>
      </c>
      <c r="C107" s="14" t="n">
        <v>1</v>
      </c>
      <c r="D107" s="36" t="n">
        <f aca="false">SUMPRODUCT(($A$10:$A$98=A107)*($C$10:$C$98=B107)*($D$10:$D$98=C107)*$F$10:$F$98*M$10:M$98)</f>
        <v>0.485755102626486</v>
      </c>
      <c r="E107" s="29" t="n">
        <f aca="false">SUMPRODUCT(($A$10:$A$98=A107)*($C$10:$C$98=B107)*($D$10:$D$98=C107)*$F$10:$F$98*N$10:N$98)</f>
        <v>2.42877551313243</v>
      </c>
      <c r="F107" s="35" t="n">
        <f aca="false">SUMPRODUCT(($A$10:$A$98=A107)*($C$10:$C$98=B107)*($D$10:$D$98=C107)*$F$10:$F$98*O$10:O$98)</f>
        <v>0.378</v>
      </c>
      <c r="G107" s="35" t="n">
        <f aca="false">SUMPRODUCT(($A$10:$A$98=A107)*($C$10:$C$98=B107)*($D$10:$D$98=C107)*$F$10:$F$98*P$10:P$98)</f>
        <v>0.0780000000000001</v>
      </c>
      <c r="H107" s="35" t="n">
        <f aca="false">SUMPRODUCT(($A$10:$A$98=A107)*($C$10:$C$98=B107)*($D$10:$D$98=C107)*$F$10:$F$98*Q$10:Q$98)</f>
        <v>0.0216</v>
      </c>
      <c r="I107" s="35" t="n">
        <f aca="false">SUMPRODUCT(($A$10:$A$98=A107)*($C$10:$C$98=B107)*($D$10:$D$98=C107)*$F$10:$F$98*R$10:R$98)</f>
        <v>0.00594</v>
      </c>
      <c r="J107" s="35" t="n">
        <f aca="false">SUMPRODUCT(($A$10:$A$98=A107)*($C$10:$C$98=B107)*($D$10:$D$98=C107)*$F$10:$F$98*S$10:S$98)</f>
        <v>0.00162000000000003</v>
      </c>
      <c r="K107" s="35" t="n">
        <f aca="false">SUMPRODUCT(($A$10:$A$98=A107)*($C$10:$C$98=B107)*($D$10:$D$98=C107)*$F$10:$F$98*T$10:T$98)</f>
        <v>0.000437399999999988</v>
      </c>
      <c r="L107" s="35" t="n">
        <f aca="false">SUMPRODUCT(($A$10:$A$98=A107)*($C$10:$C$98=B107)*($D$10:$D$98=C107)*$F$10:$F$98*U$10:U$98)</f>
        <v>0.000116640000000009</v>
      </c>
      <c r="M107" s="35" t="n">
        <f aca="false">SUMPRODUCT(($A$10:$A$98=A107)*($C$10:$C$98=B107)*($D$10:$D$98=C107)*$F$10:$F$98*V$10:V$98)</f>
        <v>3.0618000000023E-005</v>
      </c>
      <c r="N107" s="35" t="n">
        <f aca="false">SUMPRODUCT(($A$10:$A$98=A107)*($C$10:$C$98=B107)*($D$10:$D$98=C107)*$F$10:$F$98*W$10:W$98)</f>
        <v>7.87319999999703E-006</v>
      </c>
      <c r="O107" s="35" t="n">
        <f aca="false">SUMPRODUCT(($A$10:$A$98=A107)*($C$10:$C$98=B107)*($D$10:$D$98=C107)*$F$10:$F$98*X$10:X$98)</f>
        <v>1.96829999998815E-006</v>
      </c>
      <c r="P107" s="35" t="n">
        <f aca="false">SUMPRODUCT(($A$10:$A$98=A107)*($C$10:$C$98=B107)*($D$10:$D$98=C107)*$F$10:$F$98*Y$10:Y$98)</f>
        <v>4.72392000006039E-007</v>
      </c>
      <c r="Q107" s="35" t="n">
        <f aca="false">SUMPRODUCT(($A$10:$A$98=A107)*($C$10:$C$98=B107)*($D$10:$D$98=C107)*$F$10:$F$98*Z$10:Z$98)</f>
        <v>1.06288199996918E-007</v>
      </c>
      <c r="R107" s="35" t="n">
        <f aca="false">SUMPRODUCT(($A$10:$A$98=A107)*($C$10:$C$98=B107)*($D$10:$D$98=C107)*$F$10:$F$98*AA$10:AA$98)</f>
        <v>2.12576400038245E-008</v>
      </c>
      <c r="S107" s="35" t="n">
        <f aca="false">SUMPRODUCT(($A$10:$A$98=A107)*($C$10:$C$98=B107)*($D$10:$D$98=C107)*$F$10:$F$98*AB$10:AB$98)</f>
        <v>3.18864599909337E-009</v>
      </c>
      <c r="T107" s="35" t="n">
        <f aca="false">SUMPRODUCT(($A$10:$A$98=A107)*($C$10:$C$98=B107)*($D$10:$D$98=C107)*$F$10:$F$98*AC$10:AC$98)</f>
        <v>0</v>
      </c>
      <c r="U107" s="35" t="n">
        <f aca="false">SUMPRODUCT(($A$10:$A$98=A107)*($C$10:$C$98=B107)*($D$10:$D$98=C107)*$F$10:$F$98*AD$10:AD$98)</f>
        <v>0</v>
      </c>
      <c r="V107" s="35" t="n">
        <f aca="false">SUMPRODUCT(($A$10:$A$98=A107)*($C$10:$C$98=B107)*($D$10:$D$98=C107)*$F$10:$F$98*AE$10:AE$98)</f>
        <v>0</v>
      </c>
      <c r="W107" s="35" t="n">
        <f aca="false">SUMPRODUCT(($A$10:$A$98=A107)*($C$10:$C$98=B107)*($D$10:$D$98=C107)*$F$10:$F$98*AF$10:AF$98)</f>
        <v>0</v>
      </c>
      <c r="X107" s="35" t="n">
        <f aca="false">SUMPRODUCT(($A$10:$A$98=A107)*($C$10:$C$98=B107)*($D$10:$D$98=C107)*$F$10:$F$98*AG$10:AG$98)</f>
        <v>0</v>
      </c>
      <c r="Y107" s="35" t="n">
        <f aca="false">SUMPRODUCT(($A$10:$A$98=A107)*($C$10:$C$98=B107)*($D$10:$D$98=C107)*$F$10:$F$98*AH$10:AH$98)</f>
        <v>0</v>
      </c>
    </row>
    <row r="108" customFormat="false" ht="15" hidden="false" customHeight="false" outlineLevel="0" collapsed="false">
      <c r="A108" s="24" t="s">
        <v>201</v>
      </c>
      <c r="B108" s="14" t="n">
        <v>2</v>
      </c>
      <c r="C108" s="14" t="n">
        <v>0</v>
      </c>
      <c r="D108" s="36" t="n">
        <f aca="false">SUMPRODUCT(($A$10:$A$98=A108)*($C$10:$C$98=B108)*($D$10:$D$98=C108)*$F$10:$F$98*M$10:M$98)</f>
        <v>14</v>
      </c>
      <c r="E108" s="29" t="n">
        <f aca="false">SUMPRODUCT(($A$10:$A$98=A108)*($C$10:$C$98=B108)*($D$10:$D$98=C108)*$F$10:$F$98*N$10:N$98)</f>
        <v>70</v>
      </c>
      <c r="F108" s="35" t="n">
        <f aca="false">SUMPRODUCT(($A$10:$A$98=A108)*($C$10:$C$98=B108)*($D$10:$D$98=C108)*$F$10:$F$98*O$10:O$98)</f>
        <v>1</v>
      </c>
      <c r="G108" s="35" t="n">
        <f aca="false">SUMPRODUCT(($A$10:$A$98=A108)*($C$10:$C$98=B108)*($D$10:$D$98=C108)*$F$10:$F$98*P$10:P$98)</f>
        <v>1</v>
      </c>
      <c r="H108" s="35" t="n">
        <f aca="false">SUMPRODUCT(($A$10:$A$98=A108)*($C$10:$C$98=B108)*($D$10:$D$98=C108)*$F$10:$F$98*Q$10:Q$98)</f>
        <v>1</v>
      </c>
      <c r="I108" s="35" t="n">
        <f aca="false">SUMPRODUCT(($A$10:$A$98=A108)*($C$10:$C$98=B108)*($D$10:$D$98=C108)*$F$10:$F$98*R$10:R$98)</f>
        <v>1</v>
      </c>
      <c r="J108" s="35" t="n">
        <f aca="false">SUMPRODUCT(($A$10:$A$98=A108)*($C$10:$C$98=B108)*($D$10:$D$98=C108)*$F$10:$F$98*S$10:S$98)</f>
        <v>1</v>
      </c>
      <c r="K108" s="35" t="n">
        <f aca="false">SUMPRODUCT(($A$10:$A$98=A108)*($C$10:$C$98=B108)*($D$10:$D$98=C108)*$F$10:$F$98*T$10:T$98)</f>
        <v>1</v>
      </c>
      <c r="L108" s="35" t="n">
        <f aca="false">SUMPRODUCT(($A$10:$A$98=A108)*($C$10:$C$98=B108)*($D$10:$D$98=C108)*$F$10:$F$98*U$10:U$98)</f>
        <v>1</v>
      </c>
      <c r="M108" s="35" t="n">
        <f aca="false">SUMPRODUCT(($A$10:$A$98=A108)*($C$10:$C$98=B108)*($D$10:$D$98=C108)*$F$10:$F$98*V$10:V$98)</f>
        <v>1</v>
      </c>
      <c r="N108" s="35" t="n">
        <f aca="false">SUMPRODUCT(($A$10:$A$98=A108)*($C$10:$C$98=B108)*($D$10:$D$98=C108)*$F$10:$F$98*W$10:W$98)</f>
        <v>1</v>
      </c>
      <c r="O108" s="35" t="n">
        <f aca="false">SUMPRODUCT(($A$10:$A$98=A108)*($C$10:$C$98=B108)*($D$10:$D$98=C108)*$F$10:$F$98*X$10:X$98)</f>
        <v>1</v>
      </c>
      <c r="P108" s="35" t="n">
        <f aca="false">SUMPRODUCT(($A$10:$A$98=A108)*($C$10:$C$98=B108)*($D$10:$D$98=C108)*$F$10:$F$98*Y$10:Y$98)</f>
        <v>1</v>
      </c>
      <c r="Q108" s="35" t="n">
        <f aca="false">SUMPRODUCT(($A$10:$A$98=A108)*($C$10:$C$98=B108)*($D$10:$D$98=C108)*$F$10:$F$98*Z$10:Z$98)</f>
        <v>1</v>
      </c>
      <c r="R108" s="35" t="n">
        <f aca="false">SUMPRODUCT(($A$10:$A$98=A108)*($C$10:$C$98=B108)*($D$10:$D$98=C108)*$F$10:$F$98*AA$10:AA$98)</f>
        <v>1</v>
      </c>
      <c r="S108" s="35" t="n">
        <f aca="false">SUMPRODUCT(($A$10:$A$98=A108)*($C$10:$C$98=B108)*($D$10:$D$98=C108)*$F$10:$F$98*AB$10:AB$98)</f>
        <v>1</v>
      </c>
      <c r="T108" s="35" t="n">
        <f aca="false">SUMPRODUCT(($A$10:$A$98=A108)*($C$10:$C$98=B108)*($D$10:$D$98=C108)*$F$10:$F$98*AC$10:AC$98)</f>
        <v>0</v>
      </c>
      <c r="U108" s="35" t="n">
        <f aca="false">SUMPRODUCT(($A$10:$A$98=A108)*($C$10:$C$98=B108)*($D$10:$D$98=C108)*$F$10:$F$98*AD$10:AD$98)</f>
        <v>0</v>
      </c>
      <c r="V108" s="35" t="n">
        <f aca="false">SUMPRODUCT(($A$10:$A$98=A108)*($C$10:$C$98=B108)*($D$10:$D$98=C108)*$F$10:$F$98*AE$10:AE$98)</f>
        <v>0</v>
      </c>
      <c r="W108" s="35" t="n">
        <f aca="false">SUMPRODUCT(($A$10:$A$98=A108)*($C$10:$C$98=B108)*($D$10:$D$98=C108)*$F$10:$F$98*AF$10:AF$98)</f>
        <v>0</v>
      </c>
      <c r="X108" s="35" t="n">
        <f aca="false">SUMPRODUCT(($A$10:$A$98=A108)*($C$10:$C$98=B108)*($D$10:$D$98=C108)*$F$10:$F$98*AG$10:AG$98)</f>
        <v>0</v>
      </c>
      <c r="Y108" s="35" t="n">
        <f aca="false">SUMPRODUCT(($A$10:$A$98=A108)*($C$10:$C$98=B108)*($D$10:$D$98=C108)*$F$10:$F$98*AH$10:AH$98)</f>
        <v>0</v>
      </c>
    </row>
    <row r="109" customFormat="false" ht="15" hidden="false" customHeight="false" outlineLevel="0" collapsed="false">
      <c r="A109" s="24" t="s">
        <v>201</v>
      </c>
      <c r="B109" s="14" t="n">
        <v>2</v>
      </c>
      <c r="C109" s="14" t="n">
        <v>1</v>
      </c>
      <c r="D109" s="36" t="n">
        <f aca="false">SUMPRODUCT(($A$10:$A$98=A109)*($C$10:$C$98=B109)*($D$10:$D$98=C109)*$F$10:$F$98*M$10:M$98)</f>
        <v>0.42857140807299</v>
      </c>
      <c r="E109" s="29" t="n">
        <f aca="false">SUMPRODUCT(($A$10:$A$98=A109)*($C$10:$C$98=B109)*($D$10:$D$98=C109)*$F$10:$F$98*N$10:N$98)</f>
        <v>2.14285704036495</v>
      </c>
      <c r="F109" s="35" t="n">
        <f aca="false">SUMPRODUCT(($A$10:$A$98=A109)*($C$10:$C$98=B109)*($D$10:$D$98=C109)*$F$10:$F$98*O$10:O$98)</f>
        <v>0.3</v>
      </c>
      <c r="G109" s="35" t="n">
        <f aca="false">SUMPRODUCT(($A$10:$A$98=A109)*($C$10:$C$98=B109)*($D$10:$D$98=C109)*$F$10:$F$98*P$10:P$98)</f>
        <v>0.0900000000000001</v>
      </c>
      <c r="H109" s="35" t="n">
        <f aca="false">SUMPRODUCT(($A$10:$A$98=A109)*($C$10:$C$98=B109)*($D$10:$D$98=C109)*$F$10:$F$98*Q$10:Q$98)</f>
        <v>0.027</v>
      </c>
      <c r="I109" s="35" t="n">
        <f aca="false">SUMPRODUCT(($A$10:$A$98=A109)*($C$10:$C$98=B109)*($D$10:$D$98=C109)*$F$10:$F$98*R$10:R$98)</f>
        <v>0.0081</v>
      </c>
      <c r="J109" s="35" t="n">
        <f aca="false">SUMPRODUCT(($A$10:$A$98=A109)*($C$10:$C$98=B109)*($D$10:$D$98=C109)*$F$10:$F$98*S$10:S$98)</f>
        <v>0.00243000000000004</v>
      </c>
      <c r="K109" s="35" t="n">
        <f aca="false">SUMPRODUCT(($A$10:$A$98=A109)*($C$10:$C$98=B109)*($D$10:$D$98=C109)*$F$10:$F$98*T$10:T$98)</f>
        <v>0.00072899999999998</v>
      </c>
      <c r="L109" s="35" t="n">
        <f aca="false">SUMPRODUCT(($A$10:$A$98=A109)*($C$10:$C$98=B109)*($D$10:$D$98=C109)*$F$10:$F$98*U$10:U$98)</f>
        <v>0.000218700000000016</v>
      </c>
      <c r="M109" s="35" t="n">
        <f aca="false">SUMPRODUCT(($A$10:$A$98=A109)*($C$10:$C$98=B109)*($D$10:$D$98=C109)*$F$10:$F$98*V$10:V$98)</f>
        <v>6.56100000000492E-005</v>
      </c>
      <c r="N109" s="35" t="n">
        <f aca="false">SUMPRODUCT(($A$10:$A$98=A109)*($C$10:$C$98=B109)*($D$10:$D$98=C109)*$F$10:$F$98*W$10:W$98)</f>
        <v>1.96829999999926E-005</v>
      </c>
      <c r="O109" s="35" t="n">
        <f aca="false">SUMPRODUCT(($A$10:$A$98=A109)*($C$10:$C$98=B109)*($D$10:$D$98=C109)*$F$10:$F$98*X$10:X$98)</f>
        <v>5.90489999996446E-006</v>
      </c>
      <c r="P109" s="35" t="n">
        <f aca="false">SUMPRODUCT(($A$10:$A$98=A109)*($C$10:$C$98=B109)*($D$10:$D$98=C109)*$F$10:$F$98*Y$10:Y$98)</f>
        <v>1.77147000002265E-006</v>
      </c>
      <c r="Q109" s="35" t="n">
        <f aca="false">SUMPRODUCT(($A$10:$A$98=A109)*($C$10:$C$98=B109)*($D$10:$D$98=C109)*$F$10:$F$98*Z$10:Z$98)</f>
        <v>5.31440999984589E-007</v>
      </c>
      <c r="R109" s="35" t="n">
        <f aca="false">SUMPRODUCT(($A$10:$A$98=A109)*($C$10:$C$98=B109)*($D$10:$D$98=C109)*$F$10:$F$98*AA$10:AA$98)</f>
        <v>1.59432300028683E-007</v>
      </c>
      <c r="S109" s="35" t="n">
        <f aca="false">SUMPRODUCT(($A$10:$A$98=A109)*($C$10:$C$98=B109)*($D$10:$D$98=C109)*$F$10:$F$98*AB$10:AB$98)</f>
        <v>4.78296899864006E-008</v>
      </c>
      <c r="T109" s="35" t="n">
        <f aca="false">SUMPRODUCT(($A$10:$A$98=A109)*($C$10:$C$98=B109)*($D$10:$D$98=C109)*$F$10:$F$98*AC$10:AC$98)</f>
        <v>0</v>
      </c>
      <c r="U109" s="35" t="n">
        <f aca="false">SUMPRODUCT(($A$10:$A$98=A109)*($C$10:$C$98=B109)*($D$10:$D$98=C109)*$F$10:$F$98*AD$10:AD$98)</f>
        <v>0</v>
      </c>
      <c r="V109" s="35" t="n">
        <f aca="false">SUMPRODUCT(($A$10:$A$98=A109)*($C$10:$C$98=B109)*($D$10:$D$98=C109)*$F$10:$F$98*AE$10:AE$98)</f>
        <v>0</v>
      </c>
      <c r="W109" s="35" t="n">
        <f aca="false">SUMPRODUCT(($A$10:$A$98=A109)*($C$10:$C$98=B109)*($D$10:$D$98=C109)*$F$10:$F$98*AF$10:AF$98)</f>
        <v>0</v>
      </c>
      <c r="X109" s="35" t="n">
        <f aca="false">SUMPRODUCT(($A$10:$A$98=A109)*($C$10:$C$98=B109)*($D$10:$D$98=C109)*$F$10:$F$98*AG$10:AG$98)</f>
        <v>0</v>
      </c>
      <c r="Y109" s="35" t="n">
        <f aca="false">SUMPRODUCT(($A$10:$A$98=A109)*($C$10:$C$98=B109)*($D$10:$D$98=C109)*$F$10:$F$98*AH$10:AH$98)</f>
        <v>0</v>
      </c>
    </row>
    <row r="110" customFormat="false" ht="15" hidden="false" customHeight="false" outlineLevel="0" collapsed="false">
      <c r="A110" s="24" t="s">
        <v>203</v>
      </c>
      <c r="B110" s="14" t="n">
        <v>1</v>
      </c>
      <c r="C110" s="14" t="n">
        <v>0</v>
      </c>
      <c r="D110" s="36" t="n">
        <f aca="false">SUMPRODUCT(($A$10:$A$98=A110)*($C$10:$C$98=B110)*($D$10:$D$98=C110)*$F$10:$F$98*M$10:M$98)</f>
        <v>0.933333333333333</v>
      </c>
      <c r="E110" s="29" t="n">
        <f aca="false">SUMPRODUCT(($A$10:$A$98=A110)*($C$10:$C$98=B110)*($D$10:$D$98=C110)*$F$10:$F$98*N$10:N$98)</f>
        <v>4.66666666666667</v>
      </c>
      <c r="F110" s="35" t="n">
        <f aca="false">SUMPRODUCT(($A$10:$A$98=A110)*($C$10:$C$98=B110)*($D$10:$D$98=C110)*$F$10:$F$98*O$10:O$98)</f>
        <v>0.933333333333333</v>
      </c>
      <c r="G110" s="35" t="n">
        <f aca="false">SUMPRODUCT(($A$10:$A$98=A110)*($C$10:$C$98=B110)*($D$10:$D$98=C110)*$F$10:$F$98*P$10:P$98)</f>
        <v>0</v>
      </c>
      <c r="H110" s="35" t="n">
        <f aca="false">SUMPRODUCT(($A$10:$A$98=A110)*($C$10:$C$98=B110)*($D$10:$D$98=C110)*$F$10:$F$98*Q$10:Q$98)</f>
        <v>0</v>
      </c>
      <c r="I110" s="35" t="n">
        <f aca="false">SUMPRODUCT(($A$10:$A$98=A110)*($C$10:$C$98=B110)*($D$10:$D$98=C110)*$F$10:$F$98*R$10:R$98)</f>
        <v>0</v>
      </c>
      <c r="J110" s="35" t="n">
        <f aca="false">SUMPRODUCT(($A$10:$A$98=A110)*($C$10:$C$98=B110)*($D$10:$D$98=C110)*$F$10:$F$98*S$10:S$98)</f>
        <v>0</v>
      </c>
      <c r="K110" s="35" t="n">
        <f aca="false">SUMPRODUCT(($A$10:$A$98=A110)*($C$10:$C$98=B110)*($D$10:$D$98=C110)*$F$10:$F$98*T$10:T$98)</f>
        <v>0</v>
      </c>
      <c r="L110" s="35" t="n">
        <f aca="false">SUMPRODUCT(($A$10:$A$98=A110)*($C$10:$C$98=B110)*($D$10:$D$98=C110)*$F$10:$F$98*U$10:U$98)</f>
        <v>0</v>
      </c>
      <c r="M110" s="35" t="n">
        <f aca="false">SUMPRODUCT(($A$10:$A$98=A110)*($C$10:$C$98=B110)*($D$10:$D$98=C110)*$F$10:$F$98*V$10:V$98)</f>
        <v>0</v>
      </c>
      <c r="N110" s="35" t="n">
        <f aca="false">SUMPRODUCT(($A$10:$A$98=A110)*($C$10:$C$98=B110)*($D$10:$D$98=C110)*$F$10:$F$98*W$10:W$98)</f>
        <v>0</v>
      </c>
      <c r="O110" s="35" t="n">
        <f aca="false">SUMPRODUCT(($A$10:$A$98=A110)*($C$10:$C$98=B110)*($D$10:$D$98=C110)*$F$10:$F$98*X$10:X$98)</f>
        <v>0</v>
      </c>
      <c r="P110" s="35" t="n">
        <f aca="false">SUMPRODUCT(($A$10:$A$98=A110)*($C$10:$C$98=B110)*($D$10:$D$98=C110)*$F$10:$F$98*Y$10:Y$98)</f>
        <v>0</v>
      </c>
      <c r="Q110" s="35" t="n">
        <f aca="false">SUMPRODUCT(($A$10:$A$98=A110)*($C$10:$C$98=B110)*($D$10:$D$98=C110)*$F$10:$F$98*Z$10:Z$98)</f>
        <v>0</v>
      </c>
      <c r="R110" s="35" t="n">
        <f aca="false">SUMPRODUCT(($A$10:$A$98=A110)*($C$10:$C$98=B110)*($D$10:$D$98=C110)*$F$10:$F$98*AA$10:AA$98)</f>
        <v>0</v>
      </c>
      <c r="S110" s="35" t="n">
        <f aca="false">SUMPRODUCT(($A$10:$A$98=A110)*($C$10:$C$98=B110)*($D$10:$D$98=C110)*$F$10:$F$98*AB$10:AB$98)</f>
        <v>0</v>
      </c>
      <c r="T110" s="35" t="n">
        <f aca="false">SUMPRODUCT(($A$10:$A$98=A110)*($C$10:$C$98=B110)*($D$10:$D$98=C110)*$F$10:$F$98*AC$10:AC$98)</f>
        <v>0</v>
      </c>
      <c r="U110" s="35" t="n">
        <f aca="false">SUMPRODUCT(($A$10:$A$98=A110)*($C$10:$C$98=B110)*($D$10:$D$98=C110)*$F$10:$F$98*AD$10:AD$98)</f>
        <v>0</v>
      </c>
      <c r="V110" s="35" t="n">
        <f aca="false">SUMPRODUCT(($A$10:$A$98=A110)*($C$10:$C$98=B110)*($D$10:$D$98=C110)*$F$10:$F$98*AE$10:AE$98)</f>
        <v>0</v>
      </c>
      <c r="W110" s="35" t="n">
        <f aca="false">SUMPRODUCT(($A$10:$A$98=A110)*($C$10:$C$98=B110)*($D$10:$D$98=C110)*$F$10:$F$98*AF$10:AF$98)</f>
        <v>0</v>
      </c>
      <c r="X110" s="35" t="n">
        <f aca="false">SUMPRODUCT(($A$10:$A$98=A110)*($C$10:$C$98=B110)*($D$10:$D$98=C110)*$F$10:$F$98*AG$10:AG$98)</f>
        <v>0</v>
      </c>
      <c r="Y110" s="35" t="n">
        <f aca="false">SUMPRODUCT(($A$10:$A$98=A110)*($C$10:$C$98=B110)*($D$10:$D$98=C110)*$F$10:$F$98*AH$10:AH$98)</f>
        <v>0</v>
      </c>
    </row>
    <row r="111" customFormat="false" ht="15" hidden="false" customHeight="false" outlineLevel="0" collapsed="false">
      <c r="A111" s="24" t="s">
        <v>203</v>
      </c>
      <c r="B111" s="14" t="n">
        <v>1</v>
      </c>
      <c r="C111" s="14" t="n">
        <v>1</v>
      </c>
      <c r="D111" s="36" t="n">
        <f aca="false">SUMPRODUCT(($A$10:$A$98=A111)*($C$10:$C$98=B111)*($D$10:$D$98=C111)*$F$10:$F$98*M$10:M$98)</f>
        <v>0.378</v>
      </c>
      <c r="E111" s="29" t="n">
        <f aca="false">SUMPRODUCT(($A$10:$A$98=A111)*($C$10:$C$98=B111)*($D$10:$D$98=C111)*$F$10:$F$98*N$10:N$98)</f>
        <v>1.89</v>
      </c>
      <c r="F111" s="35" t="n">
        <f aca="false">SUMPRODUCT(($A$10:$A$98=A111)*($C$10:$C$98=B111)*($D$10:$D$98=C111)*$F$10:$F$98*O$10:O$98)</f>
        <v>0.378</v>
      </c>
      <c r="G111" s="35" t="n">
        <f aca="false">SUMPRODUCT(($A$10:$A$98=A111)*($C$10:$C$98=B111)*($D$10:$D$98=C111)*$F$10:$F$98*P$10:P$98)</f>
        <v>0</v>
      </c>
      <c r="H111" s="35" t="n">
        <f aca="false">SUMPRODUCT(($A$10:$A$98=A111)*($C$10:$C$98=B111)*($D$10:$D$98=C111)*$F$10:$F$98*Q$10:Q$98)</f>
        <v>0</v>
      </c>
      <c r="I111" s="35" t="n">
        <f aca="false">SUMPRODUCT(($A$10:$A$98=A111)*($C$10:$C$98=B111)*($D$10:$D$98=C111)*$F$10:$F$98*R$10:R$98)</f>
        <v>0</v>
      </c>
      <c r="J111" s="35" t="n">
        <f aca="false">SUMPRODUCT(($A$10:$A$98=A111)*($C$10:$C$98=B111)*($D$10:$D$98=C111)*$F$10:$F$98*S$10:S$98)</f>
        <v>0</v>
      </c>
      <c r="K111" s="35" t="n">
        <f aca="false">SUMPRODUCT(($A$10:$A$98=A111)*($C$10:$C$98=B111)*($D$10:$D$98=C111)*$F$10:$F$98*T$10:T$98)</f>
        <v>0</v>
      </c>
      <c r="L111" s="35" t="n">
        <f aca="false">SUMPRODUCT(($A$10:$A$98=A111)*($C$10:$C$98=B111)*($D$10:$D$98=C111)*$F$10:$F$98*U$10:U$98)</f>
        <v>0</v>
      </c>
      <c r="M111" s="35" t="n">
        <f aca="false">SUMPRODUCT(($A$10:$A$98=A111)*($C$10:$C$98=B111)*($D$10:$D$98=C111)*$F$10:$F$98*V$10:V$98)</f>
        <v>0</v>
      </c>
      <c r="N111" s="35" t="n">
        <f aca="false">SUMPRODUCT(($A$10:$A$98=A111)*($C$10:$C$98=B111)*($D$10:$D$98=C111)*$F$10:$F$98*W$10:W$98)</f>
        <v>0</v>
      </c>
      <c r="O111" s="35" t="n">
        <f aca="false">SUMPRODUCT(($A$10:$A$98=A111)*($C$10:$C$98=B111)*($D$10:$D$98=C111)*$F$10:$F$98*X$10:X$98)</f>
        <v>0</v>
      </c>
      <c r="P111" s="35" t="n">
        <f aca="false">SUMPRODUCT(($A$10:$A$98=A111)*($C$10:$C$98=B111)*($D$10:$D$98=C111)*$F$10:$F$98*Y$10:Y$98)</f>
        <v>0</v>
      </c>
      <c r="Q111" s="35" t="n">
        <f aca="false">SUMPRODUCT(($A$10:$A$98=A111)*($C$10:$C$98=B111)*($D$10:$D$98=C111)*$F$10:$F$98*Z$10:Z$98)</f>
        <v>0</v>
      </c>
      <c r="R111" s="35" t="n">
        <f aca="false">SUMPRODUCT(($A$10:$A$98=A111)*($C$10:$C$98=B111)*($D$10:$D$98=C111)*$F$10:$F$98*AA$10:AA$98)</f>
        <v>0</v>
      </c>
      <c r="S111" s="35" t="n">
        <f aca="false">SUMPRODUCT(($A$10:$A$98=A111)*($C$10:$C$98=B111)*($D$10:$D$98=C111)*$F$10:$F$98*AB$10:AB$98)</f>
        <v>0</v>
      </c>
      <c r="T111" s="35" t="n">
        <f aca="false">SUMPRODUCT(($A$10:$A$98=A111)*($C$10:$C$98=B111)*($D$10:$D$98=C111)*$F$10:$F$98*AC$10:AC$98)</f>
        <v>0</v>
      </c>
      <c r="U111" s="35" t="n">
        <f aca="false">SUMPRODUCT(($A$10:$A$98=A111)*($C$10:$C$98=B111)*($D$10:$D$98=C111)*$F$10:$F$98*AD$10:AD$98)</f>
        <v>0</v>
      </c>
      <c r="V111" s="35" t="n">
        <f aca="false">SUMPRODUCT(($A$10:$A$98=A111)*($C$10:$C$98=B111)*($D$10:$D$98=C111)*$F$10:$F$98*AE$10:AE$98)</f>
        <v>0</v>
      </c>
      <c r="W111" s="35" t="n">
        <f aca="false">SUMPRODUCT(($A$10:$A$98=A111)*($C$10:$C$98=B111)*($D$10:$D$98=C111)*$F$10:$F$98*AF$10:AF$98)</f>
        <v>0</v>
      </c>
      <c r="X111" s="35" t="n">
        <f aca="false">SUMPRODUCT(($A$10:$A$98=A111)*($C$10:$C$98=B111)*($D$10:$D$98=C111)*$F$10:$F$98*AG$10:AG$98)</f>
        <v>0</v>
      </c>
      <c r="Y111" s="35" t="n">
        <f aca="false">SUMPRODUCT(($A$10:$A$98=A111)*($C$10:$C$98=B111)*($D$10:$D$98=C111)*$F$10:$F$98*AH$10:AH$98)</f>
        <v>0</v>
      </c>
    </row>
    <row r="112" customFormat="false" ht="15" hidden="false" customHeight="false" outlineLevel="0" collapsed="false">
      <c r="A112" s="24" t="s">
        <v>203</v>
      </c>
      <c r="B112" s="14" t="n">
        <v>2</v>
      </c>
      <c r="C112" s="14" t="n">
        <v>0</v>
      </c>
      <c r="D112" s="36" t="n">
        <f aca="false">SUMPRODUCT(($A$10:$A$98=A112)*($C$10:$C$98=B112)*($D$10:$D$98=C112)*$F$10:$F$98*M$10:M$98)</f>
        <v>1</v>
      </c>
      <c r="E112" s="29" t="n">
        <f aca="false">SUMPRODUCT(($A$10:$A$98=A112)*($C$10:$C$98=B112)*($D$10:$D$98=C112)*$F$10:$F$98*N$10:N$98)</f>
        <v>5</v>
      </c>
      <c r="F112" s="35" t="n">
        <f aca="false">SUMPRODUCT(($A$10:$A$98=A112)*($C$10:$C$98=B112)*($D$10:$D$98=C112)*$F$10:$F$98*O$10:O$98)</f>
        <v>1</v>
      </c>
      <c r="G112" s="35" t="n">
        <f aca="false">SUMPRODUCT(($A$10:$A$98=A112)*($C$10:$C$98=B112)*($D$10:$D$98=C112)*$F$10:$F$98*P$10:P$98)</f>
        <v>0</v>
      </c>
      <c r="H112" s="35" t="n">
        <f aca="false">SUMPRODUCT(($A$10:$A$98=A112)*($C$10:$C$98=B112)*($D$10:$D$98=C112)*$F$10:$F$98*Q$10:Q$98)</f>
        <v>0</v>
      </c>
      <c r="I112" s="35" t="n">
        <f aca="false">SUMPRODUCT(($A$10:$A$98=A112)*($C$10:$C$98=B112)*($D$10:$D$98=C112)*$F$10:$F$98*R$10:R$98)</f>
        <v>0</v>
      </c>
      <c r="J112" s="35" t="n">
        <f aca="false">SUMPRODUCT(($A$10:$A$98=A112)*($C$10:$C$98=B112)*($D$10:$D$98=C112)*$F$10:$F$98*S$10:S$98)</f>
        <v>0</v>
      </c>
      <c r="K112" s="35" t="n">
        <f aca="false">SUMPRODUCT(($A$10:$A$98=A112)*($C$10:$C$98=B112)*($D$10:$D$98=C112)*$F$10:$F$98*T$10:T$98)</f>
        <v>0</v>
      </c>
      <c r="L112" s="35" t="n">
        <f aca="false">SUMPRODUCT(($A$10:$A$98=A112)*($C$10:$C$98=B112)*($D$10:$D$98=C112)*$F$10:$F$98*U$10:U$98)</f>
        <v>0</v>
      </c>
      <c r="M112" s="35" t="n">
        <f aca="false">SUMPRODUCT(($A$10:$A$98=A112)*($C$10:$C$98=B112)*($D$10:$D$98=C112)*$F$10:$F$98*V$10:V$98)</f>
        <v>0</v>
      </c>
      <c r="N112" s="35" t="n">
        <f aca="false">SUMPRODUCT(($A$10:$A$98=A112)*($C$10:$C$98=B112)*($D$10:$D$98=C112)*$F$10:$F$98*W$10:W$98)</f>
        <v>0</v>
      </c>
      <c r="O112" s="35" t="n">
        <f aca="false">SUMPRODUCT(($A$10:$A$98=A112)*($C$10:$C$98=B112)*($D$10:$D$98=C112)*$F$10:$F$98*X$10:X$98)</f>
        <v>0</v>
      </c>
      <c r="P112" s="35" t="n">
        <f aca="false">SUMPRODUCT(($A$10:$A$98=A112)*($C$10:$C$98=B112)*($D$10:$D$98=C112)*$F$10:$F$98*Y$10:Y$98)</f>
        <v>0</v>
      </c>
      <c r="Q112" s="35" t="n">
        <f aca="false">SUMPRODUCT(($A$10:$A$98=A112)*($C$10:$C$98=B112)*($D$10:$D$98=C112)*$F$10:$F$98*Z$10:Z$98)</f>
        <v>0</v>
      </c>
      <c r="R112" s="35" t="n">
        <f aca="false">SUMPRODUCT(($A$10:$A$98=A112)*($C$10:$C$98=B112)*($D$10:$D$98=C112)*$F$10:$F$98*AA$10:AA$98)</f>
        <v>0</v>
      </c>
      <c r="S112" s="35" t="n">
        <f aca="false">SUMPRODUCT(($A$10:$A$98=A112)*($C$10:$C$98=B112)*($D$10:$D$98=C112)*$F$10:$F$98*AB$10:AB$98)</f>
        <v>0</v>
      </c>
      <c r="T112" s="35" t="n">
        <f aca="false">SUMPRODUCT(($A$10:$A$98=A112)*($C$10:$C$98=B112)*($D$10:$D$98=C112)*$F$10:$F$98*AC$10:AC$98)</f>
        <v>0</v>
      </c>
      <c r="U112" s="35" t="n">
        <f aca="false">SUMPRODUCT(($A$10:$A$98=A112)*($C$10:$C$98=B112)*($D$10:$D$98=C112)*$F$10:$F$98*AD$10:AD$98)</f>
        <v>0</v>
      </c>
      <c r="V112" s="35" t="n">
        <f aca="false">SUMPRODUCT(($A$10:$A$98=A112)*($C$10:$C$98=B112)*($D$10:$D$98=C112)*$F$10:$F$98*AE$10:AE$98)</f>
        <v>0</v>
      </c>
      <c r="W112" s="35" t="n">
        <f aca="false">SUMPRODUCT(($A$10:$A$98=A112)*($C$10:$C$98=B112)*($D$10:$D$98=C112)*$F$10:$F$98*AF$10:AF$98)</f>
        <v>0</v>
      </c>
      <c r="X112" s="35" t="n">
        <f aca="false">SUMPRODUCT(($A$10:$A$98=A112)*($C$10:$C$98=B112)*($D$10:$D$98=C112)*$F$10:$F$98*AG$10:AG$98)</f>
        <v>0</v>
      </c>
      <c r="Y112" s="35" t="n">
        <f aca="false">SUMPRODUCT(($A$10:$A$98=A112)*($C$10:$C$98=B112)*($D$10:$D$98=C112)*$F$10:$F$98*AH$10:AH$98)</f>
        <v>0</v>
      </c>
    </row>
    <row r="113" customFormat="false" ht="15" hidden="false" customHeight="false" outlineLevel="0" collapsed="false">
      <c r="A113" s="24" t="s">
        <v>203</v>
      </c>
      <c r="B113" s="14" t="n">
        <v>2</v>
      </c>
      <c r="C113" s="14" t="n">
        <v>1</v>
      </c>
      <c r="D113" s="36" t="n">
        <f aca="false">SUMPRODUCT(($A$10:$A$98=A113)*($C$10:$C$98=B113)*($D$10:$D$98=C113)*$F$10:$F$98*M$10:M$98)</f>
        <v>0.3</v>
      </c>
      <c r="E113" s="29" t="n">
        <f aca="false">SUMPRODUCT(($A$10:$A$98=A113)*($C$10:$C$98=B113)*($D$10:$D$98=C113)*$F$10:$F$98*N$10:N$98)</f>
        <v>1.5</v>
      </c>
      <c r="F113" s="35" t="n">
        <f aca="false">SUMPRODUCT(($A$10:$A$98=A113)*($C$10:$C$98=B113)*($D$10:$D$98=C113)*$F$10:$F$98*O$10:O$98)</f>
        <v>0.3</v>
      </c>
      <c r="G113" s="35" t="n">
        <f aca="false">SUMPRODUCT(($A$10:$A$98=A113)*($C$10:$C$98=B113)*($D$10:$D$98=C113)*$F$10:$F$98*P$10:P$98)</f>
        <v>0</v>
      </c>
      <c r="H113" s="35" t="n">
        <f aca="false">SUMPRODUCT(($A$10:$A$98=A113)*($C$10:$C$98=B113)*($D$10:$D$98=C113)*$F$10:$F$98*Q$10:Q$98)</f>
        <v>0</v>
      </c>
      <c r="I113" s="35" t="n">
        <f aca="false">SUMPRODUCT(($A$10:$A$98=A113)*($C$10:$C$98=B113)*($D$10:$D$98=C113)*$F$10:$F$98*R$10:R$98)</f>
        <v>0</v>
      </c>
      <c r="J113" s="35" t="n">
        <f aca="false">SUMPRODUCT(($A$10:$A$98=A113)*($C$10:$C$98=B113)*($D$10:$D$98=C113)*$F$10:$F$98*S$10:S$98)</f>
        <v>0</v>
      </c>
      <c r="K113" s="35" t="n">
        <f aca="false">SUMPRODUCT(($A$10:$A$98=A113)*($C$10:$C$98=B113)*($D$10:$D$98=C113)*$F$10:$F$98*T$10:T$98)</f>
        <v>0</v>
      </c>
      <c r="L113" s="35" t="n">
        <f aca="false">SUMPRODUCT(($A$10:$A$98=A113)*($C$10:$C$98=B113)*($D$10:$D$98=C113)*$F$10:$F$98*U$10:U$98)</f>
        <v>0</v>
      </c>
      <c r="M113" s="35" t="n">
        <f aca="false">SUMPRODUCT(($A$10:$A$98=A113)*($C$10:$C$98=B113)*($D$10:$D$98=C113)*$F$10:$F$98*V$10:V$98)</f>
        <v>0</v>
      </c>
      <c r="N113" s="35" t="n">
        <f aca="false">SUMPRODUCT(($A$10:$A$98=A113)*($C$10:$C$98=B113)*($D$10:$D$98=C113)*$F$10:$F$98*W$10:W$98)</f>
        <v>0</v>
      </c>
      <c r="O113" s="35" t="n">
        <f aca="false">SUMPRODUCT(($A$10:$A$98=A113)*($C$10:$C$98=B113)*($D$10:$D$98=C113)*$F$10:$F$98*X$10:X$98)</f>
        <v>0</v>
      </c>
      <c r="P113" s="35" t="n">
        <f aca="false">SUMPRODUCT(($A$10:$A$98=A113)*($C$10:$C$98=B113)*($D$10:$D$98=C113)*$F$10:$F$98*Y$10:Y$98)</f>
        <v>0</v>
      </c>
      <c r="Q113" s="35" t="n">
        <f aca="false">SUMPRODUCT(($A$10:$A$98=A113)*($C$10:$C$98=B113)*($D$10:$D$98=C113)*$F$10:$F$98*Z$10:Z$98)</f>
        <v>0</v>
      </c>
      <c r="R113" s="35" t="n">
        <f aca="false">SUMPRODUCT(($A$10:$A$98=A113)*($C$10:$C$98=B113)*($D$10:$D$98=C113)*$F$10:$F$98*AA$10:AA$98)</f>
        <v>0</v>
      </c>
      <c r="S113" s="35" t="n">
        <f aca="false">SUMPRODUCT(($A$10:$A$98=A113)*($C$10:$C$98=B113)*($D$10:$D$98=C113)*$F$10:$F$98*AB$10:AB$98)</f>
        <v>0</v>
      </c>
      <c r="T113" s="35" t="n">
        <f aca="false">SUMPRODUCT(($A$10:$A$98=A113)*($C$10:$C$98=B113)*($D$10:$D$98=C113)*$F$10:$F$98*AC$10:AC$98)</f>
        <v>0</v>
      </c>
      <c r="U113" s="35" t="n">
        <f aca="false">SUMPRODUCT(($A$10:$A$98=A113)*($C$10:$C$98=B113)*($D$10:$D$98=C113)*$F$10:$F$98*AD$10:AD$98)</f>
        <v>0</v>
      </c>
      <c r="V113" s="35" t="n">
        <f aca="false">SUMPRODUCT(($A$10:$A$98=A113)*($C$10:$C$98=B113)*($D$10:$D$98=C113)*$F$10:$F$98*AE$10:AE$98)</f>
        <v>0</v>
      </c>
      <c r="W113" s="35" t="n">
        <f aca="false">SUMPRODUCT(($A$10:$A$98=A113)*($C$10:$C$98=B113)*($D$10:$D$98=C113)*$F$10:$F$98*AF$10:AF$98)</f>
        <v>0</v>
      </c>
      <c r="X113" s="35" t="n">
        <f aca="false">SUMPRODUCT(($A$10:$A$98=A113)*($C$10:$C$98=B113)*($D$10:$D$98=C113)*$F$10:$F$98*AG$10:AG$98)</f>
        <v>0</v>
      </c>
      <c r="Y113" s="35" t="n">
        <f aca="false">SUMPRODUCT(($A$10:$A$98=A113)*($C$10:$C$98=B113)*($D$10:$D$98=C113)*$F$10:$F$98*AH$10:AH$98)</f>
        <v>0</v>
      </c>
    </row>
    <row r="114" customFormat="false" ht="15" hidden="false" customHeight="false" outlineLevel="0" collapsed="false">
      <c r="A114" s="24" t="s">
        <v>205</v>
      </c>
      <c r="B114" s="14" t="n">
        <v>1</v>
      </c>
      <c r="C114" s="14" t="n">
        <v>0</v>
      </c>
      <c r="D114" s="36" t="n">
        <f aca="false">SUMPRODUCT(($A$10:$A$98=A114)*($C$10:$C$98=B114)*($D$10:$D$98=C114)*$F$10:$F$98*M$10:M$98)</f>
        <v>0.933333333333333</v>
      </c>
      <c r="E114" s="29" t="n">
        <f aca="false">SUMPRODUCT(($A$10:$A$98=A114)*($C$10:$C$98=B114)*($D$10:$D$98=C114)*$F$10:$F$98*N$10:N$98)</f>
        <v>4.66666666666667</v>
      </c>
      <c r="F114" s="35" t="n">
        <f aca="false">SUMPRODUCT(($A$10:$A$98=A114)*($C$10:$C$98=B114)*($D$10:$D$98=C114)*$F$10:$F$98*O$10:O$98)</f>
        <v>0.933333333333333</v>
      </c>
      <c r="G114" s="35" t="n">
        <f aca="false">SUMPRODUCT(($A$10:$A$98=A114)*($C$10:$C$98=B114)*($D$10:$D$98=C114)*$F$10:$F$98*P$10:P$98)</f>
        <v>0</v>
      </c>
      <c r="H114" s="35" t="n">
        <f aca="false">SUMPRODUCT(($A$10:$A$98=A114)*($C$10:$C$98=B114)*($D$10:$D$98=C114)*$F$10:$F$98*Q$10:Q$98)</f>
        <v>0</v>
      </c>
      <c r="I114" s="35" t="n">
        <f aca="false">SUMPRODUCT(($A$10:$A$98=A114)*($C$10:$C$98=B114)*($D$10:$D$98=C114)*$F$10:$F$98*R$10:R$98)</f>
        <v>0</v>
      </c>
      <c r="J114" s="35" t="n">
        <f aca="false">SUMPRODUCT(($A$10:$A$98=A114)*($C$10:$C$98=B114)*($D$10:$D$98=C114)*$F$10:$F$98*S$10:S$98)</f>
        <v>0</v>
      </c>
      <c r="K114" s="35" t="n">
        <f aca="false">SUMPRODUCT(($A$10:$A$98=A114)*($C$10:$C$98=B114)*($D$10:$D$98=C114)*$F$10:$F$98*T$10:T$98)</f>
        <v>0</v>
      </c>
      <c r="L114" s="35" t="n">
        <f aca="false">SUMPRODUCT(($A$10:$A$98=A114)*($C$10:$C$98=B114)*($D$10:$D$98=C114)*$F$10:$F$98*U$10:U$98)</f>
        <v>0</v>
      </c>
      <c r="M114" s="35" t="n">
        <f aca="false">SUMPRODUCT(($A$10:$A$98=A114)*($C$10:$C$98=B114)*($D$10:$D$98=C114)*$F$10:$F$98*V$10:V$98)</f>
        <v>0</v>
      </c>
      <c r="N114" s="35" t="n">
        <f aca="false">SUMPRODUCT(($A$10:$A$98=A114)*($C$10:$C$98=B114)*($D$10:$D$98=C114)*$F$10:$F$98*W$10:W$98)</f>
        <v>0</v>
      </c>
      <c r="O114" s="35" t="n">
        <f aca="false">SUMPRODUCT(($A$10:$A$98=A114)*($C$10:$C$98=B114)*($D$10:$D$98=C114)*$F$10:$F$98*X$10:X$98)</f>
        <v>0</v>
      </c>
      <c r="P114" s="35" t="n">
        <f aca="false">SUMPRODUCT(($A$10:$A$98=A114)*($C$10:$C$98=B114)*($D$10:$D$98=C114)*$F$10:$F$98*Y$10:Y$98)</f>
        <v>0</v>
      </c>
      <c r="Q114" s="35" t="n">
        <f aca="false">SUMPRODUCT(($A$10:$A$98=A114)*($C$10:$C$98=B114)*($D$10:$D$98=C114)*$F$10:$F$98*Z$10:Z$98)</f>
        <v>0</v>
      </c>
      <c r="R114" s="35" t="n">
        <f aca="false">SUMPRODUCT(($A$10:$A$98=A114)*($C$10:$C$98=B114)*($D$10:$D$98=C114)*$F$10:$F$98*AA$10:AA$98)</f>
        <v>0</v>
      </c>
      <c r="S114" s="35" t="n">
        <f aca="false">SUMPRODUCT(($A$10:$A$98=A114)*($C$10:$C$98=B114)*($D$10:$D$98=C114)*$F$10:$F$98*AB$10:AB$98)</f>
        <v>0</v>
      </c>
      <c r="T114" s="35" t="n">
        <f aca="false">SUMPRODUCT(($A$10:$A$98=A114)*($C$10:$C$98=B114)*($D$10:$D$98=C114)*$F$10:$F$98*AC$10:AC$98)</f>
        <v>0</v>
      </c>
      <c r="U114" s="35" t="n">
        <f aca="false">SUMPRODUCT(($A$10:$A$98=A114)*($C$10:$C$98=B114)*($D$10:$D$98=C114)*$F$10:$F$98*AD$10:AD$98)</f>
        <v>0</v>
      </c>
      <c r="V114" s="35" t="n">
        <f aca="false">SUMPRODUCT(($A$10:$A$98=A114)*($C$10:$C$98=B114)*($D$10:$D$98=C114)*$F$10:$F$98*AE$10:AE$98)</f>
        <v>0</v>
      </c>
      <c r="W114" s="35" t="n">
        <f aca="false">SUMPRODUCT(($A$10:$A$98=A114)*($C$10:$C$98=B114)*($D$10:$D$98=C114)*$F$10:$F$98*AF$10:AF$98)</f>
        <v>0</v>
      </c>
      <c r="X114" s="35" t="n">
        <f aca="false">SUMPRODUCT(($A$10:$A$98=A114)*($C$10:$C$98=B114)*($D$10:$D$98=C114)*$F$10:$F$98*AG$10:AG$98)</f>
        <v>0</v>
      </c>
      <c r="Y114" s="35" t="n">
        <f aca="false">SUMPRODUCT(($A$10:$A$98=A114)*($C$10:$C$98=B114)*($D$10:$D$98=C114)*$F$10:$F$98*AH$10:AH$98)</f>
        <v>0</v>
      </c>
    </row>
    <row r="115" customFormat="false" ht="15" hidden="false" customHeight="false" outlineLevel="0" collapsed="false">
      <c r="A115" s="24" t="s">
        <v>205</v>
      </c>
      <c r="B115" s="14" t="n">
        <v>1</v>
      </c>
      <c r="C115" s="14" t="n">
        <v>1</v>
      </c>
      <c r="D115" s="36" t="n">
        <f aca="false">SUMPRODUCT(($A$10:$A$98=A115)*($C$10:$C$98=B115)*($D$10:$D$98=C115)*$F$10:$F$98*M$10:M$98)</f>
        <v>0.378</v>
      </c>
      <c r="E115" s="29" t="n">
        <f aca="false">SUMPRODUCT(($A$10:$A$98=A115)*($C$10:$C$98=B115)*($D$10:$D$98=C115)*$F$10:$F$98*N$10:N$98)</f>
        <v>1.89</v>
      </c>
      <c r="F115" s="35" t="n">
        <f aca="false">SUMPRODUCT(($A$10:$A$98=A115)*($C$10:$C$98=B115)*($D$10:$D$98=C115)*$F$10:$F$98*O$10:O$98)</f>
        <v>0.378</v>
      </c>
      <c r="G115" s="35" t="n">
        <f aca="false">SUMPRODUCT(($A$10:$A$98=A115)*($C$10:$C$98=B115)*($D$10:$D$98=C115)*$F$10:$F$98*P$10:P$98)</f>
        <v>0</v>
      </c>
      <c r="H115" s="35" t="n">
        <f aca="false">SUMPRODUCT(($A$10:$A$98=A115)*($C$10:$C$98=B115)*($D$10:$D$98=C115)*$F$10:$F$98*Q$10:Q$98)</f>
        <v>0</v>
      </c>
      <c r="I115" s="35" t="n">
        <f aca="false">SUMPRODUCT(($A$10:$A$98=A115)*($C$10:$C$98=B115)*($D$10:$D$98=C115)*$F$10:$F$98*R$10:R$98)</f>
        <v>0</v>
      </c>
      <c r="J115" s="35" t="n">
        <f aca="false">SUMPRODUCT(($A$10:$A$98=A115)*($C$10:$C$98=B115)*($D$10:$D$98=C115)*$F$10:$F$98*S$10:S$98)</f>
        <v>0</v>
      </c>
      <c r="K115" s="35" t="n">
        <f aca="false">SUMPRODUCT(($A$10:$A$98=A115)*($C$10:$C$98=B115)*($D$10:$D$98=C115)*$F$10:$F$98*T$10:T$98)</f>
        <v>0</v>
      </c>
      <c r="L115" s="35" t="n">
        <f aca="false">SUMPRODUCT(($A$10:$A$98=A115)*($C$10:$C$98=B115)*($D$10:$D$98=C115)*$F$10:$F$98*U$10:U$98)</f>
        <v>0</v>
      </c>
      <c r="M115" s="35" t="n">
        <f aca="false">SUMPRODUCT(($A$10:$A$98=A115)*($C$10:$C$98=B115)*($D$10:$D$98=C115)*$F$10:$F$98*V$10:V$98)</f>
        <v>0</v>
      </c>
      <c r="N115" s="35" t="n">
        <f aca="false">SUMPRODUCT(($A$10:$A$98=A115)*($C$10:$C$98=B115)*($D$10:$D$98=C115)*$F$10:$F$98*W$10:W$98)</f>
        <v>0</v>
      </c>
      <c r="O115" s="35" t="n">
        <f aca="false">SUMPRODUCT(($A$10:$A$98=A115)*($C$10:$C$98=B115)*($D$10:$D$98=C115)*$F$10:$F$98*X$10:X$98)</f>
        <v>0</v>
      </c>
      <c r="P115" s="35" t="n">
        <f aca="false">SUMPRODUCT(($A$10:$A$98=A115)*($C$10:$C$98=B115)*($D$10:$D$98=C115)*$F$10:$F$98*Y$10:Y$98)</f>
        <v>0</v>
      </c>
      <c r="Q115" s="35" t="n">
        <f aca="false">SUMPRODUCT(($A$10:$A$98=A115)*($C$10:$C$98=B115)*($D$10:$D$98=C115)*$F$10:$F$98*Z$10:Z$98)</f>
        <v>0</v>
      </c>
      <c r="R115" s="35" t="n">
        <f aca="false">SUMPRODUCT(($A$10:$A$98=A115)*($C$10:$C$98=B115)*($D$10:$D$98=C115)*$F$10:$F$98*AA$10:AA$98)</f>
        <v>0</v>
      </c>
      <c r="S115" s="35" t="n">
        <f aca="false">SUMPRODUCT(($A$10:$A$98=A115)*($C$10:$C$98=B115)*($D$10:$D$98=C115)*$F$10:$F$98*AB$10:AB$98)</f>
        <v>0</v>
      </c>
      <c r="T115" s="35" t="n">
        <f aca="false">SUMPRODUCT(($A$10:$A$98=A115)*($C$10:$C$98=B115)*($D$10:$D$98=C115)*$F$10:$F$98*AC$10:AC$98)</f>
        <v>0</v>
      </c>
      <c r="U115" s="35" t="n">
        <f aca="false">SUMPRODUCT(($A$10:$A$98=A115)*($C$10:$C$98=B115)*($D$10:$D$98=C115)*$F$10:$F$98*AD$10:AD$98)</f>
        <v>0</v>
      </c>
      <c r="V115" s="35" t="n">
        <f aca="false">SUMPRODUCT(($A$10:$A$98=A115)*($C$10:$C$98=B115)*($D$10:$D$98=C115)*$F$10:$F$98*AE$10:AE$98)</f>
        <v>0</v>
      </c>
      <c r="W115" s="35" t="n">
        <f aca="false">SUMPRODUCT(($A$10:$A$98=A115)*($C$10:$C$98=B115)*($D$10:$D$98=C115)*$F$10:$F$98*AF$10:AF$98)</f>
        <v>0</v>
      </c>
      <c r="X115" s="35" t="n">
        <f aca="false">SUMPRODUCT(($A$10:$A$98=A115)*($C$10:$C$98=B115)*($D$10:$D$98=C115)*$F$10:$F$98*AG$10:AG$98)</f>
        <v>0</v>
      </c>
      <c r="Y115" s="35" t="n">
        <f aca="false">SUMPRODUCT(($A$10:$A$98=A115)*($C$10:$C$98=B115)*($D$10:$D$98=C115)*$F$10:$F$98*AH$10:AH$98)</f>
        <v>0</v>
      </c>
    </row>
    <row r="116" customFormat="false" ht="15" hidden="false" customHeight="false" outlineLevel="0" collapsed="false">
      <c r="A116" s="24" t="s">
        <v>205</v>
      </c>
      <c r="B116" s="14" t="n">
        <v>2</v>
      </c>
      <c r="C116" s="14" t="n">
        <v>0</v>
      </c>
      <c r="D116" s="36" t="n">
        <f aca="false">SUMPRODUCT(($A$10:$A$98=A116)*($C$10:$C$98=B116)*($D$10:$D$98=C116)*$F$10:$F$98*M$10:M$98)</f>
        <v>1</v>
      </c>
      <c r="E116" s="29" t="n">
        <f aca="false">SUMPRODUCT(($A$10:$A$98=A116)*($C$10:$C$98=B116)*($D$10:$D$98=C116)*$F$10:$F$98*N$10:N$98)</f>
        <v>5</v>
      </c>
      <c r="F116" s="35" t="n">
        <f aca="false">SUMPRODUCT(($A$10:$A$98=A116)*($C$10:$C$98=B116)*($D$10:$D$98=C116)*$F$10:$F$98*O$10:O$98)</f>
        <v>1</v>
      </c>
      <c r="G116" s="35" t="n">
        <f aca="false">SUMPRODUCT(($A$10:$A$98=A116)*($C$10:$C$98=B116)*($D$10:$D$98=C116)*$F$10:$F$98*P$10:P$98)</f>
        <v>0</v>
      </c>
      <c r="H116" s="35" t="n">
        <f aca="false">SUMPRODUCT(($A$10:$A$98=A116)*($C$10:$C$98=B116)*($D$10:$D$98=C116)*$F$10:$F$98*Q$10:Q$98)</f>
        <v>0</v>
      </c>
      <c r="I116" s="35" t="n">
        <f aca="false">SUMPRODUCT(($A$10:$A$98=A116)*($C$10:$C$98=B116)*($D$10:$D$98=C116)*$F$10:$F$98*R$10:R$98)</f>
        <v>0</v>
      </c>
      <c r="J116" s="35" t="n">
        <f aca="false">SUMPRODUCT(($A$10:$A$98=A116)*($C$10:$C$98=B116)*($D$10:$D$98=C116)*$F$10:$F$98*S$10:S$98)</f>
        <v>0</v>
      </c>
      <c r="K116" s="35" t="n">
        <f aca="false">SUMPRODUCT(($A$10:$A$98=A116)*($C$10:$C$98=B116)*($D$10:$D$98=C116)*$F$10:$F$98*T$10:T$98)</f>
        <v>0</v>
      </c>
      <c r="L116" s="35" t="n">
        <f aca="false">SUMPRODUCT(($A$10:$A$98=A116)*($C$10:$C$98=B116)*($D$10:$D$98=C116)*$F$10:$F$98*U$10:U$98)</f>
        <v>0</v>
      </c>
      <c r="M116" s="35" t="n">
        <f aca="false">SUMPRODUCT(($A$10:$A$98=A116)*($C$10:$C$98=B116)*($D$10:$D$98=C116)*$F$10:$F$98*V$10:V$98)</f>
        <v>0</v>
      </c>
      <c r="N116" s="35" t="n">
        <f aca="false">SUMPRODUCT(($A$10:$A$98=A116)*($C$10:$C$98=B116)*($D$10:$D$98=C116)*$F$10:$F$98*W$10:W$98)</f>
        <v>0</v>
      </c>
      <c r="O116" s="35" t="n">
        <f aca="false">SUMPRODUCT(($A$10:$A$98=A116)*($C$10:$C$98=B116)*($D$10:$D$98=C116)*$F$10:$F$98*X$10:X$98)</f>
        <v>0</v>
      </c>
      <c r="P116" s="35" t="n">
        <f aca="false">SUMPRODUCT(($A$10:$A$98=A116)*($C$10:$C$98=B116)*($D$10:$D$98=C116)*$F$10:$F$98*Y$10:Y$98)</f>
        <v>0</v>
      </c>
      <c r="Q116" s="35" t="n">
        <f aca="false">SUMPRODUCT(($A$10:$A$98=A116)*($C$10:$C$98=B116)*($D$10:$D$98=C116)*$F$10:$F$98*Z$10:Z$98)</f>
        <v>0</v>
      </c>
      <c r="R116" s="35" t="n">
        <f aca="false">SUMPRODUCT(($A$10:$A$98=A116)*($C$10:$C$98=B116)*($D$10:$D$98=C116)*$F$10:$F$98*AA$10:AA$98)</f>
        <v>0</v>
      </c>
      <c r="S116" s="35" t="n">
        <f aca="false">SUMPRODUCT(($A$10:$A$98=A116)*($C$10:$C$98=B116)*($D$10:$D$98=C116)*$F$10:$F$98*AB$10:AB$98)</f>
        <v>0</v>
      </c>
      <c r="T116" s="35" t="n">
        <f aca="false">SUMPRODUCT(($A$10:$A$98=A116)*($C$10:$C$98=B116)*($D$10:$D$98=C116)*$F$10:$F$98*AC$10:AC$98)</f>
        <v>0</v>
      </c>
      <c r="U116" s="35" t="n">
        <f aca="false">SUMPRODUCT(($A$10:$A$98=A116)*($C$10:$C$98=B116)*($D$10:$D$98=C116)*$F$10:$F$98*AD$10:AD$98)</f>
        <v>0</v>
      </c>
      <c r="V116" s="35" t="n">
        <f aca="false">SUMPRODUCT(($A$10:$A$98=A116)*($C$10:$C$98=B116)*($D$10:$D$98=C116)*$F$10:$F$98*AE$10:AE$98)</f>
        <v>0</v>
      </c>
      <c r="W116" s="35" t="n">
        <f aca="false">SUMPRODUCT(($A$10:$A$98=A116)*($C$10:$C$98=B116)*($D$10:$D$98=C116)*$F$10:$F$98*AF$10:AF$98)</f>
        <v>0</v>
      </c>
      <c r="X116" s="35" t="n">
        <f aca="false">SUMPRODUCT(($A$10:$A$98=A116)*($C$10:$C$98=B116)*($D$10:$D$98=C116)*$F$10:$F$98*AG$10:AG$98)</f>
        <v>0</v>
      </c>
      <c r="Y116" s="35" t="n">
        <f aca="false">SUMPRODUCT(($A$10:$A$98=A116)*($C$10:$C$98=B116)*($D$10:$D$98=C116)*$F$10:$F$98*AH$10:AH$98)</f>
        <v>0</v>
      </c>
    </row>
    <row r="117" customFormat="false" ht="15" hidden="false" customHeight="false" outlineLevel="0" collapsed="false">
      <c r="A117" s="24" t="s">
        <v>205</v>
      </c>
      <c r="B117" s="14" t="n">
        <v>2</v>
      </c>
      <c r="C117" s="14" t="n">
        <v>1</v>
      </c>
      <c r="D117" s="36" t="n">
        <f aca="false">SUMPRODUCT(($A$10:$A$98=A117)*($C$10:$C$98=B117)*($D$10:$D$98=C117)*$F$10:$F$98*M$10:M$98)</f>
        <v>0.3</v>
      </c>
      <c r="E117" s="29" t="n">
        <f aca="false">SUMPRODUCT(($A$10:$A$98=A117)*($C$10:$C$98=B117)*($D$10:$D$98=C117)*$F$10:$F$98*N$10:N$98)</f>
        <v>1.5</v>
      </c>
      <c r="F117" s="35" t="n">
        <f aca="false">SUMPRODUCT(($A$10:$A$98=A117)*($C$10:$C$98=B117)*($D$10:$D$98=C117)*$F$10:$F$98*O$10:O$98)</f>
        <v>0.3</v>
      </c>
      <c r="G117" s="35" t="n">
        <f aca="false">SUMPRODUCT(($A$10:$A$98=A117)*($C$10:$C$98=B117)*($D$10:$D$98=C117)*$F$10:$F$98*P$10:P$98)</f>
        <v>0</v>
      </c>
      <c r="H117" s="35" t="n">
        <f aca="false">SUMPRODUCT(($A$10:$A$98=A117)*($C$10:$C$98=B117)*($D$10:$D$98=C117)*$F$10:$F$98*Q$10:Q$98)</f>
        <v>0</v>
      </c>
      <c r="I117" s="35" t="n">
        <f aca="false">SUMPRODUCT(($A$10:$A$98=A117)*($C$10:$C$98=B117)*($D$10:$D$98=C117)*$F$10:$F$98*R$10:R$98)</f>
        <v>0</v>
      </c>
      <c r="J117" s="35" t="n">
        <f aca="false">SUMPRODUCT(($A$10:$A$98=A117)*($C$10:$C$98=B117)*($D$10:$D$98=C117)*$F$10:$F$98*S$10:S$98)</f>
        <v>0</v>
      </c>
      <c r="K117" s="35" t="n">
        <f aca="false">SUMPRODUCT(($A$10:$A$98=A117)*($C$10:$C$98=B117)*($D$10:$D$98=C117)*$F$10:$F$98*T$10:T$98)</f>
        <v>0</v>
      </c>
      <c r="L117" s="35" t="n">
        <f aca="false">SUMPRODUCT(($A$10:$A$98=A117)*($C$10:$C$98=B117)*($D$10:$D$98=C117)*$F$10:$F$98*U$10:U$98)</f>
        <v>0</v>
      </c>
      <c r="M117" s="35" t="n">
        <f aca="false">SUMPRODUCT(($A$10:$A$98=A117)*($C$10:$C$98=B117)*($D$10:$D$98=C117)*$F$10:$F$98*V$10:V$98)</f>
        <v>0</v>
      </c>
      <c r="N117" s="35" t="n">
        <f aca="false">SUMPRODUCT(($A$10:$A$98=A117)*($C$10:$C$98=B117)*($D$10:$D$98=C117)*$F$10:$F$98*W$10:W$98)</f>
        <v>0</v>
      </c>
      <c r="O117" s="35" t="n">
        <f aca="false">SUMPRODUCT(($A$10:$A$98=A117)*($C$10:$C$98=B117)*($D$10:$D$98=C117)*$F$10:$F$98*X$10:X$98)</f>
        <v>0</v>
      </c>
      <c r="P117" s="35" t="n">
        <f aca="false">SUMPRODUCT(($A$10:$A$98=A117)*($C$10:$C$98=B117)*($D$10:$D$98=C117)*$F$10:$F$98*Y$10:Y$98)</f>
        <v>0</v>
      </c>
      <c r="Q117" s="35" t="n">
        <f aca="false">SUMPRODUCT(($A$10:$A$98=A117)*($C$10:$C$98=B117)*($D$10:$D$98=C117)*$F$10:$F$98*Z$10:Z$98)</f>
        <v>0</v>
      </c>
      <c r="R117" s="35" t="n">
        <f aca="false">SUMPRODUCT(($A$10:$A$98=A117)*($C$10:$C$98=B117)*($D$10:$D$98=C117)*$F$10:$F$98*AA$10:AA$98)</f>
        <v>0</v>
      </c>
      <c r="S117" s="35" t="n">
        <f aca="false">SUMPRODUCT(($A$10:$A$98=A117)*($C$10:$C$98=B117)*($D$10:$D$98=C117)*$F$10:$F$98*AB$10:AB$98)</f>
        <v>0</v>
      </c>
      <c r="T117" s="35" t="n">
        <f aca="false">SUMPRODUCT(($A$10:$A$98=A117)*($C$10:$C$98=B117)*($D$10:$D$98=C117)*$F$10:$F$98*AC$10:AC$98)</f>
        <v>0</v>
      </c>
      <c r="U117" s="35" t="n">
        <f aca="false">SUMPRODUCT(($A$10:$A$98=A117)*($C$10:$C$98=B117)*($D$10:$D$98=C117)*$F$10:$F$98*AD$10:AD$98)</f>
        <v>0</v>
      </c>
      <c r="V117" s="35" t="n">
        <f aca="false">SUMPRODUCT(($A$10:$A$98=A117)*($C$10:$C$98=B117)*($D$10:$D$98=C117)*$F$10:$F$98*AE$10:AE$98)</f>
        <v>0</v>
      </c>
      <c r="W117" s="35" t="n">
        <f aca="false">SUMPRODUCT(($A$10:$A$98=A117)*($C$10:$C$98=B117)*($D$10:$D$98=C117)*$F$10:$F$98*AF$10:AF$98)</f>
        <v>0</v>
      </c>
      <c r="X117" s="35" t="n">
        <f aca="false">SUMPRODUCT(($A$10:$A$98=A117)*($C$10:$C$98=B117)*($D$10:$D$98=C117)*$F$10:$F$98*AG$10:AG$98)</f>
        <v>0</v>
      </c>
      <c r="Y117" s="35" t="n">
        <f aca="false">SUMPRODUCT(($A$10:$A$98=A117)*($C$10:$C$98=B117)*($D$10:$D$98=C117)*$F$10:$F$98*AH$10:AH$98)</f>
        <v>0</v>
      </c>
    </row>
    <row r="118" customFormat="false" ht="15" hidden="false" customHeight="false" outlineLevel="0" collapsed="false">
      <c r="A118" s="24" t="s">
        <v>207</v>
      </c>
      <c r="B118" s="14" t="n">
        <v>1</v>
      </c>
      <c r="C118" s="14" t="n">
        <v>0</v>
      </c>
      <c r="D118" s="36" t="n">
        <f aca="false">SUMPRODUCT(($A$10:$A$98=A118)*($C$10:$C$98=B118)*($D$10:$D$98=C118)*$F$10:$F$98*M$10:M$98)</f>
        <v>2.6</v>
      </c>
      <c r="E118" s="29" t="n">
        <f aca="false">SUMPRODUCT(($A$10:$A$98=A118)*($C$10:$C$98=B118)*($D$10:$D$98=C118)*$F$10:$F$98*N$10:N$98)</f>
        <v>13</v>
      </c>
      <c r="F118" s="35" t="n">
        <f aca="false">SUMPRODUCT(($A$10:$A$98=A118)*($C$10:$C$98=B118)*($D$10:$D$98=C118)*$F$10:$F$98*O$10:O$98)</f>
        <v>0.933333333333333</v>
      </c>
      <c r="G118" s="35" t="n">
        <f aca="false">SUMPRODUCT(($A$10:$A$98=A118)*($C$10:$C$98=B118)*($D$10:$D$98=C118)*$F$10:$F$98*P$10:P$98)</f>
        <v>0.866666666666667</v>
      </c>
      <c r="H118" s="35" t="n">
        <f aca="false">SUMPRODUCT(($A$10:$A$98=A118)*($C$10:$C$98=B118)*($D$10:$D$98=C118)*$F$10:$F$98*Q$10:Q$98)</f>
        <v>0.8</v>
      </c>
      <c r="I118" s="35" t="n">
        <f aca="false">SUMPRODUCT(($A$10:$A$98=A118)*($C$10:$C$98=B118)*($D$10:$D$98=C118)*$F$10:$F$98*R$10:R$98)</f>
        <v>0</v>
      </c>
      <c r="J118" s="35" t="n">
        <f aca="false">SUMPRODUCT(($A$10:$A$98=A118)*($C$10:$C$98=B118)*($D$10:$D$98=C118)*$F$10:$F$98*S$10:S$98)</f>
        <v>0</v>
      </c>
      <c r="K118" s="35" t="n">
        <f aca="false">SUMPRODUCT(($A$10:$A$98=A118)*($C$10:$C$98=B118)*($D$10:$D$98=C118)*$F$10:$F$98*T$10:T$98)</f>
        <v>0</v>
      </c>
      <c r="L118" s="35" t="n">
        <f aca="false">SUMPRODUCT(($A$10:$A$98=A118)*($C$10:$C$98=B118)*($D$10:$D$98=C118)*$F$10:$F$98*U$10:U$98)</f>
        <v>0</v>
      </c>
      <c r="M118" s="35" t="n">
        <f aca="false">SUMPRODUCT(($A$10:$A$98=A118)*($C$10:$C$98=B118)*($D$10:$D$98=C118)*$F$10:$F$98*V$10:V$98)</f>
        <v>0</v>
      </c>
      <c r="N118" s="35" t="n">
        <f aca="false">SUMPRODUCT(($A$10:$A$98=A118)*($C$10:$C$98=B118)*($D$10:$D$98=C118)*$F$10:$F$98*W$10:W$98)</f>
        <v>0</v>
      </c>
      <c r="O118" s="35" t="n">
        <f aca="false">SUMPRODUCT(($A$10:$A$98=A118)*($C$10:$C$98=B118)*($D$10:$D$98=C118)*$F$10:$F$98*X$10:X$98)</f>
        <v>0</v>
      </c>
      <c r="P118" s="35" t="n">
        <f aca="false">SUMPRODUCT(($A$10:$A$98=A118)*($C$10:$C$98=B118)*($D$10:$D$98=C118)*$F$10:$F$98*Y$10:Y$98)</f>
        <v>0</v>
      </c>
      <c r="Q118" s="35" t="n">
        <f aca="false">SUMPRODUCT(($A$10:$A$98=A118)*($C$10:$C$98=B118)*($D$10:$D$98=C118)*$F$10:$F$98*Z$10:Z$98)</f>
        <v>0</v>
      </c>
      <c r="R118" s="35" t="n">
        <f aca="false">SUMPRODUCT(($A$10:$A$98=A118)*($C$10:$C$98=B118)*($D$10:$D$98=C118)*$F$10:$F$98*AA$10:AA$98)</f>
        <v>0</v>
      </c>
      <c r="S118" s="35" t="n">
        <f aca="false">SUMPRODUCT(($A$10:$A$98=A118)*($C$10:$C$98=B118)*($D$10:$D$98=C118)*$F$10:$F$98*AB$10:AB$98)</f>
        <v>0</v>
      </c>
      <c r="T118" s="35" t="n">
        <f aca="false">SUMPRODUCT(($A$10:$A$98=A118)*($C$10:$C$98=B118)*($D$10:$D$98=C118)*$F$10:$F$98*AC$10:AC$98)</f>
        <v>0</v>
      </c>
      <c r="U118" s="35" t="n">
        <f aca="false">SUMPRODUCT(($A$10:$A$98=A118)*($C$10:$C$98=B118)*($D$10:$D$98=C118)*$F$10:$F$98*AD$10:AD$98)</f>
        <v>0</v>
      </c>
      <c r="V118" s="35" t="n">
        <f aca="false">SUMPRODUCT(($A$10:$A$98=A118)*($C$10:$C$98=B118)*($D$10:$D$98=C118)*$F$10:$F$98*AE$10:AE$98)</f>
        <v>0</v>
      </c>
      <c r="W118" s="35" t="n">
        <f aca="false">SUMPRODUCT(($A$10:$A$98=A118)*($C$10:$C$98=B118)*($D$10:$D$98=C118)*$F$10:$F$98*AF$10:AF$98)</f>
        <v>0</v>
      </c>
      <c r="X118" s="35" t="n">
        <f aca="false">SUMPRODUCT(($A$10:$A$98=A118)*($C$10:$C$98=B118)*($D$10:$D$98=C118)*$F$10:$F$98*AG$10:AG$98)</f>
        <v>0</v>
      </c>
      <c r="Y118" s="35" t="n">
        <f aca="false">SUMPRODUCT(($A$10:$A$98=A118)*($C$10:$C$98=B118)*($D$10:$D$98=C118)*$F$10:$F$98*AH$10:AH$98)</f>
        <v>0</v>
      </c>
    </row>
    <row r="119" customFormat="false" ht="15" hidden="false" customHeight="false" outlineLevel="0" collapsed="false">
      <c r="A119" s="24" t="s">
        <v>207</v>
      </c>
      <c r="B119" s="14" t="n">
        <v>1</v>
      </c>
      <c r="C119" s="14" t="n">
        <v>1</v>
      </c>
      <c r="D119" s="36" t="n">
        <f aca="false">SUMPRODUCT(($A$10:$A$98=A119)*($C$10:$C$98=B119)*($D$10:$D$98=C119)*$F$10:$F$98*M$10:M$98)</f>
        <v>0.4776</v>
      </c>
      <c r="E119" s="29" t="n">
        <f aca="false">SUMPRODUCT(($A$10:$A$98=A119)*($C$10:$C$98=B119)*($D$10:$D$98=C119)*$F$10:$F$98*N$10:N$98)</f>
        <v>2.388</v>
      </c>
      <c r="F119" s="35" t="n">
        <f aca="false">SUMPRODUCT(($A$10:$A$98=A119)*($C$10:$C$98=B119)*($D$10:$D$98=C119)*$F$10:$F$98*O$10:O$98)</f>
        <v>0.378</v>
      </c>
      <c r="G119" s="35" t="n">
        <f aca="false">SUMPRODUCT(($A$10:$A$98=A119)*($C$10:$C$98=B119)*($D$10:$D$98=C119)*$F$10:$F$98*P$10:P$98)</f>
        <v>0.0780000000000001</v>
      </c>
      <c r="H119" s="35" t="n">
        <f aca="false">SUMPRODUCT(($A$10:$A$98=A119)*($C$10:$C$98=B119)*($D$10:$D$98=C119)*$F$10:$F$98*Q$10:Q$98)</f>
        <v>0.0216</v>
      </c>
      <c r="I119" s="35" t="n">
        <f aca="false">SUMPRODUCT(($A$10:$A$98=A119)*($C$10:$C$98=B119)*($D$10:$D$98=C119)*$F$10:$F$98*R$10:R$98)</f>
        <v>0</v>
      </c>
      <c r="J119" s="35" t="n">
        <f aca="false">SUMPRODUCT(($A$10:$A$98=A119)*($C$10:$C$98=B119)*($D$10:$D$98=C119)*$F$10:$F$98*S$10:S$98)</f>
        <v>0</v>
      </c>
      <c r="K119" s="35" t="n">
        <f aca="false">SUMPRODUCT(($A$10:$A$98=A119)*($C$10:$C$98=B119)*($D$10:$D$98=C119)*$F$10:$F$98*T$10:T$98)</f>
        <v>0</v>
      </c>
      <c r="L119" s="35" t="n">
        <f aca="false">SUMPRODUCT(($A$10:$A$98=A119)*($C$10:$C$98=B119)*($D$10:$D$98=C119)*$F$10:$F$98*U$10:U$98)</f>
        <v>0</v>
      </c>
      <c r="M119" s="35" t="n">
        <f aca="false">SUMPRODUCT(($A$10:$A$98=A119)*($C$10:$C$98=B119)*($D$10:$D$98=C119)*$F$10:$F$98*V$10:V$98)</f>
        <v>0</v>
      </c>
      <c r="N119" s="35" t="n">
        <f aca="false">SUMPRODUCT(($A$10:$A$98=A119)*($C$10:$C$98=B119)*($D$10:$D$98=C119)*$F$10:$F$98*W$10:W$98)</f>
        <v>0</v>
      </c>
      <c r="O119" s="35" t="n">
        <f aca="false">SUMPRODUCT(($A$10:$A$98=A119)*($C$10:$C$98=B119)*($D$10:$D$98=C119)*$F$10:$F$98*X$10:X$98)</f>
        <v>0</v>
      </c>
      <c r="P119" s="35" t="n">
        <f aca="false">SUMPRODUCT(($A$10:$A$98=A119)*($C$10:$C$98=B119)*($D$10:$D$98=C119)*$F$10:$F$98*Y$10:Y$98)</f>
        <v>0</v>
      </c>
      <c r="Q119" s="35" t="n">
        <f aca="false">SUMPRODUCT(($A$10:$A$98=A119)*($C$10:$C$98=B119)*($D$10:$D$98=C119)*$F$10:$F$98*Z$10:Z$98)</f>
        <v>0</v>
      </c>
      <c r="R119" s="35" t="n">
        <f aca="false">SUMPRODUCT(($A$10:$A$98=A119)*($C$10:$C$98=B119)*($D$10:$D$98=C119)*$F$10:$F$98*AA$10:AA$98)</f>
        <v>0</v>
      </c>
      <c r="S119" s="35" t="n">
        <f aca="false">SUMPRODUCT(($A$10:$A$98=A119)*($C$10:$C$98=B119)*($D$10:$D$98=C119)*$F$10:$F$98*AB$10:AB$98)</f>
        <v>0</v>
      </c>
      <c r="T119" s="35" t="n">
        <f aca="false">SUMPRODUCT(($A$10:$A$98=A119)*($C$10:$C$98=B119)*($D$10:$D$98=C119)*$F$10:$F$98*AC$10:AC$98)</f>
        <v>0</v>
      </c>
      <c r="U119" s="35" t="n">
        <f aca="false">SUMPRODUCT(($A$10:$A$98=A119)*($C$10:$C$98=B119)*($D$10:$D$98=C119)*$F$10:$F$98*AD$10:AD$98)</f>
        <v>0</v>
      </c>
      <c r="V119" s="35" t="n">
        <f aca="false">SUMPRODUCT(($A$10:$A$98=A119)*($C$10:$C$98=B119)*($D$10:$D$98=C119)*$F$10:$F$98*AE$10:AE$98)</f>
        <v>0</v>
      </c>
      <c r="W119" s="35" t="n">
        <f aca="false">SUMPRODUCT(($A$10:$A$98=A119)*($C$10:$C$98=B119)*($D$10:$D$98=C119)*$F$10:$F$98*AF$10:AF$98)</f>
        <v>0</v>
      </c>
      <c r="X119" s="35" t="n">
        <f aca="false">SUMPRODUCT(($A$10:$A$98=A119)*($C$10:$C$98=B119)*($D$10:$D$98=C119)*$F$10:$F$98*AG$10:AG$98)</f>
        <v>0</v>
      </c>
      <c r="Y119" s="35" t="n">
        <f aca="false">SUMPRODUCT(($A$10:$A$98=A119)*($C$10:$C$98=B119)*($D$10:$D$98=C119)*$F$10:$F$98*AH$10:AH$98)</f>
        <v>0</v>
      </c>
    </row>
    <row r="120" customFormat="false" ht="15" hidden="false" customHeight="false" outlineLevel="0" collapsed="false">
      <c r="A120" s="24" t="s">
        <v>207</v>
      </c>
      <c r="B120" s="14" t="n">
        <v>2</v>
      </c>
      <c r="C120" s="14" t="n">
        <v>0</v>
      </c>
      <c r="D120" s="36" t="n">
        <f aca="false">SUMPRODUCT(($A$10:$A$98=A120)*($C$10:$C$98=B120)*($D$10:$D$98=C120)*$F$10:$F$98*M$10:M$98)</f>
        <v>2.75</v>
      </c>
      <c r="E120" s="29" t="n">
        <f aca="false">SUMPRODUCT(($A$10:$A$98=A120)*($C$10:$C$98=B120)*($D$10:$D$98=C120)*$F$10:$F$98*N$10:N$98)</f>
        <v>13.75</v>
      </c>
      <c r="F120" s="35" t="n">
        <f aca="false">SUMPRODUCT(($A$10:$A$98=A120)*($C$10:$C$98=B120)*($D$10:$D$98=C120)*$F$10:$F$98*O$10:O$98)</f>
        <v>1</v>
      </c>
      <c r="G120" s="35" t="n">
        <f aca="false">SUMPRODUCT(($A$10:$A$98=A120)*($C$10:$C$98=B120)*($D$10:$D$98=C120)*$F$10:$F$98*P$10:P$98)</f>
        <v>1</v>
      </c>
      <c r="H120" s="35" t="n">
        <f aca="false">SUMPRODUCT(($A$10:$A$98=A120)*($C$10:$C$98=B120)*($D$10:$D$98=C120)*$F$10:$F$98*Q$10:Q$98)</f>
        <v>0.75</v>
      </c>
      <c r="I120" s="35" t="n">
        <f aca="false">SUMPRODUCT(($A$10:$A$98=A120)*($C$10:$C$98=B120)*($D$10:$D$98=C120)*$F$10:$F$98*R$10:R$98)</f>
        <v>0</v>
      </c>
      <c r="J120" s="35" t="n">
        <f aca="false">SUMPRODUCT(($A$10:$A$98=A120)*($C$10:$C$98=B120)*($D$10:$D$98=C120)*$F$10:$F$98*S$10:S$98)</f>
        <v>0</v>
      </c>
      <c r="K120" s="35" t="n">
        <f aca="false">SUMPRODUCT(($A$10:$A$98=A120)*($C$10:$C$98=B120)*($D$10:$D$98=C120)*$F$10:$F$98*T$10:T$98)</f>
        <v>0</v>
      </c>
      <c r="L120" s="35" t="n">
        <f aca="false">SUMPRODUCT(($A$10:$A$98=A120)*($C$10:$C$98=B120)*($D$10:$D$98=C120)*$F$10:$F$98*U$10:U$98)</f>
        <v>0</v>
      </c>
      <c r="M120" s="35" t="n">
        <f aca="false">SUMPRODUCT(($A$10:$A$98=A120)*($C$10:$C$98=B120)*($D$10:$D$98=C120)*$F$10:$F$98*V$10:V$98)</f>
        <v>0</v>
      </c>
      <c r="N120" s="35" t="n">
        <f aca="false">SUMPRODUCT(($A$10:$A$98=A120)*($C$10:$C$98=B120)*($D$10:$D$98=C120)*$F$10:$F$98*W$10:W$98)</f>
        <v>0</v>
      </c>
      <c r="O120" s="35" t="n">
        <f aca="false">SUMPRODUCT(($A$10:$A$98=A120)*($C$10:$C$98=B120)*($D$10:$D$98=C120)*$F$10:$F$98*X$10:X$98)</f>
        <v>0</v>
      </c>
      <c r="P120" s="35" t="n">
        <f aca="false">SUMPRODUCT(($A$10:$A$98=A120)*($C$10:$C$98=B120)*($D$10:$D$98=C120)*$F$10:$F$98*Y$10:Y$98)</f>
        <v>0</v>
      </c>
      <c r="Q120" s="35" t="n">
        <f aca="false">SUMPRODUCT(($A$10:$A$98=A120)*($C$10:$C$98=B120)*($D$10:$D$98=C120)*$F$10:$F$98*Z$10:Z$98)</f>
        <v>0</v>
      </c>
      <c r="R120" s="35" t="n">
        <f aca="false">SUMPRODUCT(($A$10:$A$98=A120)*($C$10:$C$98=B120)*($D$10:$D$98=C120)*$F$10:$F$98*AA$10:AA$98)</f>
        <v>0</v>
      </c>
      <c r="S120" s="35" t="n">
        <f aca="false">SUMPRODUCT(($A$10:$A$98=A120)*($C$10:$C$98=B120)*($D$10:$D$98=C120)*$F$10:$F$98*AB$10:AB$98)</f>
        <v>0</v>
      </c>
      <c r="T120" s="35" t="n">
        <f aca="false">SUMPRODUCT(($A$10:$A$98=A120)*($C$10:$C$98=B120)*($D$10:$D$98=C120)*$F$10:$F$98*AC$10:AC$98)</f>
        <v>0</v>
      </c>
      <c r="U120" s="35" t="n">
        <f aca="false">SUMPRODUCT(($A$10:$A$98=A120)*($C$10:$C$98=B120)*($D$10:$D$98=C120)*$F$10:$F$98*AD$10:AD$98)</f>
        <v>0</v>
      </c>
      <c r="V120" s="35" t="n">
        <f aca="false">SUMPRODUCT(($A$10:$A$98=A120)*($C$10:$C$98=B120)*($D$10:$D$98=C120)*$F$10:$F$98*AE$10:AE$98)</f>
        <v>0</v>
      </c>
      <c r="W120" s="35" t="n">
        <f aca="false">SUMPRODUCT(($A$10:$A$98=A120)*($C$10:$C$98=B120)*($D$10:$D$98=C120)*$F$10:$F$98*AF$10:AF$98)</f>
        <v>0</v>
      </c>
      <c r="X120" s="35" t="n">
        <f aca="false">SUMPRODUCT(($A$10:$A$98=A120)*($C$10:$C$98=B120)*($D$10:$D$98=C120)*$F$10:$F$98*AG$10:AG$98)</f>
        <v>0</v>
      </c>
      <c r="Y120" s="35" t="n">
        <f aca="false">SUMPRODUCT(($A$10:$A$98=A120)*($C$10:$C$98=B120)*($D$10:$D$98=C120)*$F$10:$F$98*AH$10:AH$98)</f>
        <v>0</v>
      </c>
    </row>
    <row r="121" customFormat="false" ht="15" hidden="false" customHeight="false" outlineLevel="0" collapsed="false">
      <c r="A121" s="24" t="s">
        <v>207</v>
      </c>
      <c r="B121" s="14" t="n">
        <v>2</v>
      </c>
      <c r="C121" s="14" t="n">
        <v>1</v>
      </c>
      <c r="D121" s="36" t="n">
        <f aca="false">SUMPRODUCT(($A$10:$A$98=A121)*($C$10:$C$98=B121)*($D$10:$D$98=C121)*$F$10:$F$98*M$10:M$98)</f>
        <v>0.41025</v>
      </c>
      <c r="E121" s="29" t="n">
        <f aca="false">SUMPRODUCT(($A$10:$A$98=A121)*($C$10:$C$98=B121)*($D$10:$D$98=C121)*$F$10:$F$98*N$10:N$98)</f>
        <v>2.05125</v>
      </c>
      <c r="F121" s="35" t="n">
        <f aca="false">SUMPRODUCT(($A$10:$A$98=A121)*($C$10:$C$98=B121)*($D$10:$D$98=C121)*$F$10:$F$98*O$10:O$98)</f>
        <v>0.3</v>
      </c>
      <c r="G121" s="35" t="n">
        <f aca="false">SUMPRODUCT(($A$10:$A$98=A121)*($C$10:$C$98=B121)*($D$10:$D$98=C121)*$F$10:$F$98*P$10:P$98)</f>
        <v>0.0900000000000001</v>
      </c>
      <c r="H121" s="35" t="n">
        <f aca="false">SUMPRODUCT(($A$10:$A$98=A121)*($C$10:$C$98=B121)*($D$10:$D$98=C121)*$F$10:$F$98*Q$10:Q$98)</f>
        <v>0.02025</v>
      </c>
      <c r="I121" s="35" t="n">
        <f aca="false">SUMPRODUCT(($A$10:$A$98=A121)*($C$10:$C$98=B121)*($D$10:$D$98=C121)*$F$10:$F$98*R$10:R$98)</f>
        <v>0</v>
      </c>
      <c r="J121" s="35" t="n">
        <f aca="false">SUMPRODUCT(($A$10:$A$98=A121)*($C$10:$C$98=B121)*($D$10:$D$98=C121)*$F$10:$F$98*S$10:S$98)</f>
        <v>0</v>
      </c>
      <c r="K121" s="35" t="n">
        <f aca="false">SUMPRODUCT(($A$10:$A$98=A121)*($C$10:$C$98=B121)*($D$10:$D$98=C121)*$F$10:$F$98*T$10:T$98)</f>
        <v>0</v>
      </c>
      <c r="L121" s="35" t="n">
        <f aca="false">SUMPRODUCT(($A$10:$A$98=A121)*($C$10:$C$98=B121)*($D$10:$D$98=C121)*$F$10:$F$98*U$10:U$98)</f>
        <v>0</v>
      </c>
      <c r="M121" s="35" t="n">
        <f aca="false">SUMPRODUCT(($A$10:$A$98=A121)*($C$10:$C$98=B121)*($D$10:$D$98=C121)*$F$10:$F$98*V$10:V$98)</f>
        <v>0</v>
      </c>
      <c r="N121" s="35" t="n">
        <f aca="false">SUMPRODUCT(($A$10:$A$98=A121)*($C$10:$C$98=B121)*($D$10:$D$98=C121)*$F$10:$F$98*W$10:W$98)</f>
        <v>0</v>
      </c>
      <c r="O121" s="35" t="n">
        <f aca="false">SUMPRODUCT(($A$10:$A$98=A121)*($C$10:$C$98=B121)*($D$10:$D$98=C121)*$F$10:$F$98*X$10:X$98)</f>
        <v>0</v>
      </c>
      <c r="P121" s="35" t="n">
        <f aca="false">SUMPRODUCT(($A$10:$A$98=A121)*($C$10:$C$98=B121)*($D$10:$D$98=C121)*$F$10:$F$98*Y$10:Y$98)</f>
        <v>0</v>
      </c>
      <c r="Q121" s="35" t="n">
        <f aca="false">SUMPRODUCT(($A$10:$A$98=A121)*($C$10:$C$98=B121)*($D$10:$D$98=C121)*$F$10:$F$98*Z$10:Z$98)</f>
        <v>0</v>
      </c>
      <c r="R121" s="35" t="n">
        <f aca="false">SUMPRODUCT(($A$10:$A$98=A121)*($C$10:$C$98=B121)*($D$10:$D$98=C121)*$F$10:$F$98*AA$10:AA$98)</f>
        <v>0</v>
      </c>
      <c r="S121" s="35" t="n">
        <f aca="false">SUMPRODUCT(($A$10:$A$98=A121)*($C$10:$C$98=B121)*($D$10:$D$98=C121)*$F$10:$F$98*AB$10:AB$98)</f>
        <v>0</v>
      </c>
      <c r="T121" s="35" t="n">
        <f aca="false">SUMPRODUCT(($A$10:$A$98=A121)*($C$10:$C$98=B121)*($D$10:$D$98=C121)*$F$10:$F$98*AC$10:AC$98)</f>
        <v>0</v>
      </c>
      <c r="U121" s="35" t="n">
        <f aca="false">SUMPRODUCT(($A$10:$A$98=A121)*($C$10:$C$98=B121)*($D$10:$D$98=C121)*$F$10:$F$98*AD$10:AD$98)</f>
        <v>0</v>
      </c>
      <c r="V121" s="35" t="n">
        <f aca="false">SUMPRODUCT(($A$10:$A$98=A121)*($C$10:$C$98=B121)*($D$10:$D$98=C121)*$F$10:$F$98*AE$10:AE$98)</f>
        <v>0</v>
      </c>
      <c r="W121" s="35" t="n">
        <f aca="false">SUMPRODUCT(($A$10:$A$98=A121)*($C$10:$C$98=B121)*($D$10:$D$98=C121)*$F$10:$F$98*AF$10:AF$98)</f>
        <v>0</v>
      </c>
      <c r="X121" s="35" t="n">
        <f aca="false">SUMPRODUCT(($A$10:$A$98=A121)*($C$10:$C$98=B121)*($D$10:$D$98=C121)*$F$10:$F$98*AG$10:AG$98)</f>
        <v>0</v>
      </c>
      <c r="Y121" s="35" t="n">
        <f aca="false">SUMPRODUCT(($A$10:$A$98=A121)*($C$10:$C$98=B121)*($D$10:$D$98=C121)*$F$10:$F$98*AH$10:AH$98)</f>
        <v>0</v>
      </c>
    </row>
    <row r="122" customFormat="false" ht="15" hidden="false" customHeight="false" outlineLevel="0" collapsed="false">
      <c r="A122" s="24" t="s">
        <v>282</v>
      </c>
      <c r="B122" s="14" t="n">
        <v>1</v>
      </c>
      <c r="C122" s="14" t="n">
        <v>0</v>
      </c>
      <c r="D122" s="36" t="n">
        <f aca="false">SUMPRODUCT(($A$10:$A$98=A122)*($C$10:$C$98=B122)*($D$10:$D$98=C122)*$F$10:$F$98*M$10:M$98)</f>
        <v>0.14</v>
      </c>
      <c r="E122" s="29" t="n">
        <f aca="false">SUMPRODUCT(($A$10:$A$98=A122)*($C$10:$C$98=B122)*($D$10:$D$98=C122)*$F$10:$F$98*N$10:N$98)</f>
        <v>0.7</v>
      </c>
      <c r="F122" s="35" t="n">
        <f aca="false">SUMPRODUCT(($A$10:$A$98=A122)*($C$10:$C$98=B122)*($D$10:$D$98=C122)*$F$10:$F$98*O$10:O$98)</f>
        <v>0.14</v>
      </c>
      <c r="G122" s="35" t="n">
        <f aca="false">SUMPRODUCT(($A$10:$A$98=A122)*($C$10:$C$98=B122)*($D$10:$D$98=C122)*$F$10:$F$98*P$10:P$98)</f>
        <v>0</v>
      </c>
      <c r="H122" s="35" t="n">
        <f aca="false">SUMPRODUCT(($A$10:$A$98=A122)*($C$10:$C$98=B122)*($D$10:$D$98=C122)*$F$10:$F$98*Q$10:Q$98)</f>
        <v>0</v>
      </c>
      <c r="I122" s="35" t="n">
        <f aca="false">SUMPRODUCT(($A$10:$A$98=A122)*($C$10:$C$98=B122)*($D$10:$D$98=C122)*$F$10:$F$98*R$10:R$98)</f>
        <v>0</v>
      </c>
      <c r="J122" s="35" t="n">
        <f aca="false">SUMPRODUCT(($A$10:$A$98=A122)*($C$10:$C$98=B122)*($D$10:$D$98=C122)*$F$10:$F$98*S$10:S$98)</f>
        <v>0</v>
      </c>
      <c r="K122" s="35" t="n">
        <f aca="false">SUMPRODUCT(($A$10:$A$98=A122)*($C$10:$C$98=B122)*($D$10:$D$98=C122)*$F$10:$F$98*T$10:T$98)</f>
        <v>0</v>
      </c>
      <c r="L122" s="35" t="n">
        <f aca="false">SUMPRODUCT(($A$10:$A$98=A122)*($C$10:$C$98=B122)*($D$10:$D$98=C122)*$F$10:$F$98*U$10:U$98)</f>
        <v>0</v>
      </c>
      <c r="M122" s="35" t="n">
        <f aca="false">SUMPRODUCT(($A$10:$A$98=A122)*($C$10:$C$98=B122)*($D$10:$D$98=C122)*$F$10:$F$98*V$10:V$98)</f>
        <v>0</v>
      </c>
      <c r="N122" s="35" t="n">
        <f aca="false">SUMPRODUCT(($A$10:$A$98=A122)*($C$10:$C$98=B122)*($D$10:$D$98=C122)*$F$10:$F$98*W$10:W$98)</f>
        <v>0</v>
      </c>
      <c r="O122" s="35" t="n">
        <f aca="false">SUMPRODUCT(($A$10:$A$98=A122)*($C$10:$C$98=B122)*($D$10:$D$98=C122)*$F$10:$F$98*X$10:X$98)</f>
        <v>0</v>
      </c>
      <c r="P122" s="35" t="n">
        <f aca="false">SUMPRODUCT(($A$10:$A$98=A122)*($C$10:$C$98=B122)*($D$10:$D$98=C122)*$F$10:$F$98*Y$10:Y$98)</f>
        <v>0</v>
      </c>
      <c r="Q122" s="35" t="n">
        <f aca="false">SUMPRODUCT(($A$10:$A$98=A122)*($C$10:$C$98=B122)*($D$10:$D$98=C122)*$F$10:$F$98*Z$10:Z$98)</f>
        <v>0</v>
      </c>
      <c r="R122" s="35" t="n">
        <f aca="false">SUMPRODUCT(($A$10:$A$98=A122)*($C$10:$C$98=B122)*($D$10:$D$98=C122)*$F$10:$F$98*AA$10:AA$98)</f>
        <v>0</v>
      </c>
      <c r="S122" s="35" t="n">
        <f aca="false">SUMPRODUCT(($A$10:$A$98=A122)*($C$10:$C$98=B122)*($D$10:$D$98=C122)*$F$10:$F$98*AB$10:AB$98)</f>
        <v>0</v>
      </c>
      <c r="T122" s="35" t="n">
        <f aca="false">SUMPRODUCT(($A$10:$A$98=A122)*($C$10:$C$98=B122)*($D$10:$D$98=C122)*$F$10:$F$98*AC$10:AC$98)</f>
        <v>0</v>
      </c>
      <c r="U122" s="35" t="n">
        <f aca="false">SUMPRODUCT(($A$10:$A$98=A122)*($C$10:$C$98=B122)*($D$10:$D$98=C122)*$F$10:$F$98*AD$10:AD$98)</f>
        <v>0</v>
      </c>
      <c r="V122" s="35" t="n">
        <f aca="false">SUMPRODUCT(($A$10:$A$98=A122)*($C$10:$C$98=B122)*($D$10:$D$98=C122)*$F$10:$F$98*AE$10:AE$98)</f>
        <v>0</v>
      </c>
      <c r="W122" s="35" t="n">
        <f aca="false">SUMPRODUCT(($A$10:$A$98=A122)*($C$10:$C$98=B122)*($D$10:$D$98=C122)*$F$10:$F$98*AF$10:AF$98)</f>
        <v>0</v>
      </c>
      <c r="X122" s="35" t="n">
        <f aca="false">SUMPRODUCT(($A$10:$A$98=A122)*($C$10:$C$98=B122)*($D$10:$D$98=C122)*$F$10:$F$98*AG$10:AG$98)</f>
        <v>0</v>
      </c>
      <c r="Y122" s="35" t="n">
        <f aca="false">SUMPRODUCT(($A$10:$A$98=A122)*($C$10:$C$98=B122)*($D$10:$D$98=C122)*$F$10:$F$98*AH$10:AH$98)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8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12" min="9" style="0" width="13"/>
    <col collapsed="false" customWidth="true" hidden="false" outlineLevel="0" max="15" min="13" style="0" width="12"/>
    <col collapsed="false" customWidth="true" hidden="false" outlineLevel="0" max="17" min="16" style="0" width="11"/>
    <col collapsed="false" customWidth="true" hidden="false" outlineLevel="0" max="18" min="18" style="0" width="14"/>
    <col collapsed="false" customWidth="true" hidden="false" outlineLevel="0" max="19" min="19" style="0" width="13"/>
    <col collapsed="false" customWidth="true" hidden="false" outlineLevel="0" max="20" min="20" style="0" width="20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13"/>
  </cols>
  <sheetData>
    <row r="1" customFormat="false" ht="19.4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3" t="s">
        <v>287</v>
      </c>
    </row>
    <row r="3" customFormat="false" ht="15" hidden="false" customHeight="false" outlineLevel="0" collapsed="false">
      <c r="T3" s="37" t="s">
        <v>288</v>
      </c>
    </row>
    <row r="4" customFormat="false" ht="26.85" hidden="false" customHeight="false" outlineLevel="0" collapsed="false">
      <c r="A4" s="6" t="s">
        <v>31</v>
      </c>
      <c r="B4" s="6" t="s">
        <v>289</v>
      </c>
      <c r="C4" s="6" t="s">
        <v>157</v>
      </c>
      <c r="D4" s="6" t="s">
        <v>158</v>
      </c>
      <c r="E4" s="6" t="s">
        <v>290</v>
      </c>
      <c r="F4" s="7" t="s">
        <v>291</v>
      </c>
      <c r="G4" s="7" t="s">
        <v>292</v>
      </c>
      <c r="H4" s="7" t="s">
        <v>293</v>
      </c>
      <c r="I4" s="7" t="s">
        <v>294</v>
      </c>
      <c r="J4" s="7" t="s">
        <v>295</v>
      </c>
      <c r="K4" s="7" t="s">
        <v>296</v>
      </c>
      <c r="L4" s="6" t="s">
        <v>297</v>
      </c>
      <c r="M4" s="7" t="s">
        <v>298</v>
      </c>
      <c r="N4" s="7" t="s">
        <v>299</v>
      </c>
      <c r="O4" s="7" t="s">
        <v>300</v>
      </c>
      <c r="P4" s="7" t="s">
        <v>301</v>
      </c>
      <c r="Q4" s="7" t="s">
        <v>302</v>
      </c>
      <c r="R4" s="6" t="s">
        <v>303</v>
      </c>
      <c r="T4" s="6" t="s">
        <v>157</v>
      </c>
      <c r="U4" s="7" t="s">
        <v>304</v>
      </c>
      <c r="V4" s="7" t="s">
        <v>305</v>
      </c>
    </row>
    <row r="5" customFormat="false" ht="15" hidden="false" customHeight="false" outlineLevel="0" collapsed="false">
      <c r="A5" s="14" t="s">
        <v>306</v>
      </c>
      <c r="B5" s="14" t="s">
        <v>307</v>
      </c>
      <c r="C5" s="2" t="s">
        <v>308</v>
      </c>
      <c r="D5" s="10" t="s">
        <v>309</v>
      </c>
      <c r="E5" s="14" t="n">
        <f aca="false">IF(AND(B5="M1",D5="sc"),1,0)</f>
        <v>0</v>
      </c>
      <c r="F5" s="38" t="n">
        <f aca="false">F_IE1_B1</f>
        <v>0.000126</v>
      </c>
      <c r="G5" s="38" t="n">
        <f aca="false">F_IE2</f>
        <v>0.0006</v>
      </c>
      <c r="H5" s="17" t="n">
        <f aca="false">IF(D5="불연",0,IF(E5=1,p_exp1,p_exp0))</f>
        <v>0</v>
      </c>
      <c r="I5" s="30" t="n">
        <f aca="false">F5*SUMPRODUCT((agg_mat="L")*(agg_ie=1)*(agg_bar=0)*agg_En)</f>
        <v>1.764E-005</v>
      </c>
      <c r="J5" s="30" t="n">
        <f aca="false">F5*SUMPRODUCT((agg_mat="L")*(agg_ie=1)*(agg_bar=0)*agg_Ep)</f>
        <v>8.82E-005</v>
      </c>
      <c r="K5" s="20" t="n">
        <f aca="false">p_d*J5</f>
        <v>4.41E-006</v>
      </c>
      <c r="L5" s="20" t="n">
        <f aca="false">K5/occ_total</f>
        <v>2.94E-008</v>
      </c>
      <c r="M5" s="20" t="n">
        <f aca="false">F5*SUMPRODUCT((agg_mat="L")*(agg_ie=1)*(agg_bar=0)*agg_P1)</f>
        <v>1.764E-005</v>
      </c>
      <c r="N5" s="30" t="n">
        <f aca="false">F5*SUMPRODUCT((agg_mat="L")*(agg_ie=1)*(agg_bar=0)*agg_P2)</f>
        <v>0</v>
      </c>
      <c r="O5" s="20" t="n">
        <f aca="false">F5*SUMPRODUCT((agg_mat="L")*(agg_ie=1)*(agg_bar=0)*agg_P5)</f>
        <v>0</v>
      </c>
      <c r="P5" s="21" t="n">
        <f aca="false">I5/I$5</f>
        <v>1</v>
      </c>
      <c r="Q5" s="39" t="n">
        <v>0</v>
      </c>
      <c r="R5" s="14" t="str">
        <f aca="false">IF(N5&lt;=crit_f2,"충족","불충족")</f>
        <v>충족</v>
      </c>
      <c r="T5" s="4" t="s">
        <v>310</v>
      </c>
      <c r="U5" s="20" t="n">
        <f aca="false">I5</f>
        <v>1.764E-005</v>
      </c>
      <c r="V5" s="20" t="n">
        <f aca="false">I11</f>
        <v>1.764E-005</v>
      </c>
    </row>
    <row r="6" customFormat="false" ht="15" hidden="false" customHeight="false" outlineLevel="0" collapsed="false">
      <c r="A6" s="14" t="s">
        <v>306</v>
      </c>
      <c r="B6" s="14" t="s">
        <v>307</v>
      </c>
      <c r="C6" s="24" t="s">
        <v>311</v>
      </c>
      <c r="D6" s="14" t="s">
        <v>173</v>
      </c>
      <c r="E6" s="14" t="n">
        <f aca="false">IF(AND(B6="M1",D6="sc"),1,0)</f>
        <v>0</v>
      </c>
      <c r="F6" s="38" t="n">
        <f aca="false">F_IE1_B1</f>
        <v>0.000126</v>
      </c>
      <c r="G6" s="38" t="n">
        <f aca="false">F_IE2</f>
        <v>0.0006</v>
      </c>
      <c r="H6" s="17" t="n">
        <f aca="false">IF(D6="불연",0,IF(E6=1,p_exp1,p_exp0))</f>
        <v>0.9</v>
      </c>
      <c r="I6" s="30" t="n">
        <f aca="false">F6*(H6*SUMPRODUCT((agg_mat="EPS_SC")*(agg_ie=1)*(agg_bar=E6)*agg_En)+(1-H6)*SUMPRODUCT((agg_mat="L")*(agg_ie=1)*(agg_bar=0)*agg_En))+G6*H6*SUMPRODUCT((agg_mat="EPS_SC")*(agg_ie=2)*(agg_bar=E6)*agg_En)</f>
        <v>0.000437616</v>
      </c>
      <c r="J6" s="30" t="n">
        <f aca="false">F6*(H6*SUMPRODUCT((agg_mat="EPS_SC")*(agg_ie=1)*(agg_bar=E6)*agg_Ep)+(1-H6)*SUMPRODUCT((agg_mat="L")*(agg_ie=1)*(agg_bar=0)*agg_Ep))+G6*H6*SUMPRODUCT((agg_mat="EPS_SC")*(agg_ie=2)*(agg_bar=E6)*agg_Ep)</f>
        <v>0.00218808</v>
      </c>
      <c r="K6" s="20" t="n">
        <f aca="false">p_d*J6</f>
        <v>0.000109404</v>
      </c>
      <c r="L6" s="20" t="n">
        <f aca="false">K6/occ_total</f>
        <v>7.2936E-007</v>
      </c>
      <c r="M6" s="20" t="n">
        <f aca="false">F6*(H6*SUMPRODUCT((agg_mat="EPS_SC")*(agg_ie=1)*(agg_bar=E6)*agg_P1)+(1-H6)*SUMPRODUCT((agg_mat="L")*(agg_ie=1)*(agg_bar=0)*agg_P1))+G6*H6*SUMPRODUCT((agg_mat="EPS_SC")*(agg_ie=2)*(agg_bar=E6)*agg_P1)</f>
        <v>0.000437616</v>
      </c>
      <c r="N6" s="30" t="n">
        <f aca="false">F6*(H6*SUMPRODUCT((agg_mat="EPS_SC")*(agg_ie=1)*(agg_bar=E6)*agg_P2)+(1-H6)*SUMPRODUCT((agg_mat="L")*(agg_ie=1)*(agg_bar=0)*agg_P2))+G6*H6*SUMPRODUCT((agg_mat="EPS_SC")*(agg_ie=2)*(agg_bar=E6)*agg_P2)</f>
        <v>0</v>
      </c>
      <c r="O6" s="20" t="n">
        <f aca="false">F6*(H6*SUMPRODUCT((agg_mat="EPS_SC")*(agg_ie=1)*(agg_bar=E6)*agg_P5)+(1-H6)*SUMPRODUCT((agg_mat="L")*(agg_ie=1)*(agg_bar=0)*agg_P5))+G6*H6*SUMPRODUCT((agg_mat="EPS_SC")*(agg_ie=2)*(agg_bar=E6)*agg_P5)</f>
        <v>0</v>
      </c>
      <c r="P6" s="21" t="n">
        <f aca="false">I6/I$5</f>
        <v>24.8081632653061</v>
      </c>
      <c r="Q6" s="39" t="n">
        <f aca="false">G6*H6*SUMPRODUCT((agg_mat="EPS_SC")*(agg_ie=2)*(agg_bar=E6)*agg_En)/I6</f>
        <v>0.822639025995393</v>
      </c>
      <c r="R6" s="14" t="str">
        <f aca="false">IF(N6&lt;=crit_f2,"충족","불충족")</f>
        <v>충족</v>
      </c>
      <c r="T6" s="3" t="s">
        <v>172</v>
      </c>
      <c r="U6" s="20" t="n">
        <f aca="false">I6</f>
        <v>0.000437616</v>
      </c>
      <c r="V6" s="20" t="n">
        <f aca="false">I12</f>
        <v>5.96376E-005</v>
      </c>
    </row>
    <row r="7" customFormat="false" ht="15" hidden="false" customHeight="false" outlineLevel="0" collapsed="false">
      <c r="A7" s="14" t="s">
        <v>306</v>
      </c>
      <c r="B7" s="14" t="s">
        <v>307</v>
      </c>
      <c r="C7" s="24" t="s">
        <v>312</v>
      </c>
      <c r="D7" s="14" t="s">
        <v>166</v>
      </c>
      <c r="E7" s="14" t="n">
        <f aca="false">IF(AND(B7="M1",D7="sc"),1,0)</f>
        <v>0</v>
      </c>
      <c r="F7" s="38" t="n">
        <f aca="false">F_IE1_B1</f>
        <v>0.000126</v>
      </c>
      <c r="G7" s="38" t="n">
        <f aca="false">F_IE2</f>
        <v>0.0006</v>
      </c>
      <c r="H7" s="17" t="n">
        <f aca="false">IF(D7="불연",0,IF(E7=1,p_exp1,p_exp0))</f>
        <v>0.9</v>
      </c>
      <c r="I7" s="30" t="n">
        <f aca="false">F7*(H7*SUMPRODUCT((agg_mat="PIR_C")*(agg_ie=1)*(agg_bar=E7)*agg_En)+(1-H7)*SUMPRODUCT((agg_mat="L")*(agg_ie=1)*(agg_bar=0)*agg_En))+G7*H7*SUMPRODUCT((agg_mat="PIR_C")*(agg_ie=2)*(agg_bar=E7)*agg_En)</f>
        <v>0.008355564</v>
      </c>
      <c r="J7" s="30" t="n">
        <f aca="false">F7*(H7*SUMPRODUCT((agg_mat="PIR_C")*(agg_ie=1)*(agg_bar=E7)*agg_Ep)+(1-H7)*SUMPRODUCT((agg_mat="L")*(agg_ie=1)*(agg_bar=0)*agg_Ep))+G7*H7*SUMPRODUCT((agg_mat="PIR_C")*(agg_ie=2)*(agg_bar=E7)*agg_Ep)</f>
        <v>0.04177782</v>
      </c>
      <c r="K7" s="20" t="n">
        <f aca="false">p_d*J7</f>
        <v>0.002088891</v>
      </c>
      <c r="L7" s="20" t="n">
        <f aca="false">K7/occ_total</f>
        <v>1.392594E-005</v>
      </c>
      <c r="M7" s="20" t="n">
        <f aca="false">F7*(H7*SUMPRODUCT((agg_mat="PIR_C")*(agg_ie=1)*(agg_bar=E7)*agg_P1)+(1-H7)*SUMPRODUCT((agg_mat="L")*(agg_ie=1)*(agg_bar=0)*agg_P1))+G7*H7*SUMPRODUCT((agg_mat="PIR_C")*(agg_ie=2)*(agg_bar=E7)*agg_P1)</f>
        <v>0.000647604</v>
      </c>
      <c r="N7" s="30" t="n">
        <f aca="false">F7*(H7*SUMPRODUCT((agg_mat="PIR_C")*(agg_ie=1)*(agg_bar=E7)*agg_P2)+(1-H7)*SUMPRODUCT((agg_mat="L")*(agg_ie=1)*(agg_bar=0)*agg_P2))+G7*H7*SUMPRODUCT((agg_mat="PIR_C")*(agg_ie=2)*(agg_bar=E7)*agg_P2)</f>
        <v>0.00063828</v>
      </c>
      <c r="O7" s="20" t="n">
        <f aca="false">F7*(H7*SUMPRODUCT((agg_mat="PIR_C")*(agg_ie=1)*(agg_bar=E7)*agg_P5)+(1-H7)*SUMPRODUCT((agg_mat="L")*(agg_ie=1)*(agg_bar=0)*agg_P5))+G7*H7*SUMPRODUCT((agg_mat="PIR_C")*(agg_ie=2)*(agg_bar=E7)*agg_P5)</f>
        <v>0.0006156</v>
      </c>
      <c r="P7" s="21" t="n">
        <f aca="false">I7/I$5</f>
        <v>473.671428571429</v>
      </c>
      <c r="Q7" s="39" t="n">
        <f aca="false">G7*H7*SUMPRODUCT((agg_mat="PIR_C")*(agg_ie=2)*(agg_bar=E7)*agg_En)/I7</f>
        <v>0.904786319630847</v>
      </c>
      <c r="R7" s="14" t="str">
        <f aca="false">IF(N7&lt;=crit_f2,"충족","불충족")</f>
        <v>불충족</v>
      </c>
      <c r="T7" s="3" t="s">
        <v>179</v>
      </c>
      <c r="U7" s="20" t="n">
        <f aca="false">I7</f>
        <v>0.008355564</v>
      </c>
      <c r="V7" s="20" t="n">
        <f aca="false">I13</f>
        <v>0.008355564</v>
      </c>
    </row>
    <row r="8" customFormat="false" ht="15" hidden="false" customHeight="false" outlineLevel="0" collapsed="false">
      <c r="A8" s="14" t="s">
        <v>306</v>
      </c>
      <c r="B8" s="14" t="s">
        <v>307</v>
      </c>
      <c r="C8" s="24" t="s">
        <v>313</v>
      </c>
      <c r="D8" s="14" t="s">
        <v>173</v>
      </c>
      <c r="E8" s="14" t="n">
        <f aca="false">IF(AND(B8="M1",D8="sc"),1,0)</f>
        <v>0</v>
      </c>
      <c r="F8" s="38" t="n">
        <f aca="false">F_IE1_B1</f>
        <v>0.000126</v>
      </c>
      <c r="G8" s="38" t="n">
        <f aca="false">F_IE2</f>
        <v>0.0006</v>
      </c>
      <c r="H8" s="17" t="n">
        <f aca="false">IF(D8="불연",0,IF(E8=1,p_exp1,p_exp0))</f>
        <v>0.9</v>
      </c>
      <c r="I8" s="30" t="n">
        <f aca="false">F8*(H8*SUMPRODUCT((agg_mat="PIR_SC")*(agg_ie=1)*(agg_bar=E8)*agg_En)+(1-H8)*SUMPRODUCT((agg_mat="L")*(agg_ie=1)*(agg_bar=0)*agg_En))+G8*H8*SUMPRODUCT((agg_mat="PIR_SC")*(agg_ie=2)*(agg_bar=E8)*agg_En)</f>
        <v>0.000647604</v>
      </c>
      <c r="J8" s="30" t="n">
        <f aca="false">F8*(H8*SUMPRODUCT((agg_mat="PIR_SC")*(agg_ie=1)*(agg_bar=E8)*agg_Ep)+(1-H8)*SUMPRODUCT((agg_mat="L")*(agg_ie=1)*(agg_bar=0)*agg_Ep))+G8*H8*SUMPRODUCT((agg_mat="PIR_SC")*(agg_ie=2)*(agg_bar=E8)*agg_Ep)</f>
        <v>0.00323802</v>
      </c>
      <c r="K8" s="20" t="n">
        <f aca="false">p_d*J8</f>
        <v>0.000161901</v>
      </c>
      <c r="L8" s="20" t="n">
        <f aca="false">K8/occ_total</f>
        <v>1.07934E-006</v>
      </c>
      <c r="M8" s="20" t="n">
        <f aca="false">F8*(H8*SUMPRODUCT((agg_mat="PIR_SC")*(agg_ie=1)*(agg_bar=E8)*agg_P1)+(1-H8)*SUMPRODUCT((agg_mat="L")*(agg_ie=1)*(agg_bar=0)*agg_P1))+G8*H8*SUMPRODUCT((agg_mat="PIR_SC")*(agg_ie=2)*(agg_bar=E8)*agg_P1)</f>
        <v>0.000647604</v>
      </c>
      <c r="N8" s="30" t="n">
        <f aca="false">F8*(H8*SUMPRODUCT((agg_mat="PIR_SC")*(agg_ie=1)*(agg_bar=E8)*agg_P2)+(1-H8)*SUMPRODUCT((agg_mat="L")*(agg_ie=1)*(agg_bar=0)*agg_P2))+G8*H8*SUMPRODUCT((agg_mat="PIR_SC")*(agg_ie=2)*(agg_bar=E8)*agg_P2)</f>
        <v>0</v>
      </c>
      <c r="O8" s="20" t="n">
        <f aca="false">F8*(H8*SUMPRODUCT((agg_mat="PIR_SC")*(agg_ie=1)*(agg_bar=E8)*agg_P5)+(1-H8)*SUMPRODUCT((agg_mat="L")*(agg_ie=1)*(agg_bar=0)*agg_P5))+G8*H8*SUMPRODUCT((agg_mat="PIR_SC")*(agg_ie=2)*(agg_bar=E8)*agg_P5)</f>
        <v>0</v>
      </c>
      <c r="P8" s="21" t="n">
        <f aca="false">I8/I$5</f>
        <v>36.7122448979592</v>
      </c>
      <c r="Q8" s="39" t="n">
        <f aca="false">G8*H8*SUMPRODUCT((agg_mat="PIR_SC")*(agg_ie=2)*(agg_bar=E8)*agg_En)/I8</f>
        <v>0.833842903996887</v>
      </c>
      <c r="R8" s="14" t="str">
        <f aca="false">IF(N8&lt;=crit_f2,"충족","불충족")</f>
        <v>충족</v>
      </c>
      <c r="T8" s="3" t="s">
        <v>183</v>
      </c>
      <c r="U8" s="20" t="n">
        <f aca="false">I8</f>
        <v>0.000647604</v>
      </c>
      <c r="V8" s="20" t="n">
        <f aca="false">I14</f>
        <v>8.06364E-005</v>
      </c>
    </row>
    <row r="9" customFormat="false" ht="15" hidden="false" customHeight="false" outlineLevel="0" collapsed="false">
      <c r="A9" s="14" t="s">
        <v>306</v>
      </c>
      <c r="B9" s="14" t="s">
        <v>307</v>
      </c>
      <c r="C9" s="24" t="s">
        <v>314</v>
      </c>
      <c r="D9" s="14" t="s">
        <v>173</v>
      </c>
      <c r="E9" s="14" t="n">
        <f aca="false">IF(AND(B9="M1",D9="sc"),1,0)</f>
        <v>0</v>
      </c>
      <c r="F9" s="38" t="n">
        <f aca="false">F_IE1_B1</f>
        <v>0.000126</v>
      </c>
      <c r="G9" s="38" t="n">
        <f aca="false">F_IE2</f>
        <v>0.0006</v>
      </c>
      <c r="H9" s="17" t="n">
        <f aca="false">IF(D9="불연",0,IF(E9=1,p_exp1,p_exp0))</f>
        <v>0.9</v>
      </c>
      <c r="I9" s="30" t="n">
        <f aca="false">F9*(H9*SUMPRODUCT((agg_mat="PF_out")*(agg_ie=1)*(agg_bar=E9)*agg_En)+(1-H9)*SUMPRODUCT((agg_mat="L")*(agg_ie=1)*(agg_bar=0)*agg_En))+G9*H9*SUMPRODUCT((agg_mat="PF_out")*(agg_ie=2)*(agg_bar=E9)*agg_En)</f>
        <v>0.000647604</v>
      </c>
      <c r="J9" s="30" t="n">
        <f aca="false">F9*(H9*SUMPRODUCT((agg_mat="PF_out")*(agg_ie=1)*(agg_bar=E9)*agg_Ep)+(1-H9)*SUMPRODUCT((agg_mat="L")*(agg_ie=1)*(agg_bar=0)*agg_Ep))+G9*H9*SUMPRODUCT((agg_mat="PF_out")*(agg_ie=2)*(agg_bar=E9)*agg_Ep)</f>
        <v>0.00323802</v>
      </c>
      <c r="K9" s="20" t="n">
        <f aca="false">p_d*J9</f>
        <v>0.000161901</v>
      </c>
      <c r="L9" s="20" t="n">
        <f aca="false">K9/occ_total</f>
        <v>1.07934E-006</v>
      </c>
      <c r="M9" s="20" t="n">
        <f aca="false">F9*(H9*SUMPRODUCT((agg_mat="PF_out")*(agg_ie=1)*(agg_bar=E9)*agg_P1)+(1-H9)*SUMPRODUCT((agg_mat="L")*(agg_ie=1)*(agg_bar=0)*agg_P1))+G9*H9*SUMPRODUCT((agg_mat="PF_out")*(agg_ie=2)*(agg_bar=E9)*agg_P1)</f>
        <v>0.000647604</v>
      </c>
      <c r="N9" s="30" t="n">
        <f aca="false">F9*(H9*SUMPRODUCT((agg_mat="PF_out")*(agg_ie=1)*(agg_bar=E9)*agg_P2)+(1-H9)*SUMPRODUCT((agg_mat="L")*(agg_ie=1)*(agg_bar=0)*agg_P2))+G9*H9*SUMPRODUCT((agg_mat="PF_out")*(agg_ie=2)*(agg_bar=E9)*agg_P2)</f>
        <v>0</v>
      </c>
      <c r="O9" s="20" t="n">
        <f aca="false">F9*(H9*SUMPRODUCT((agg_mat="PF_out")*(agg_ie=1)*(agg_bar=E9)*agg_P5)+(1-H9)*SUMPRODUCT((agg_mat="L")*(agg_ie=1)*(agg_bar=0)*agg_P5))+G9*H9*SUMPRODUCT((agg_mat="PF_out")*(agg_ie=2)*(agg_bar=E9)*agg_P5)</f>
        <v>0</v>
      </c>
      <c r="P9" s="21" t="n">
        <f aca="false">I9/I$5</f>
        <v>36.7122448979592</v>
      </c>
      <c r="Q9" s="39" t="n">
        <f aca="false">G9*H9*SUMPRODUCT((agg_mat="PF_out")*(agg_ie=2)*(agg_bar=E9)*agg_En)/I9</f>
        <v>0.833842903996887</v>
      </c>
      <c r="R9" s="14" t="str">
        <f aca="false">IF(N9&lt;=crit_f2,"충족","불충족")</f>
        <v>충족</v>
      </c>
      <c r="T9" s="3" t="s">
        <v>186</v>
      </c>
      <c r="U9" s="20" t="n">
        <f aca="false">I9</f>
        <v>0.000647604</v>
      </c>
      <c r="V9" s="20" t="n">
        <f aca="false">I15</f>
        <v>8.06364E-005</v>
      </c>
    </row>
    <row r="10" customFormat="false" ht="15" hidden="false" customHeight="false" outlineLevel="0" collapsed="false">
      <c r="A10" s="14" t="s">
        <v>306</v>
      </c>
      <c r="B10" s="14" t="s">
        <v>307</v>
      </c>
      <c r="C10" s="24" t="s">
        <v>315</v>
      </c>
      <c r="D10" s="14" t="s">
        <v>173</v>
      </c>
      <c r="E10" s="14" t="n">
        <f aca="false">IF(AND(B10="M1",D10="sc"),1,0)</f>
        <v>0</v>
      </c>
      <c r="F10" s="38" t="n">
        <f aca="false">F_IE1_B1</f>
        <v>0.000126</v>
      </c>
      <c r="G10" s="38" t="n">
        <f aca="false">F_IE2</f>
        <v>0.0006</v>
      </c>
      <c r="H10" s="17" t="n">
        <f aca="false">IF(D10="불연",0,IF(E10=1,p_exp1,p_exp0))</f>
        <v>0.9</v>
      </c>
      <c r="I10" s="30" t="n">
        <f aca="false">F10*(H10*SUMPRODUCT((agg_mat="PF_in")*(agg_ie=1)*(agg_bar=E10)*agg_En)+(1-H10)*SUMPRODUCT((agg_mat="L")*(agg_ie=1)*(agg_bar=0)*agg_En))+G10*H10*SUMPRODUCT((agg_mat="PF_in")*(agg_ie=2)*(agg_bar=E10)*agg_En)</f>
        <v>0.001781604</v>
      </c>
      <c r="J10" s="30" t="n">
        <f aca="false">F10*(H10*SUMPRODUCT((agg_mat="PF_in")*(agg_ie=1)*(agg_bar=E10)*agg_Ep)+(1-H10)*SUMPRODUCT((agg_mat="L")*(agg_ie=1)*(agg_bar=0)*agg_Ep))+G10*H10*SUMPRODUCT((agg_mat="PF_in")*(agg_ie=2)*(agg_bar=E10)*agg_Ep)</f>
        <v>0.00890802</v>
      </c>
      <c r="K10" s="20" t="n">
        <f aca="false">p_d*J10</f>
        <v>0.000445401</v>
      </c>
      <c r="L10" s="20" t="n">
        <f aca="false">K10/occ_total</f>
        <v>2.96934E-006</v>
      </c>
      <c r="M10" s="20" t="n">
        <f aca="false">F10*(H10*SUMPRODUCT((agg_mat="PF_in")*(agg_ie=1)*(agg_bar=E10)*agg_P1)+(1-H10)*SUMPRODUCT((agg_mat="L")*(agg_ie=1)*(agg_bar=0)*agg_P1))+G10*H10*SUMPRODUCT((agg_mat="PF_in")*(agg_ie=2)*(agg_bar=E10)*agg_P1)</f>
        <v>0.000647604</v>
      </c>
      <c r="N10" s="30" t="n">
        <f aca="false">F10*(H10*SUMPRODUCT((agg_mat="PF_in")*(agg_ie=1)*(agg_bar=E10)*agg_P2)+(1-H10)*SUMPRODUCT((agg_mat="L")*(agg_ie=1)*(agg_bar=0)*agg_P2))+G10*H10*SUMPRODUCT((agg_mat="PF_in")*(agg_ie=2)*(agg_bar=E10)*agg_P2)</f>
        <v>0.00063828</v>
      </c>
      <c r="O10" s="20" t="n">
        <f aca="false">F10*(H10*SUMPRODUCT((agg_mat="PF_in")*(agg_ie=1)*(agg_bar=E10)*agg_P5)+(1-H10)*SUMPRODUCT((agg_mat="L")*(agg_ie=1)*(agg_bar=0)*agg_P5))+G10*H10*SUMPRODUCT((agg_mat="PF_in")*(agg_ie=2)*(agg_bar=E10)*agg_P5)</f>
        <v>0</v>
      </c>
      <c r="P10" s="21" t="n">
        <f aca="false">I10/I$5</f>
        <v>100.997959183673</v>
      </c>
      <c r="Q10" s="39" t="n">
        <f aca="false">G10*H10*SUMPRODUCT((agg_mat="PF_in")*(agg_ie=2)*(agg_bar=E10)*agg_En)/I10</f>
        <v>0.833518559679929</v>
      </c>
      <c r="R10" s="14" t="str">
        <f aca="false">IF(N10&lt;=crit_f2,"충족","불충족")</f>
        <v>불충족</v>
      </c>
      <c r="T10" s="3" t="s">
        <v>189</v>
      </c>
      <c r="U10" s="20" t="n">
        <f aca="false">I10</f>
        <v>0.001781604</v>
      </c>
      <c r="V10" s="20" t="n">
        <f aca="false">I16</f>
        <v>0.00010424628</v>
      </c>
    </row>
    <row r="11" customFormat="false" ht="15" hidden="false" customHeight="false" outlineLevel="0" collapsed="false">
      <c r="A11" s="14" t="s">
        <v>306</v>
      </c>
      <c r="B11" s="14" t="s">
        <v>316</v>
      </c>
      <c r="C11" s="2" t="s">
        <v>308</v>
      </c>
      <c r="D11" s="10" t="s">
        <v>309</v>
      </c>
      <c r="E11" s="14" t="n">
        <f aca="false">IF(AND(B11="M1",D11="sc"),1,0)</f>
        <v>0</v>
      </c>
      <c r="F11" s="38" t="n">
        <f aca="false">F_IE1_B1</f>
        <v>0.000126</v>
      </c>
      <c r="G11" s="38" t="n">
        <f aca="false">F_IE2</f>
        <v>0.0006</v>
      </c>
      <c r="H11" s="17" t="n">
        <f aca="false">IF(D11="불연",0,IF(E11=1,p_exp1,p_exp0))</f>
        <v>0</v>
      </c>
      <c r="I11" s="30" t="n">
        <f aca="false">F11*SUMPRODUCT((agg_mat="L")*(agg_ie=1)*(agg_bar=0)*agg_En)</f>
        <v>1.764E-005</v>
      </c>
      <c r="J11" s="30" t="n">
        <f aca="false">F11*SUMPRODUCT((agg_mat="L")*(agg_ie=1)*(agg_bar=0)*agg_Ep)</f>
        <v>8.82E-005</v>
      </c>
      <c r="K11" s="20" t="n">
        <f aca="false">p_d*J11</f>
        <v>4.41E-006</v>
      </c>
      <c r="L11" s="20" t="n">
        <f aca="false">K11/occ_total</f>
        <v>2.94E-008</v>
      </c>
      <c r="M11" s="20" t="n">
        <f aca="false">F11*SUMPRODUCT((agg_mat="L")*(agg_ie=1)*(agg_bar=0)*agg_P1)</f>
        <v>1.764E-005</v>
      </c>
      <c r="N11" s="30" t="n">
        <f aca="false">F11*SUMPRODUCT((agg_mat="L")*(agg_ie=1)*(agg_bar=0)*agg_P2)</f>
        <v>0</v>
      </c>
      <c r="O11" s="20" t="n">
        <f aca="false">F11*SUMPRODUCT((agg_mat="L")*(agg_ie=1)*(agg_bar=0)*agg_P5)</f>
        <v>0</v>
      </c>
      <c r="P11" s="21" t="n">
        <f aca="false">I11/I$11</f>
        <v>1</v>
      </c>
      <c r="Q11" s="39" t="n">
        <v>0</v>
      </c>
      <c r="R11" s="14" t="str">
        <f aca="false">IF(N11&lt;=crit_f2,"충족","불충족")</f>
        <v>충족</v>
      </c>
    </row>
    <row r="12" customFormat="false" ht="15" hidden="false" customHeight="false" outlineLevel="0" collapsed="false">
      <c r="A12" s="14" t="s">
        <v>306</v>
      </c>
      <c r="B12" s="14" t="s">
        <v>316</v>
      </c>
      <c r="C12" s="24" t="s">
        <v>311</v>
      </c>
      <c r="D12" s="14" t="s">
        <v>173</v>
      </c>
      <c r="E12" s="14" t="n">
        <f aca="false">IF(AND(B12="M1",D12="sc"),1,0)</f>
        <v>1</v>
      </c>
      <c r="F12" s="38" t="n">
        <f aca="false">F_IE1_B1</f>
        <v>0.000126</v>
      </c>
      <c r="G12" s="38" t="n">
        <f aca="false">F_IE2</f>
        <v>0.0006</v>
      </c>
      <c r="H12" s="17" t="n">
        <f aca="false">IF(D12="불연",0,IF(E12=1,p_exp1,p_exp0))</f>
        <v>0.3</v>
      </c>
      <c r="I12" s="30" t="n">
        <f aca="false">F12*(H12*SUMPRODUCT((agg_mat="EPS_SC")*(agg_ie=1)*(agg_bar=E12)*agg_En)+(1-H12)*SUMPRODUCT((agg_mat="L")*(agg_ie=1)*(agg_bar=0)*agg_En))+G12*H12*SUMPRODUCT((agg_mat="EPS_SC")*(agg_ie=2)*(agg_bar=E12)*agg_En)</f>
        <v>5.96376E-005</v>
      </c>
      <c r="J12" s="30" t="n">
        <f aca="false">F12*(H12*SUMPRODUCT((agg_mat="EPS_SC")*(agg_ie=1)*(agg_bar=E12)*agg_Ep)+(1-H12)*SUMPRODUCT((agg_mat="L")*(agg_ie=1)*(agg_bar=0)*agg_Ep))+G12*H12*SUMPRODUCT((agg_mat="EPS_SC")*(agg_ie=2)*(agg_bar=E12)*agg_Ep)</f>
        <v>0.000298188</v>
      </c>
      <c r="K12" s="20" t="n">
        <f aca="false">p_d*J12</f>
        <v>1.49094E-005</v>
      </c>
      <c r="L12" s="20" t="n">
        <f aca="false">K12/occ_total</f>
        <v>9.9396E-008</v>
      </c>
      <c r="M12" s="20" t="n">
        <f aca="false">F12*(H12*SUMPRODUCT((agg_mat="EPS_SC")*(agg_ie=1)*(agg_bar=E12)*agg_P1)+(1-H12)*SUMPRODUCT((agg_mat="L")*(agg_ie=1)*(agg_bar=0)*agg_P1))+G12*H12*SUMPRODUCT((agg_mat="EPS_SC")*(agg_ie=2)*(agg_bar=E12)*agg_P1)</f>
        <v>5.96376E-005</v>
      </c>
      <c r="N12" s="30" t="n">
        <f aca="false">F12*(H12*SUMPRODUCT((agg_mat="EPS_SC")*(agg_ie=1)*(agg_bar=E12)*agg_P2)+(1-H12)*SUMPRODUCT((agg_mat="L")*(agg_ie=1)*(agg_bar=0)*agg_P2))+G12*H12*SUMPRODUCT((agg_mat="EPS_SC")*(agg_ie=2)*(agg_bar=E12)*agg_P2)</f>
        <v>0</v>
      </c>
      <c r="O12" s="20" t="n">
        <f aca="false">F12*(H12*SUMPRODUCT((agg_mat="EPS_SC")*(agg_ie=1)*(agg_bar=E12)*agg_P5)+(1-H12)*SUMPRODUCT((agg_mat="L")*(agg_ie=1)*(agg_bar=0)*agg_P5))+G12*H12*SUMPRODUCT((agg_mat="EPS_SC")*(agg_ie=2)*(agg_bar=E12)*agg_P5)</f>
        <v>0</v>
      </c>
      <c r="P12" s="21" t="n">
        <f aca="false">I12/I$11</f>
        <v>3.38081632653061</v>
      </c>
      <c r="Q12" s="39" t="n">
        <f aca="false">G12*H12*SUMPRODUCT((agg_mat="EPS_SC")*(agg_ie=2)*(agg_bar=E12)*agg_En)/I12</f>
        <v>0.603646021972715</v>
      </c>
      <c r="R12" s="14" t="str">
        <f aca="false">IF(N12&lt;=crit_f2,"충족","불충족")</f>
        <v>충족</v>
      </c>
    </row>
    <row r="13" customFormat="false" ht="15" hidden="false" customHeight="false" outlineLevel="0" collapsed="false">
      <c r="A13" s="14" t="s">
        <v>306</v>
      </c>
      <c r="B13" s="14" t="s">
        <v>316</v>
      </c>
      <c r="C13" s="24" t="s">
        <v>312</v>
      </c>
      <c r="D13" s="14" t="s">
        <v>166</v>
      </c>
      <c r="E13" s="14" t="n">
        <f aca="false">IF(AND(B13="M1",D13="sc"),1,0)</f>
        <v>0</v>
      </c>
      <c r="F13" s="38" t="n">
        <f aca="false">F_IE1_B1</f>
        <v>0.000126</v>
      </c>
      <c r="G13" s="38" t="n">
        <f aca="false">F_IE2</f>
        <v>0.0006</v>
      </c>
      <c r="H13" s="17" t="n">
        <f aca="false">IF(D13="불연",0,IF(E13=1,p_exp1,p_exp0))</f>
        <v>0.9</v>
      </c>
      <c r="I13" s="30" t="n">
        <f aca="false">F13*(H13*SUMPRODUCT((agg_mat="PIR_C")*(agg_ie=1)*(agg_bar=E13)*agg_En)+(1-H13)*SUMPRODUCT((agg_mat="L")*(agg_ie=1)*(agg_bar=0)*agg_En))+G13*H13*SUMPRODUCT((agg_mat="PIR_C")*(agg_ie=2)*(agg_bar=E13)*agg_En)</f>
        <v>0.008355564</v>
      </c>
      <c r="J13" s="30" t="n">
        <f aca="false">F13*(H13*SUMPRODUCT((agg_mat="PIR_C")*(agg_ie=1)*(agg_bar=E13)*agg_Ep)+(1-H13)*SUMPRODUCT((agg_mat="L")*(agg_ie=1)*(agg_bar=0)*agg_Ep))+G13*H13*SUMPRODUCT((agg_mat="PIR_C")*(agg_ie=2)*(agg_bar=E13)*agg_Ep)</f>
        <v>0.04177782</v>
      </c>
      <c r="K13" s="20" t="n">
        <f aca="false">p_d*J13</f>
        <v>0.002088891</v>
      </c>
      <c r="L13" s="20" t="n">
        <f aca="false">K13/occ_total</f>
        <v>1.392594E-005</v>
      </c>
      <c r="M13" s="20" t="n">
        <f aca="false">F13*(H13*SUMPRODUCT((agg_mat="PIR_C")*(agg_ie=1)*(agg_bar=E13)*agg_P1)+(1-H13)*SUMPRODUCT((agg_mat="L")*(agg_ie=1)*(agg_bar=0)*agg_P1))+G13*H13*SUMPRODUCT((agg_mat="PIR_C")*(agg_ie=2)*(agg_bar=E13)*agg_P1)</f>
        <v>0.000647604</v>
      </c>
      <c r="N13" s="30" t="n">
        <f aca="false">F13*(H13*SUMPRODUCT((agg_mat="PIR_C")*(agg_ie=1)*(agg_bar=E13)*agg_P2)+(1-H13)*SUMPRODUCT((agg_mat="L")*(agg_ie=1)*(agg_bar=0)*agg_P2))+G13*H13*SUMPRODUCT((agg_mat="PIR_C")*(agg_ie=2)*(agg_bar=E13)*agg_P2)</f>
        <v>0.00063828</v>
      </c>
      <c r="O13" s="20" t="n">
        <f aca="false">F13*(H13*SUMPRODUCT((agg_mat="PIR_C")*(agg_ie=1)*(agg_bar=E13)*agg_P5)+(1-H13)*SUMPRODUCT((agg_mat="L")*(agg_ie=1)*(agg_bar=0)*agg_P5))+G13*H13*SUMPRODUCT((agg_mat="PIR_C")*(agg_ie=2)*(agg_bar=E13)*agg_P5)</f>
        <v>0.0006156</v>
      </c>
      <c r="P13" s="21" t="n">
        <f aca="false">I13/I$11</f>
        <v>473.671428571429</v>
      </c>
      <c r="Q13" s="39" t="n">
        <f aca="false">G13*H13*SUMPRODUCT((agg_mat="PIR_C")*(agg_ie=2)*(agg_bar=E13)*agg_En)/I13</f>
        <v>0.904786319630847</v>
      </c>
      <c r="R13" s="14" t="str">
        <f aca="false">IF(N13&lt;=crit_f2,"충족","불충족")</f>
        <v>불충족</v>
      </c>
    </row>
    <row r="14" customFormat="false" ht="15" hidden="false" customHeight="false" outlineLevel="0" collapsed="false">
      <c r="A14" s="14" t="s">
        <v>306</v>
      </c>
      <c r="B14" s="14" t="s">
        <v>316</v>
      </c>
      <c r="C14" s="24" t="s">
        <v>313</v>
      </c>
      <c r="D14" s="14" t="s">
        <v>173</v>
      </c>
      <c r="E14" s="14" t="n">
        <f aca="false">IF(AND(B14="M1",D14="sc"),1,0)</f>
        <v>1</v>
      </c>
      <c r="F14" s="38" t="n">
        <f aca="false">F_IE1_B1</f>
        <v>0.000126</v>
      </c>
      <c r="G14" s="38" t="n">
        <f aca="false">F_IE2</f>
        <v>0.0006</v>
      </c>
      <c r="H14" s="17" t="n">
        <f aca="false">IF(D14="불연",0,IF(E14=1,p_exp1,p_exp0))</f>
        <v>0.3</v>
      </c>
      <c r="I14" s="30" t="n">
        <f aca="false">F14*(H14*SUMPRODUCT((agg_mat="PIR_SC")*(agg_ie=1)*(agg_bar=E14)*agg_En)+(1-H14)*SUMPRODUCT((agg_mat="L")*(agg_ie=1)*(agg_bar=0)*agg_En))+G14*H14*SUMPRODUCT((agg_mat="PIR_SC")*(agg_ie=2)*(agg_bar=E14)*agg_En)</f>
        <v>8.06364E-005</v>
      </c>
      <c r="J14" s="30" t="n">
        <f aca="false">F14*(H14*SUMPRODUCT((agg_mat="PIR_SC")*(agg_ie=1)*(agg_bar=E14)*agg_Ep)+(1-H14)*SUMPRODUCT((agg_mat="L")*(agg_ie=1)*(agg_bar=0)*agg_Ep))+G14*H14*SUMPRODUCT((agg_mat="PIR_SC")*(agg_ie=2)*(agg_bar=E14)*agg_Ep)</f>
        <v>0.000403182</v>
      </c>
      <c r="K14" s="20" t="n">
        <f aca="false">p_d*J14</f>
        <v>2.01591E-005</v>
      </c>
      <c r="L14" s="20" t="n">
        <f aca="false">K14/occ_total</f>
        <v>1.34394E-007</v>
      </c>
      <c r="M14" s="20" t="n">
        <f aca="false">F14*(H14*SUMPRODUCT((agg_mat="PIR_SC")*(agg_ie=1)*(agg_bar=E14)*agg_P1)+(1-H14)*SUMPRODUCT((agg_mat="L")*(agg_ie=1)*(agg_bar=0)*agg_P1))+G14*H14*SUMPRODUCT((agg_mat="PIR_SC")*(agg_ie=2)*(agg_bar=E14)*agg_P1)</f>
        <v>8.06364E-005</v>
      </c>
      <c r="N14" s="30" t="n">
        <f aca="false">F14*(H14*SUMPRODUCT((agg_mat="PIR_SC")*(agg_ie=1)*(agg_bar=E14)*agg_P2)+(1-H14)*SUMPRODUCT((agg_mat="L")*(agg_ie=1)*(agg_bar=0)*agg_P2))+G14*H14*SUMPRODUCT((agg_mat="PIR_SC")*(agg_ie=2)*(agg_bar=E14)*agg_P2)</f>
        <v>0</v>
      </c>
      <c r="O14" s="20" t="n">
        <f aca="false">F14*(H14*SUMPRODUCT((agg_mat="PIR_SC")*(agg_ie=1)*(agg_bar=E14)*agg_P5)+(1-H14)*SUMPRODUCT((agg_mat="L")*(agg_ie=1)*(agg_bar=0)*agg_P5))+G14*H14*SUMPRODUCT((agg_mat="PIR_SC")*(agg_ie=2)*(agg_bar=E14)*agg_P5)</f>
        <v>0</v>
      </c>
      <c r="P14" s="21" t="n">
        <f aca="false">I14/I$11</f>
        <v>4.57122448979592</v>
      </c>
      <c r="Q14" s="39" t="n">
        <f aca="false">G14*H14*SUMPRODUCT((agg_mat="PIR_SC")*(agg_ie=2)*(agg_bar=E14)*agg_En)/I14</f>
        <v>0.669672753247913</v>
      </c>
      <c r="R14" s="14" t="str">
        <f aca="false">IF(N14&lt;=crit_f2,"충족","불충족")</f>
        <v>충족</v>
      </c>
    </row>
    <row r="15" customFormat="false" ht="15" hidden="false" customHeight="false" outlineLevel="0" collapsed="false">
      <c r="A15" s="14" t="s">
        <v>306</v>
      </c>
      <c r="B15" s="14" t="s">
        <v>316</v>
      </c>
      <c r="C15" s="24" t="s">
        <v>314</v>
      </c>
      <c r="D15" s="14" t="s">
        <v>173</v>
      </c>
      <c r="E15" s="14" t="n">
        <f aca="false">IF(AND(B15="M1",D15="sc"),1,0)</f>
        <v>1</v>
      </c>
      <c r="F15" s="38" t="n">
        <f aca="false">F_IE1_B1</f>
        <v>0.000126</v>
      </c>
      <c r="G15" s="38" t="n">
        <f aca="false">F_IE2</f>
        <v>0.0006</v>
      </c>
      <c r="H15" s="17" t="n">
        <f aca="false">IF(D15="불연",0,IF(E15=1,p_exp1,p_exp0))</f>
        <v>0.3</v>
      </c>
      <c r="I15" s="30" t="n">
        <f aca="false">F15*(H15*SUMPRODUCT((agg_mat="PF_out")*(agg_ie=1)*(agg_bar=E15)*agg_En)+(1-H15)*SUMPRODUCT((agg_mat="L")*(agg_ie=1)*(agg_bar=0)*agg_En))+G15*H15*SUMPRODUCT((agg_mat="PF_out")*(agg_ie=2)*(agg_bar=E15)*agg_En)</f>
        <v>8.06364E-005</v>
      </c>
      <c r="J15" s="30" t="n">
        <f aca="false">F15*(H15*SUMPRODUCT((agg_mat="PF_out")*(agg_ie=1)*(agg_bar=E15)*agg_Ep)+(1-H15)*SUMPRODUCT((agg_mat="L")*(agg_ie=1)*(agg_bar=0)*agg_Ep))+G15*H15*SUMPRODUCT((agg_mat="PF_out")*(agg_ie=2)*(agg_bar=E15)*agg_Ep)</f>
        <v>0.000403182</v>
      </c>
      <c r="K15" s="20" t="n">
        <f aca="false">p_d*J15</f>
        <v>2.01591E-005</v>
      </c>
      <c r="L15" s="20" t="n">
        <f aca="false">K15/occ_total</f>
        <v>1.34394E-007</v>
      </c>
      <c r="M15" s="20" t="n">
        <f aca="false">F15*(H15*SUMPRODUCT((agg_mat="PF_out")*(agg_ie=1)*(agg_bar=E15)*agg_P1)+(1-H15)*SUMPRODUCT((agg_mat="L")*(agg_ie=1)*(agg_bar=0)*agg_P1))+G15*H15*SUMPRODUCT((agg_mat="PF_out")*(agg_ie=2)*(agg_bar=E15)*agg_P1)</f>
        <v>8.06364E-005</v>
      </c>
      <c r="N15" s="30" t="n">
        <f aca="false">F15*(H15*SUMPRODUCT((agg_mat="PF_out")*(agg_ie=1)*(agg_bar=E15)*agg_P2)+(1-H15)*SUMPRODUCT((agg_mat="L")*(agg_ie=1)*(agg_bar=0)*agg_P2))+G15*H15*SUMPRODUCT((agg_mat="PF_out")*(agg_ie=2)*(agg_bar=E15)*agg_P2)</f>
        <v>0</v>
      </c>
      <c r="O15" s="20" t="n">
        <f aca="false">F15*(H15*SUMPRODUCT((agg_mat="PF_out")*(agg_ie=1)*(agg_bar=E15)*agg_P5)+(1-H15)*SUMPRODUCT((agg_mat="L")*(agg_ie=1)*(agg_bar=0)*agg_P5))+G15*H15*SUMPRODUCT((agg_mat="PF_out")*(agg_ie=2)*(agg_bar=E15)*agg_P5)</f>
        <v>0</v>
      </c>
      <c r="P15" s="21" t="n">
        <f aca="false">I15/I$11</f>
        <v>4.57122448979592</v>
      </c>
      <c r="Q15" s="39" t="n">
        <f aca="false">G15*H15*SUMPRODUCT((agg_mat="PF_out")*(agg_ie=2)*(agg_bar=E15)*agg_En)/I15</f>
        <v>0.669672753247913</v>
      </c>
      <c r="R15" s="14" t="str">
        <f aca="false">IF(N15&lt;=crit_f2,"충족","불충족")</f>
        <v>충족</v>
      </c>
    </row>
    <row r="16" customFormat="false" ht="15" hidden="false" customHeight="false" outlineLevel="0" collapsed="false">
      <c r="A16" s="14" t="s">
        <v>306</v>
      </c>
      <c r="B16" s="14" t="s">
        <v>316</v>
      </c>
      <c r="C16" s="24" t="s">
        <v>315</v>
      </c>
      <c r="D16" s="14" t="s">
        <v>173</v>
      </c>
      <c r="E16" s="14" t="n">
        <f aca="false">IF(AND(B16="M1",D16="sc"),1,0)</f>
        <v>1</v>
      </c>
      <c r="F16" s="38" t="n">
        <f aca="false">F_IE1_B1</f>
        <v>0.000126</v>
      </c>
      <c r="G16" s="38" t="n">
        <f aca="false">F_IE2</f>
        <v>0.0006</v>
      </c>
      <c r="H16" s="17" t="n">
        <f aca="false">IF(D16="불연",0,IF(E16=1,p_exp1,p_exp0))</f>
        <v>0.3</v>
      </c>
      <c r="I16" s="30" t="n">
        <f aca="false">F16*(H16*SUMPRODUCT((agg_mat="PF_in")*(agg_ie=1)*(agg_bar=E16)*agg_En)+(1-H16)*SUMPRODUCT((agg_mat="L")*(agg_ie=1)*(agg_bar=0)*agg_En))+G16*H16*SUMPRODUCT((agg_mat="PF_in")*(agg_ie=2)*(agg_bar=E16)*agg_En)</f>
        <v>0.00010424628</v>
      </c>
      <c r="J16" s="30" t="n">
        <f aca="false">F16*(H16*SUMPRODUCT((agg_mat="PF_in")*(agg_ie=1)*(agg_bar=E16)*agg_Ep)+(1-H16)*SUMPRODUCT((agg_mat="L")*(agg_ie=1)*(agg_bar=0)*agg_Ep))+G16*H16*SUMPRODUCT((agg_mat="PF_in")*(agg_ie=2)*(agg_bar=E16)*agg_Ep)</f>
        <v>0.0005212314</v>
      </c>
      <c r="K16" s="20" t="n">
        <f aca="false">p_d*J16</f>
        <v>2.606157E-005</v>
      </c>
      <c r="L16" s="20" t="n">
        <f aca="false">K16/occ_total</f>
        <v>1.737438E-007</v>
      </c>
      <c r="M16" s="20" t="n">
        <f aca="false">F16*(H16*SUMPRODUCT((agg_mat="PF_in")*(agg_ie=1)*(agg_bar=E16)*agg_P1)+(1-H16)*SUMPRODUCT((agg_mat="L")*(agg_ie=1)*(agg_bar=0)*agg_P1))+G16*H16*SUMPRODUCT((agg_mat="PF_in")*(agg_ie=2)*(agg_bar=E16)*agg_P1)</f>
        <v>8.06364E-005</v>
      </c>
      <c r="N16" s="30" t="n">
        <f aca="false">F16*(H16*SUMPRODUCT((agg_mat="PF_in")*(agg_ie=1)*(agg_bar=E16)*agg_P2)+(1-H16)*SUMPRODUCT((agg_mat="L")*(agg_ie=1)*(agg_bar=0)*agg_P2))+G16*H16*SUMPRODUCT((agg_mat="PF_in")*(agg_ie=2)*(agg_bar=E16)*agg_P2)</f>
        <v>1.91484E-005</v>
      </c>
      <c r="O16" s="20" t="n">
        <f aca="false">F16*(H16*SUMPRODUCT((agg_mat="PF_in")*(agg_ie=1)*(agg_bar=E16)*agg_P5)+(1-H16)*SUMPRODUCT((agg_mat="L")*(agg_ie=1)*(agg_bar=0)*agg_P5))+G16*H16*SUMPRODUCT((agg_mat="PF_in")*(agg_ie=2)*(agg_bar=E16)*agg_P5)</f>
        <v>0</v>
      </c>
      <c r="P16" s="21" t="n">
        <f aca="false">I16/I$11</f>
        <v>5.90965306122449</v>
      </c>
      <c r="Q16" s="39" t="n">
        <f aca="false">G16*H16*SUMPRODUCT((agg_mat="PF_in")*(agg_ie=2)*(agg_bar=E16)*agg_En)/I16</f>
        <v>0.708370600850217</v>
      </c>
      <c r="R16" s="14" t="str">
        <f aca="false">IF(N16&lt;=crit_f2,"충족","불충족")</f>
        <v>충족</v>
      </c>
    </row>
    <row r="17" customFormat="false" ht="15" hidden="false" customHeight="false" outlineLevel="0" collapsed="false">
      <c r="A17" s="14" t="s">
        <v>317</v>
      </c>
      <c r="B17" s="14" t="s">
        <v>307</v>
      </c>
      <c r="C17" s="2" t="s">
        <v>308</v>
      </c>
      <c r="D17" s="10" t="s">
        <v>309</v>
      </c>
      <c r="E17" s="14" t="n">
        <f aca="false">IF(AND(B17="M1",D17="sc"),1,0)</f>
        <v>0</v>
      </c>
      <c r="F17" s="38" t="n">
        <f aca="false">F_IE1_B0</f>
        <v>0.00126</v>
      </c>
      <c r="G17" s="38" t="n">
        <f aca="false">F_IE2</f>
        <v>0.0006</v>
      </c>
      <c r="H17" s="17" t="n">
        <f aca="false">IF(D17="불연",0,IF(E17=1,p_exp1,p_exp0))</f>
        <v>0</v>
      </c>
      <c r="I17" s="30" t="n">
        <f aca="false">F17*SUMPRODUCT((agg_mat="L")*(agg_ie=1)*(agg_bar=0)*agg_En)</f>
        <v>0.0001764</v>
      </c>
      <c r="J17" s="30" t="n">
        <f aca="false">F17*SUMPRODUCT((agg_mat="L")*(agg_ie=1)*(agg_bar=0)*agg_Ep)</f>
        <v>0.000882</v>
      </c>
      <c r="K17" s="20" t="n">
        <f aca="false">p_d*J17</f>
        <v>4.41E-005</v>
      </c>
      <c r="L17" s="20" t="n">
        <f aca="false">K17/occ_total</f>
        <v>2.94E-007</v>
      </c>
      <c r="M17" s="20" t="n">
        <f aca="false">F17*SUMPRODUCT((agg_mat="L")*(agg_ie=1)*(agg_bar=0)*agg_P1)</f>
        <v>0.0001764</v>
      </c>
      <c r="N17" s="30" t="n">
        <f aca="false">F17*SUMPRODUCT((agg_mat="L")*(agg_ie=1)*(agg_bar=0)*agg_P2)</f>
        <v>0</v>
      </c>
      <c r="O17" s="20" t="n">
        <f aca="false">F17*SUMPRODUCT((agg_mat="L")*(agg_ie=1)*(agg_bar=0)*agg_P5)</f>
        <v>0</v>
      </c>
      <c r="P17" s="21" t="n">
        <f aca="false">I17/I$17</f>
        <v>1</v>
      </c>
      <c r="Q17" s="39" t="n">
        <v>0</v>
      </c>
      <c r="R17" s="14" t="str">
        <f aca="false">IF(N17&lt;=crit_f2,"충족","불충족")</f>
        <v>충족</v>
      </c>
    </row>
    <row r="18" customFormat="false" ht="15" hidden="false" customHeight="false" outlineLevel="0" collapsed="false">
      <c r="A18" s="14" t="s">
        <v>317</v>
      </c>
      <c r="B18" s="14" t="s">
        <v>307</v>
      </c>
      <c r="C18" s="24" t="s">
        <v>311</v>
      </c>
      <c r="D18" s="14" t="s">
        <v>173</v>
      </c>
      <c r="E18" s="14" t="n">
        <f aca="false">IF(AND(B18="M1",D18="sc"),1,0)</f>
        <v>0</v>
      </c>
      <c r="F18" s="38" t="n">
        <f aca="false">F_IE1_B0</f>
        <v>0.00126</v>
      </c>
      <c r="G18" s="38" t="n">
        <f aca="false">F_IE2</f>
        <v>0.0006</v>
      </c>
      <c r="H18" s="17" t="n">
        <f aca="false">IF(D18="불연",0,IF(E18=1,p_exp1,p_exp0))</f>
        <v>0.9</v>
      </c>
      <c r="I18" s="30" t="n">
        <f aca="false">F18*(H18*SUMPRODUCT((agg_mat="EPS_SC")*(agg_ie=1)*(agg_bar=E18)*agg_En)+(1-H18)*SUMPRODUCT((agg_mat="L")*(agg_ie=1)*(agg_bar=0)*agg_En))+G18*H18*SUMPRODUCT((agg_mat="EPS_SC")*(agg_ie=2)*(agg_bar=E18)*agg_En)</f>
        <v>0.00113616</v>
      </c>
      <c r="J18" s="30" t="n">
        <f aca="false">F18*(H18*SUMPRODUCT((agg_mat="EPS_SC")*(agg_ie=1)*(agg_bar=E18)*agg_Ep)+(1-H18)*SUMPRODUCT((agg_mat="L")*(agg_ie=1)*(agg_bar=0)*agg_Ep))+G18*H18*SUMPRODUCT((agg_mat="EPS_SC")*(agg_ie=2)*(agg_bar=E18)*agg_Ep)</f>
        <v>0.0056808</v>
      </c>
      <c r="K18" s="20" t="n">
        <f aca="false">p_d*J18</f>
        <v>0.00028404</v>
      </c>
      <c r="L18" s="20" t="n">
        <f aca="false">K18/occ_total</f>
        <v>1.8936E-006</v>
      </c>
      <c r="M18" s="20" t="n">
        <f aca="false">F18*(H18*SUMPRODUCT((agg_mat="EPS_SC")*(agg_ie=1)*(agg_bar=E18)*agg_P1)+(1-H18)*SUMPRODUCT((agg_mat="L")*(agg_ie=1)*(agg_bar=0)*agg_P1))+G18*H18*SUMPRODUCT((agg_mat="EPS_SC")*(agg_ie=2)*(agg_bar=E18)*agg_P1)</f>
        <v>0.00113616</v>
      </c>
      <c r="N18" s="30" t="n">
        <f aca="false">F18*(H18*SUMPRODUCT((agg_mat="EPS_SC")*(agg_ie=1)*(agg_bar=E18)*agg_P2)+(1-H18)*SUMPRODUCT((agg_mat="L")*(agg_ie=1)*(agg_bar=0)*agg_P2))+G18*H18*SUMPRODUCT((agg_mat="EPS_SC")*(agg_ie=2)*(agg_bar=E18)*agg_P2)</f>
        <v>0</v>
      </c>
      <c r="O18" s="20" t="n">
        <f aca="false">F18*(H18*SUMPRODUCT((agg_mat="EPS_SC")*(agg_ie=1)*(agg_bar=E18)*agg_P5)+(1-H18)*SUMPRODUCT((agg_mat="L")*(agg_ie=1)*(agg_bar=0)*agg_P5))+G18*H18*SUMPRODUCT((agg_mat="EPS_SC")*(agg_ie=2)*(agg_bar=E18)*agg_P5)</f>
        <v>0</v>
      </c>
      <c r="P18" s="21" t="n">
        <f aca="false">I18/I$17</f>
        <v>6.44081632653061</v>
      </c>
      <c r="Q18" s="39" t="n">
        <f aca="false">G18*H18*SUMPRODUCT((agg_mat="EPS_SC")*(agg_ie=2)*(agg_bar=E18)*agg_En)/I18</f>
        <v>0.316856780735108</v>
      </c>
      <c r="R18" s="14" t="str">
        <f aca="false">IF(N18&lt;=crit_f2,"충족","불충족")</f>
        <v>충족</v>
      </c>
    </row>
    <row r="19" customFormat="false" ht="15" hidden="false" customHeight="false" outlineLevel="0" collapsed="false">
      <c r="A19" s="14" t="s">
        <v>317</v>
      </c>
      <c r="B19" s="14" t="s">
        <v>307</v>
      </c>
      <c r="C19" s="24" t="s">
        <v>312</v>
      </c>
      <c r="D19" s="14" t="s">
        <v>166</v>
      </c>
      <c r="E19" s="14" t="n">
        <f aca="false">IF(AND(B19="M1",D19="sc"),1,0)</f>
        <v>0</v>
      </c>
      <c r="F19" s="38" t="n">
        <f aca="false">F_IE1_B0</f>
        <v>0.00126</v>
      </c>
      <c r="G19" s="38" t="n">
        <f aca="false">F_IE2</f>
        <v>0.0006</v>
      </c>
      <c r="H19" s="17" t="n">
        <f aca="false">IF(D19="불연",0,IF(E19=1,p_exp1,p_exp0))</f>
        <v>0.9</v>
      </c>
      <c r="I19" s="30" t="n">
        <f aca="false">F19*(H19*SUMPRODUCT((agg_mat="PIR_C")*(agg_ie=1)*(agg_bar=E19)*agg_En)+(1-H19)*SUMPRODUCT((agg_mat="L")*(agg_ie=1)*(agg_bar=0)*agg_En))+G19*H19*SUMPRODUCT((agg_mat="PIR_C")*(agg_ie=2)*(agg_bar=E19)*agg_En)</f>
        <v>0.01551564</v>
      </c>
      <c r="J19" s="30" t="n">
        <f aca="false">F19*(H19*SUMPRODUCT((agg_mat="PIR_C")*(agg_ie=1)*(agg_bar=E19)*agg_Ep)+(1-H19)*SUMPRODUCT((agg_mat="L")*(agg_ie=1)*(agg_bar=0)*agg_Ep))+G19*H19*SUMPRODUCT((agg_mat="PIR_C")*(agg_ie=2)*(agg_bar=E19)*agg_Ep)</f>
        <v>0.0775782</v>
      </c>
      <c r="K19" s="20" t="n">
        <f aca="false">p_d*J19</f>
        <v>0.00387891</v>
      </c>
      <c r="L19" s="20" t="n">
        <f aca="false">K19/occ_total</f>
        <v>2.58594E-005</v>
      </c>
      <c r="M19" s="20" t="n">
        <f aca="false">F19*(H19*SUMPRODUCT((agg_mat="PIR_C")*(agg_ie=1)*(agg_bar=E19)*agg_P1)+(1-H19)*SUMPRODUCT((agg_mat="L")*(agg_ie=1)*(agg_bar=0)*agg_P1))+G19*H19*SUMPRODUCT((agg_mat="PIR_C")*(agg_ie=2)*(agg_bar=E19)*agg_P1)</f>
        <v>0.00161604</v>
      </c>
      <c r="N19" s="30" t="n">
        <f aca="false">F19*(H19*SUMPRODUCT((agg_mat="PIR_C")*(agg_ie=1)*(agg_bar=E19)*agg_P2)+(1-H19)*SUMPRODUCT((agg_mat="L")*(agg_ie=1)*(agg_bar=0)*agg_P2))+G19*H19*SUMPRODUCT((agg_mat="PIR_C")*(agg_ie=2)*(agg_bar=E19)*agg_P2)</f>
        <v>0.0015228</v>
      </c>
      <c r="O19" s="20" t="n">
        <f aca="false">F19*(H19*SUMPRODUCT((agg_mat="PIR_C")*(agg_ie=1)*(agg_bar=E19)*agg_P5)+(1-H19)*SUMPRODUCT((agg_mat="L")*(agg_ie=1)*(agg_bar=0)*agg_P5))+G19*H19*SUMPRODUCT((agg_mat="PIR_C")*(agg_ie=2)*(agg_bar=E19)*agg_P5)</f>
        <v>0.001296</v>
      </c>
      <c r="P19" s="21" t="n">
        <f aca="false">I19/I$17</f>
        <v>87.9571428571428</v>
      </c>
      <c r="Q19" s="39" t="n">
        <f aca="false">G19*H19*SUMPRODUCT((agg_mat="PIR_C")*(agg_ie=2)*(agg_bar=E19)*agg_En)/I19</f>
        <v>0.487250284229333</v>
      </c>
      <c r="R19" s="14" t="str">
        <f aca="false">IF(N19&lt;=crit_f2,"충족","불충족")</f>
        <v>불충족</v>
      </c>
    </row>
    <row r="20" customFormat="false" ht="15" hidden="false" customHeight="false" outlineLevel="0" collapsed="false">
      <c r="A20" s="14" t="s">
        <v>317</v>
      </c>
      <c r="B20" s="14" t="s">
        <v>307</v>
      </c>
      <c r="C20" s="24" t="s">
        <v>313</v>
      </c>
      <c r="D20" s="14" t="s">
        <v>173</v>
      </c>
      <c r="E20" s="14" t="n">
        <f aca="false">IF(AND(B20="M1",D20="sc"),1,0)</f>
        <v>0</v>
      </c>
      <c r="F20" s="38" t="n">
        <f aca="false">F_IE1_B0</f>
        <v>0.00126</v>
      </c>
      <c r="G20" s="38" t="n">
        <f aca="false">F_IE2</f>
        <v>0.0006</v>
      </c>
      <c r="H20" s="17" t="n">
        <f aca="false">IF(D20="불연",0,IF(E20=1,p_exp1,p_exp0))</f>
        <v>0.9</v>
      </c>
      <c r="I20" s="30" t="n">
        <f aca="false">F20*(H20*SUMPRODUCT((agg_mat="PIR_SC")*(agg_ie=1)*(agg_bar=E20)*agg_En)+(1-H20)*SUMPRODUCT((agg_mat="L")*(agg_ie=1)*(agg_bar=0)*agg_En))+G20*H20*SUMPRODUCT((agg_mat="PIR_SC")*(agg_ie=2)*(agg_bar=E20)*agg_En)</f>
        <v>0.00161604</v>
      </c>
      <c r="J20" s="30" t="n">
        <f aca="false">F20*(H20*SUMPRODUCT((agg_mat="PIR_SC")*(agg_ie=1)*(agg_bar=E20)*agg_Ep)+(1-H20)*SUMPRODUCT((agg_mat="L")*(agg_ie=1)*(agg_bar=0)*agg_Ep))+G20*H20*SUMPRODUCT((agg_mat="PIR_SC")*(agg_ie=2)*(agg_bar=E20)*agg_Ep)</f>
        <v>0.0080802</v>
      </c>
      <c r="K20" s="20" t="n">
        <f aca="false">p_d*J20</f>
        <v>0.00040401</v>
      </c>
      <c r="L20" s="20" t="n">
        <f aca="false">K20/occ_total</f>
        <v>2.6934E-006</v>
      </c>
      <c r="M20" s="20" t="n">
        <f aca="false">F20*(H20*SUMPRODUCT((agg_mat="PIR_SC")*(agg_ie=1)*(agg_bar=E20)*agg_P1)+(1-H20)*SUMPRODUCT((agg_mat="L")*(agg_ie=1)*(agg_bar=0)*agg_P1))+G20*H20*SUMPRODUCT((agg_mat="PIR_SC")*(agg_ie=2)*(agg_bar=E20)*agg_P1)</f>
        <v>0.00161604</v>
      </c>
      <c r="N20" s="30" t="n">
        <f aca="false">F20*(H20*SUMPRODUCT((agg_mat="PIR_SC")*(agg_ie=1)*(agg_bar=E20)*agg_P2)+(1-H20)*SUMPRODUCT((agg_mat="L")*(agg_ie=1)*(agg_bar=0)*agg_P2))+G20*H20*SUMPRODUCT((agg_mat="PIR_SC")*(agg_ie=2)*(agg_bar=E20)*agg_P2)</f>
        <v>0</v>
      </c>
      <c r="O20" s="20" t="n">
        <f aca="false">F20*(H20*SUMPRODUCT((agg_mat="PIR_SC")*(agg_ie=1)*(agg_bar=E20)*agg_P5)+(1-H20)*SUMPRODUCT((agg_mat="L")*(agg_ie=1)*(agg_bar=0)*agg_P5))+G20*H20*SUMPRODUCT((agg_mat="PIR_SC")*(agg_ie=2)*(agg_bar=E20)*agg_P5)</f>
        <v>0</v>
      </c>
      <c r="P20" s="21" t="n">
        <f aca="false">I20/I$17</f>
        <v>9.16122448979592</v>
      </c>
      <c r="Q20" s="39" t="n">
        <f aca="false">G20*H20*SUMPRODUCT((agg_mat="PIR_SC")*(agg_ie=2)*(agg_bar=E20)*agg_En)/I20</f>
        <v>0.334150144798396</v>
      </c>
      <c r="R20" s="14" t="str">
        <f aca="false">IF(N20&lt;=crit_f2,"충족","불충족")</f>
        <v>충족</v>
      </c>
    </row>
    <row r="21" customFormat="false" ht="15" hidden="false" customHeight="false" outlineLevel="0" collapsed="false">
      <c r="A21" s="14" t="s">
        <v>317</v>
      </c>
      <c r="B21" s="14" t="s">
        <v>307</v>
      </c>
      <c r="C21" s="24" t="s">
        <v>314</v>
      </c>
      <c r="D21" s="14" t="s">
        <v>173</v>
      </c>
      <c r="E21" s="14" t="n">
        <f aca="false">IF(AND(B21="M1",D21="sc"),1,0)</f>
        <v>0</v>
      </c>
      <c r="F21" s="38" t="n">
        <f aca="false">F_IE1_B0</f>
        <v>0.00126</v>
      </c>
      <c r="G21" s="38" t="n">
        <f aca="false">F_IE2</f>
        <v>0.0006</v>
      </c>
      <c r="H21" s="17" t="n">
        <f aca="false">IF(D21="불연",0,IF(E21=1,p_exp1,p_exp0))</f>
        <v>0.9</v>
      </c>
      <c r="I21" s="30" t="n">
        <f aca="false">F21*(H21*SUMPRODUCT((agg_mat="PF_out")*(agg_ie=1)*(agg_bar=E21)*agg_En)+(1-H21)*SUMPRODUCT((agg_mat="L")*(agg_ie=1)*(agg_bar=0)*agg_En))+G21*H21*SUMPRODUCT((agg_mat="PF_out")*(agg_ie=2)*(agg_bar=E21)*agg_En)</f>
        <v>0.00161604</v>
      </c>
      <c r="J21" s="30" t="n">
        <f aca="false">F21*(H21*SUMPRODUCT((agg_mat="PF_out")*(agg_ie=1)*(agg_bar=E21)*agg_Ep)+(1-H21)*SUMPRODUCT((agg_mat="L")*(agg_ie=1)*(agg_bar=0)*agg_Ep))+G21*H21*SUMPRODUCT((agg_mat="PF_out")*(agg_ie=2)*(agg_bar=E21)*agg_Ep)</f>
        <v>0.0080802</v>
      </c>
      <c r="K21" s="20" t="n">
        <f aca="false">p_d*J21</f>
        <v>0.00040401</v>
      </c>
      <c r="L21" s="20" t="n">
        <f aca="false">K21/occ_total</f>
        <v>2.6934E-006</v>
      </c>
      <c r="M21" s="20" t="n">
        <f aca="false">F21*(H21*SUMPRODUCT((agg_mat="PF_out")*(agg_ie=1)*(agg_bar=E21)*agg_P1)+(1-H21)*SUMPRODUCT((agg_mat="L")*(agg_ie=1)*(agg_bar=0)*agg_P1))+G21*H21*SUMPRODUCT((agg_mat="PF_out")*(agg_ie=2)*(agg_bar=E21)*agg_P1)</f>
        <v>0.00161604</v>
      </c>
      <c r="N21" s="30" t="n">
        <f aca="false">F21*(H21*SUMPRODUCT((agg_mat="PF_out")*(agg_ie=1)*(agg_bar=E21)*agg_P2)+(1-H21)*SUMPRODUCT((agg_mat="L")*(agg_ie=1)*(agg_bar=0)*agg_P2))+G21*H21*SUMPRODUCT((agg_mat="PF_out")*(agg_ie=2)*(agg_bar=E21)*agg_P2)</f>
        <v>0</v>
      </c>
      <c r="O21" s="20" t="n">
        <f aca="false">F21*(H21*SUMPRODUCT((agg_mat="PF_out")*(agg_ie=1)*(agg_bar=E21)*agg_P5)+(1-H21)*SUMPRODUCT((agg_mat="L")*(agg_ie=1)*(agg_bar=0)*agg_P5))+G21*H21*SUMPRODUCT((agg_mat="PF_out")*(agg_ie=2)*(agg_bar=E21)*agg_P5)</f>
        <v>0</v>
      </c>
      <c r="P21" s="21" t="n">
        <f aca="false">I21/I$17</f>
        <v>9.16122448979592</v>
      </c>
      <c r="Q21" s="39" t="n">
        <f aca="false">G21*H21*SUMPRODUCT((agg_mat="PF_out")*(agg_ie=2)*(agg_bar=E21)*agg_En)/I21</f>
        <v>0.334150144798396</v>
      </c>
      <c r="R21" s="14" t="str">
        <f aca="false">IF(N21&lt;=crit_f2,"충족","불충족")</f>
        <v>충족</v>
      </c>
    </row>
    <row r="22" customFormat="false" ht="15" hidden="false" customHeight="false" outlineLevel="0" collapsed="false">
      <c r="A22" s="14" t="s">
        <v>317</v>
      </c>
      <c r="B22" s="14" t="s">
        <v>307</v>
      </c>
      <c r="C22" s="24" t="s">
        <v>315</v>
      </c>
      <c r="D22" s="14" t="s">
        <v>173</v>
      </c>
      <c r="E22" s="14" t="n">
        <f aca="false">IF(AND(B22="M1",D22="sc"),1,0)</f>
        <v>0</v>
      </c>
      <c r="F22" s="38" t="n">
        <f aca="false">F_IE1_B0</f>
        <v>0.00126</v>
      </c>
      <c r="G22" s="38" t="n">
        <f aca="false">F_IE2</f>
        <v>0.0006</v>
      </c>
      <c r="H22" s="17" t="n">
        <f aca="false">IF(D22="불연",0,IF(E22=1,p_exp1,p_exp0))</f>
        <v>0.9</v>
      </c>
      <c r="I22" s="30" t="n">
        <f aca="false">F22*(H22*SUMPRODUCT((agg_mat="PF_in")*(agg_ie=1)*(agg_bar=E22)*agg_En)+(1-H22)*SUMPRODUCT((agg_mat="L")*(agg_ie=1)*(agg_bar=0)*agg_En))+G22*H22*SUMPRODUCT((agg_mat="PF_in")*(agg_ie=2)*(agg_bar=E22)*agg_En)</f>
        <v>0.00445104</v>
      </c>
      <c r="J22" s="30" t="n">
        <f aca="false">F22*(H22*SUMPRODUCT((agg_mat="PF_in")*(agg_ie=1)*(agg_bar=E22)*agg_Ep)+(1-H22)*SUMPRODUCT((agg_mat="L")*(agg_ie=1)*(agg_bar=0)*agg_Ep))+G22*H22*SUMPRODUCT((agg_mat="PF_in")*(agg_ie=2)*(agg_bar=E22)*agg_Ep)</f>
        <v>0.0222552</v>
      </c>
      <c r="K22" s="20" t="n">
        <f aca="false">p_d*J22</f>
        <v>0.00111276</v>
      </c>
      <c r="L22" s="20" t="n">
        <f aca="false">K22/occ_total</f>
        <v>7.4184E-006</v>
      </c>
      <c r="M22" s="20" t="n">
        <f aca="false">F22*(H22*SUMPRODUCT((agg_mat="PF_in")*(agg_ie=1)*(agg_bar=E22)*agg_P1)+(1-H22)*SUMPRODUCT((agg_mat="L")*(agg_ie=1)*(agg_bar=0)*agg_P1))+G22*H22*SUMPRODUCT((agg_mat="PF_in")*(agg_ie=2)*(agg_bar=E22)*agg_P1)</f>
        <v>0.00161604</v>
      </c>
      <c r="N22" s="30" t="n">
        <f aca="false">F22*(H22*SUMPRODUCT((agg_mat="PF_in")*(agg_ie=1)*(agg_bar=E22)*agg_P2)+(1-H22)*SUMPRODUCT((agg_mat="L")*(agg_ie=1)*(agg_bar=0)*agg_P2))+G22*H22*SUMPRODUCT((agg_mat="PF_in")*(agg_ie=2)*(agg_bar=E22)*agg_P2)</f>
        <v>0.0015228</v>
      </c>
      <c r="O22" s="20" t="n">
        <f aca="false">F22*(H22*SUMPRODUCT((agg_mat="PF_in")*(agg_ie=1)*(agg_bar=E22)*agg_P5)+(1-H22)*SUMPRODUCT((agg_mat="L")*(agg_ie=1)*(agg_bar=0)*agg_P5))+G22*H22*SUMPRODUCT((agg_mat="PF_in")*(agg_ie=2)*(agg_bar=E22)*agg_P5)</f>
        <v>0</v>
      </c>
      <c r="P22" s="21" t="n">
        <f aca="false">I22/I$17</f>
        <v>25.2326530612245</v>
      </c>
      <c r="Q22" s="39" t="n">
        <f aca="false">G22*H22*SUMPRODUCT((agg_mat="PF_in")*(agg_ie=2)*(agg_bar=E22)*agg_En)/I22</f>
        <v>0.333629893238434</v>
      </c>
      <c r="R22" s="14" t="str">
        <f aca="false">IF(N22&lt;=crit_f2,"충족","불충족")</f>
        <v>불충족</v>
      </c>
    </row>
    <row r="23" customFormat="false" ht="15" hidden="false" customHeight="false" outlineLevel="0" collapsed="false">
      <c r="A23" s="14" t="s">
        <v>317</v>
      </c>
      <c r="B23" s="14" t="s">
        <v>316</v>
      </c>
      <c r="C23" s="2" t="s">
        <v>308</v>
      </c>
      <c r="D23" s="10" t="s">
        <v>309</v>
      </c>
      <c r="E23" s="14" t="n">
        <f aca="false">IF(AND(B23="M1",D23="sc"),1,0)</f>
        <v>0</v>
      </c>
      <c r="F23" s="38" t="n">
        <f aca="false">F_IE1_B0</f>
        <v>0.00126</v>
      </c>
      <c r="G23" s="38" t="n">
        <f aca="false">F_IE2</f>
        <v>0.0006</v>
      </c>
      <c r="H23" s="17" t="n">
        <f aca="false">IF(D23="불연",0,IF(E23=1,p_exp1,p_exp0))</f>
        <v>0</v>
      </c>
      <c r="I23" s="30" t="n">
        <f aca="false">F23*SUMPRODUCT((agg_mat="L")*(agg_ie=1)*(agg_bar=0)*agg_En)</f>
        <v>0.0001764</v>
      </c>
      <c r="J23" s="30" t="n">
        <f aca="false">F23*SUMPRODUCT((agg_mat="L")*(agg_ie=1)*(agg_bar=0)*agg_Ep)</f>
        <v>0.000882</v>
      </c>
      <c r="K23" s="20" t="n">
        <f aca="false">p_d*J23</f>
        <v>4.41E-005</v>
      </c>
      <c r="L23" s="20" t="n">
        <f aca="false">K23/occ_total</f>
        <v>2.94E-007</v>
      </c>
      <c r="M23" s="20" t="n">
        <f aca="false">F23*SUMPRODUCT((agg_mat="L")*(agg_ie=1)*(agg_bar=0)*agg_P1)</f>
        <v>0.0001764</v>
      </c>
      <c r="N23" s="30" t="n">
        <f aca="false">F23*SUMPRODUCT((agg_mat="L")*(agg_ie=1)*(agg_bar=0)*agg_P2)</f>
        <v>0</v>
      </c>
      <c r="O23" s="20" t="n">
        <f aca="false">F23*SUMPRODUCT((agg_mat="L")*(agg_ie=1)*(agg_bar=0)*agg_P5)</f>
        <v>0</v>
      </c>
      <c r="P23" s="21" t="n">
        <f aca="false">I23/I$23</f>
        <v>1</v>
      </c>
      <c r="Q23" s="39" t="n">
        <v>0</v>
      </c>
      <c r="R23" s="14" t="str">
        <f aca="false">IF(N23&lt;=crit_f2,"충족","불충족")</f>
        <v>충족</v>
      </c>
    </row>
    <row r="24" customFormat="false" ht="15" hidden="false" customHeight="false" outlineLevel="0" collapsed="false">
      <c r="A24" s="14" t="s">
        <v>317</v>
      </c>
      <c r="B24" s="14" t="s">
        <v>316</v>
      </c>
      <c r="C24" s="24" t="s">
        <v>311</v>
      </c>
      <c r="D24" s="14" t="s">
        <v>173</v>
      </c>
      <c r="E24" s="14" t="n">
        <f aca="false">IF(AND(B24="M1",D24="sc"),1,0)</f>
        <v>1</v>
      </c>
      <c r="F24" s="38" t="n">
        <f aca="false">F_IE1_B0</f>
        <v>0.00126</v>
      </c>
      <c r="G24" s="38" t="n">
        <f aca="false">F_IE2</f>
        <v>0.0006</v>
      </c>
      <c r="H24" s="17" t="n">
        <f aca="false">IF(D24="불연",0,IF(E24=1,p_exp1,p_exp0))</f>
        <v>0.3</v>
      </c>
      <c r="I24" s="30" t="n">
        <f aca="false">F24*(H24*SUMPRODUCT((agg_mat="EPS_SC")*(agg_ie=1)*(agg_bar=E24)*agg_En)+(1-H24)*SUMPRODUCT((agg_mat="L")*(agg_ie=1)*(agg_bar=0)*agg_En))+G24*H24*SUMPRODUCT((agg_mat="EPS_SC")*(agg_ie=2)*(agg_bar=E24)*agg_En)</f>
        <v>0.000272376</v>
      </c>
      <c r="J24" s="30" t="n">
        <f aca="false">F24*(H24*SUMPRODUCT((agg_mat="EPS_SC")*(agg_ie=1)*(agg_bar=E24)*agg_Ep)+(1-H24)*SUMPRODUCT((agg_mat="L")*(agg_ie=1)*(agg_bar=0)*agg_Ep))+G24*H24*SUMPRODUCT((agg_mat="EPS_SC")*(agg_ie=2)*(agg_bar=E24)*agg_Ep)</f>
        <v>0.00136188</v>
      </c>
      <c r="K24" s="20" t="n">
        <f aca="false">p_d*J24</f>
        <v>6.8094E-005</v>
      </c>
      <c r="L24" s="20" t="n">
        <f aca="false">K24/occ_total</f>
        <v>4.5396E-007</v>
      </c>
      <c r="M24" s="20" t="n">
        <f aca="false">F24*(H24*SUMPRODUCT((agg_mat="EPS_SC")*(agg_ie=1)*(agg_bar=E24)*agg_P1)+(1-H24)*SUMPRODUCT((agg_mat="L")*(agg_ie=1)*(agg_bar=0)*agg_P1))+G24*H24*SUMPRODUCT((agg_mat="EPS_SC")*(agg_ie=2)*(agg_bar=E24)*agg_P1)</f>
        <v>0.000272376</v>
      </c>
      <c r="N24" s="30" t="n">
        <f aca="false">F24*(H24*SUMPRODUCT((agg_mat="EPS_SC")*(agg_ie=1)*(agg_bar=E24)*agg_P2)+(1-H24)*SUMPRODUCT((agg_mat="L")*(agg_ie=1)*(agg_bar=0)*agg_P2))+G24*H24*SUMPRODUCT((agg_mat="EPS_SC")*(agg_ie=2)*(agg_bar=E24)*agg_P2)</f>
        <v>0</v>
      </c>
      <c r="O24" s="20" t="n">
        <f aca="false">F24*(H24*SUMPRODUCT((agg_mat="EPS_SC")*(agg_ie=1)*(agg_bar=E24)*agg_P5)+(1-H24)*SUMPRODUCT((agg_mat="L")*(agg_ie=1)*(agg_bar=0)*agg_P5))+G24*H24*SUMPRODUCT((agg_mat="EPS_SC")*(agg_ie=2)*(agg_bar=E24)*agg_P5)</f>
        <v>0</v>
      </c>
      <c r="P24" s="21" t="n">
        <f aca="false">I24/I$23</f>
        <v>1.54408163265306</v>
      </c>
      <c r="Q24" s="39" t="n">
        <f aca="false">G24*H24*SUMPRODUCT((agg_mat="EPS_SC")*(agg_ie=2)*(agg_bar=E24)*agg_En)/I24</f>
        <v>0.132170235263019</v>
      </c>
      <c r="R24" s="14" t="str">
        <f aca="false">IF(N24&lt;=crit_f2,"충족","불충족")</f>
        <v>충족</v>
      </c>
    </row>
    <row r="25" customFormat="false" ht="15" hidden="false" customHeight="false" outlineLevel="0" collapsed="false">
      <c r="A25" s="14" t="s">
        <v>317</v>
      </c>
      <c r="B25" s="14" t="s">
        <v>316</v>
      </c>
      <c r="C25" s="24" t="s">
        <v>312</v>
      </c>
      <c r="D25" s="14" t="s">
        <v>166</v>
      </c>
      <c r="E25" s="14" t="n">
        <f aca="false">IF(AND(B25="M1",D25="sc"),1,0)</f>
        <v>0</v>
      </c>
      <c r="F25" s="38" t="n">
        <f aca="false">F_IE1_B0</f>
        <v>0.00126</v>
      </c>
      <c r="G25" s="38" t="n">
        <f aca="false">F_IE2</f>
        <v>0.0006</v>
      </c>
      <c r="H25" s="17" t="n">
        <f aca="false">IF(D25="불연",0,IF(E25=1,p_exp1,p_exp0))</f>
        <v>0.9</v>
      </c>
      <c r="I25" s="30" t="n">
        <f aca="false">F25*(H25*SUMPRODUCT((agg_mat="PIR_C")*(agg_ie=1)*(agg_bar=E25)*agg_En)+(1-H25)*SUMPRODUCT((agg_mat="L")*(agg_ie=1)*(agg_bar=0)*agg_En))+G25*H25*SUMPRODUCT((agg_mat="PIR_C")*(agg_ie=2)*(agg_bar=E25)*agg_En)</f>
        <v>0.01551564</v>
      </c>
      <c r="J25" s="30" t="n">
        <f aca="false">F25*(H25*SUMPRODUCT((agg_mat="PIR_C")*(agg_ie=1)*(agg_bar=E25)*agg_Ep)+(1-H25)*SUMPRODUCT((agg_mat="L")*(agg_ie=1)*(agg_bar=0)*agg_Ep))+G25*H25*SUMPRODUCT((agg_mat="PIR_C")*(agg_ie=2)*(agg_bar=E25)*agg_Ep)</f>
        <v>0.0775782</v>
      </c>
      <c r="K25" s="20" t="n">
        <f aca="false">p_d*J25</f>
        <v>0.00387891</v>
      </c>
      <c r="L25" s="20" t="n">
        <f aca="false">K25/occ_total</f>
        <v>2.58594E-005</v>
      </c>
      <c r="M25" s="20" t="n">
        <f aca="false">F25*(H25*SUMPRODUCT((agg_mat="PIR_C")*(agg_ie=1)*(agg_bar=E25)*agg_P1)+(1-H25)*SUMPRODUCT((agg_mat="L")*(agg_ie=1)*(agg_bar=0)*agg_P1))+G25*H25*SUMPRODUCT((agg_mat="PIR_C")*(agg_ie=2)*(agg_bar=E25)*agg_P1)</f>
        <v>0.00161604</v>
      </c>
      <c r="N25" s="30" t="n">
        <f aca="false">F25*(H25*SUMPRODUCT((agg_mat="PIR_C")*(agg_ie=1)*(agg_bar=E25)*agg_P2)+(1-H25)*SUMPRODUCT((agg_mat="L")*(agg_ie=1)*(agg_bar=0)*agg_P2))+G25*H25*SUMPRODUCT((agg_mat="PIR_C")*(agg_ie=2)*(agg_bar=E25)*agg_P2)</f>
        <v>0.0015228</v>
      </c>
      <c r="O25" s="20" t="n">
        <f aca="false">F25*(H25*SUMPRODUCT((agg_mat="PIR_C")*(agg_ie=1)*(agg_bar=E25)*agg_P5)+(1-H25)*SUMPRODUCT((agg_mat="L")*(agg_ie=1)*(agg_bar=0)*agg_P5))+G25*H25*SUMPRODUCT((agg_mat="PIR_C")*(agg_ie=2)*(agg_bar=E25)*agg_P5)</f>
        <v>0.001296</v>
      </c>
      <c r="P25" s="21" t="n">
        <f aca="false">I25/I$23</f>
        <v>87.9571428571428</v>
      </c>
      <c r="Q25" s="39" t="n">
        <f aca="false">G25*H25*SUMPRODUCT((agg_mat="PIR_C")*(agg_ie=2)*(agg_bar=E25)*agg_En)/I25</f>
        <v>0.487250284229333</v>
      </c>
      <c r="R25" s="14" t="str">
        <f aca="false">IF(N25&lt;=crit_f2,"충족","불충족")</f>
        <v>불충족</v>
      </c>
    </row>
    <row r="26" customFormat="false" ht="15" hidden="false" customHeight="false" outlineLevel="0" collapsed="false">
      <c r="A26" s="14" t="s">
        <v>317</v>
      </c>
      <c r="B26" s="14" t="s">
        <v>316</v>
      </c>
      <c r="C26" s="24" t="s">
        <v>313</v>
      </c>
      <c r="D26" s="14" t="s">
        <v>173</v>
      </c>
      <c r="E26" s="14" t="n">
        <f aca="false">IF(AND(B26="M1",D26="sc"),1,0)</f>
        <v>1</v>
      </c>
      <c r="F26" s="38" t="n">
        <f aca="false">F_IE1_B0</f>
        <v>0.00126</v>
      </c>
      <c r="G26" s="38" t="n">
        <f aca="false">F_IE2</f>
        <v>0.0006</v>
      </c>
      <c r="H26" s="17" t="n">
        <f aca="false">IF(D26="불연",0,IF(E26=1,p_exp1,p_exp0))</f>
        <v>0.3</v>
      </c>
      <c r="I26" s="30" t="n">
        <f aca="false">F26*(H26*SUMPRODUCT((agg_mat="PIR_SC")*(agg_ie=1)*(agg_bar=E26)*agg_En)+(1-H26)*SUMPRODUCT((agg_mat="L")*(agg_ie=1)*(agg_bar=0)*agg_En))+G26*H26*SUMPRODUCT((agg_mat="PIR_SC")*(agg_ie=2)*(agg_bar=E26)*agg_En)</f>
        <v>0.000320364</v>
      </c>
      <c r="J26" s="30" t="n">
        <f aca="false">F26*(H26*SUMPRODUCT((agg_mat="PIR_SC")*(agg_ie=1)*(agg_bar=E26)*agg_Ep)+(1-H26)*SUMPRODUCT((agg_mat="L")*(agg_ie=1)*(agg_bar=0)*agg_Ep))+G26*H26*SUMPRODUCT((agg_mat="PIR_SC")*(agg_ie=2)*(agg_bar=E26)*agg_Ep)</f>
        <v>0.00160182</v>
      </c>
      <c r="K26" s="20" t="n">
        <f aca="false">p_d*J26</f>
        <v>8.0091E-005</v>
      </c>
      <c r="L26" s="20" t="n">
        <f aca="false">K26/occ_total</f>
        <v>5.3394E-007</v>
      </c>
      <c r="M26" s="20" t="n">
        <f aca="false">F26*(H26*SUMPRODUCT((agg_mat="PIR_SC")*(agg_ie=1)*(agg_bar=E26)*agg_P1)+(1-H26)*SUMPRODUCT((agg_mat="L")*(agg_ie=1)*(agg_bar=0)*agg_P1))+G26*H26*SUMPRODUCT((agg_mat="PIR_SC")*(agg_ie=2)*(agg_bar=E26)*agg_P1)</f>
        <v>0.000320364</v>
      </c>
      <c r="N26" s="30" t="n">
        <f aca="false">F26*(H26*SUMPRODUCT((agg_mat="PIR_SC")*(agg_ie=1)*(agg_bar=E26)*agg_P2)+(1-H26)*SUMPRODUCT((agg_mat="L")*(agg_ie=1)*(agg_bar=0)*agg_P2))+G26*H26*SUMPRODUCT((agg_mat="PIR_SC")*(agg_ie=2)*(agg_bar=E26)*agg_P2)</f>
        <v>0</v>
      </c>
      <c r="O26" s="20" t="n">
        <f aca="false">F26*(H26*SUMPRODUCT((agg_mat="PIR_SC")*(agg_ie=1)*(agg_bar=E26)*agg_P5)+(1-H26)*SUMPRODUCT((agg_mat="L")*(agg_ie=1)*(agg_bar=0)*agg_P5))+G26*H26*SUMPRODUCT((agg_mat="PIR_SC")*(agg_ie=2)*(agg_bar=E26)*agg_P5)</f>
        <v>0</v>
      </c>
      <c r="P26" s="21" t="n">
        <f aca="false">I26/I$23</f>
        <v>1.81612244897959</v>
      </c>
      <c r="Q26" s="39" t="n">
        <f aca="false">G26*H26*SUMPRODUCT((agg_mat="PIR_SC")*(agg_ie=2)*(agg_bar=E26)*agg_En)/I26</f>
        <v>0.168558264973593</v>
      </c>
      <c r="R26" s="14" t="str">
        <f aca="false">IF(N26&lt;=crit_f2,"충족","불충족")</f>
        <v>충족</v>
      </c>
    </row>
    <row r="27" customFormat="false" ht="15" hidden="false" customHeight="false" outlineLevel="0" collapsed="false">
      <c r="A27" s="14" t="s">
        <v>317</v>
      </c>
      <c r="B27" s="14" t="s">
        <v>316</v>
      </c>
      <c r="C27" s="24" t="s">
        <v>314</v>
      </c>
      <c r="D27" s="14" t="s">
        <v>173</v>
      </c>
      <c r="E27" s="14" t="n">
        <f aca="false">IF(AND(B27="M1",D27="sc"),1,0)</f>
        <v>1</v>
      </c>
      <c r="F27" s="38" t="n">
        <f aca="false">F_IE1_B0</f>
        <v>0.00126</v>
      </c>
      <c r="G27" s="38" t="n">
        <f aca="false">F_IE2</f>
        <v>0.0006</v>
      </c>
      <c r="H27" s="17" t="n">
        <f aca="false">IF(D27="불연",0,IF(E27=1,p_exp1,p_exp0))</f>
        <v>0.3</v>
      </c>
      <c r="I27" s="30" t="n">
        <f aca="false">F27*(H27*SUMPRODUCT((agg_mat="PF_out")*(agg_ie=1)*(agg_bar=E27)*agg_En)+(1-H27)*SUMPRODUCT((agg_mat="L")*(agg_ie=1)*(agg_bar=0)*agg_En))+G27*H27*SUMPRODUCT((agg_mat="PF_out")*(agg_ie=2)*(agg_bar=E27)*agg_En)</f>
        <v>0.000320364</v>
      </c>
      <c r="J27" s="30" t="n">
        <f aca="false">F27*(H27*SUMPRODUCT((agg_mat="PF_out")*(agg_ie=1)*(agg_bar=E27)*agg_Ep)+(1-H27)*SUMPRODUCT((agg_mat="L")*(agg_ie=1)*(agg_bar=0)*agg_Ep))+G27*H27*SUMPRODUCT((agg_mat="PF_out")*(agg_ie=2)*(agg_bar=E27)*agg_Ep)</f>
        <v>0.00160182</v>
      </c>
      <c r="K27" s="20" t="n">
        <f aca="false">p_d*J27</f>
        <v>8.0091E-005</v>
      </c>
      <c r="L27" s="20" t="n">
        <f aca="false">K27/occ_total</f>
        <v>5.3394E-007</v>
      </c>
      <c r="M27" s="20" t="n">
        <f aca="false">F27*(H27*SUMPRODUCT((agg_mat="PF_out")*(agg_ie=1)*(agg_bar=E27)*agg_P1)+(1-H27)*SUMPRODUCT((agg_mat="L")*(agg_ie=1)*(agg_bar=0)*agg_P1))+G27*H27*SUMPRODUCT((agg_mat="PF_out")*(agg_ie=2)*(agg_bar=E27)*agg_P1)</f>
        <v>0.000320364</v>
      </c>
      <c r="N27" s="30" t="n">
        <f aca="false">F27*(H27*SUMPRODUCT((agg_mat="PF_out")*(agg_ie=1)*(agg_bar=E27)*agg_P2)+(1-H27)*SUMPRODUCT((agg_mat="L")*(agg_ie=1)*(agg_bar=0)*agg_P2))+G27*H27*SUMPRODUCT((agg_mat="PF_out")*(agg_ie=2)*(agg_bar=E27)*agg_P2)</f>
        <v>0</v>
      </c>
      <c r="O27" s="20" t="n">
        <f aca="false">F27*(H27*SUMPRODUCT((agg_mat="PF_out")*(agg_ie=1)*(agg_bar=E27)*agg_P5)+(1-H27)*SUMPRODUCT((agg_mat="L")*(agg_ie=1)*(agg_bar=0)*agg_P5))+G27*H27*SUMPRODUCT((agg_mat="PF_out")*(agg_ie=2)*(agg_bar=E27)*agg_P5)</f>
        <v>0</v>
      </c>
      <c r="P27" s="21" t="n">
        <f aca="false">I27/I$23</f>
        <v>1.81612244897959</v>
      </c>
      <c r="Q27" s="39" t="n">
        <f aca="false">G27*H27*SUMPRODUCT((agg_mat="PF_out")*(agg_ie=2)*(agg_bar=E27)*agg_En)/I27</f>
        <v>0.168558264973593</v>
      </c>
      <c r="R27" s="14" t="str">
        <f aca="false">IF(N27&lt;=crit_f2,"충족","불충족")</f>
        <v>충족</v>
      </c>
    </row>
    <row r="28" customFormat="false" ht="15" hidden="false" customHeight="false" outlineLevel="0" collapsed="false">
      <c r="A28" s="14" t="s">
        <v>317</v>
      </c>
      <c r="B28" s="14" t="s">
        <v>316</v>
      </c>
      <c r="C28" s="24" t="s">
        <v>315</v>
      </c>
      <c r="D28" s="14" t="s">
        <v>173</v>
      </c>
      <c r="E28" s="14" t="n">
        <f aca="false">IF(AND(B28="M1",D28="sc"),1,0)</f>
        <v>1</v>
      </c>
      <c r="F28" s="38" t="n">
        <f aca="false">F_IE1_B0</f>
        <v>0.00126</v>
      </c>
      <c r="G28" s="38" t="n">
        <f aca="false">F_IE2</f>
        <v>0.0006</v>
      </c>
      <c r="H28" s="17" t="n">
        <f aca="false">IF(D28="불연",0,IF(E28=1,p_exp1,p_exp0))</f>
        <v>0.3</v>
      </c>
      <c r="I28" s="30" t="n">
        <f aca="false">F28*(H28*SUMPRODUCT((agg_mat="PF_in")*(agg_ie=1)*(agg_bar=E28)*agg_En)+(1-H28)*SUMPRODUCT((agg_mat="L")*(agg_ie=1)*(agg_bar=0)*agg_En))+G28*H28*SUMPRODUCT((agg_mat="PF_in")*(agg_ie=2)*(agg_bar=E28)*agg_En)</f>
        <v>0.0003778578</v>
      </c>
      <c r="J28" s="30" t="n">
        <f aca="false">F28*(H28*SUMPRODUCT((agg_mat="PF_in")*(agg_ie=1)*(agg_bar=E28)*agg_Ep)+(1-H28)*SUMPRODUCT((agg_mat="L")*(agg_ie=1)*(agg_bar=0)*agg_Ep))+G28*H28*SUMPRODUCT((agg_mat="PF_in")*(agg_ie=2)*(agg_bar=E28)*agg_Ep)</f>
        <v>0.001889289</v>
      </c>
      <c r="K28" s="20" t="n">
        <f aca="false">p_d*J28</f>
        <v>9.446445E-005</v>
      </c>
      <c r="L28" s="20" t="n">
        <f aca="false">K28/occ_total</f>
        <v>6.29763E-007</v>
      </c>
      <c r="M28" s="20" t="n">
        <f aca="false">F28*(H28*SUMPRODUCT((agg_mat="PF_in")*(agg_ie=1)*(agg_bar=E28)*agg_P1)+(1-H28)*SUMPRODUCT((agg_mat="L")*(agg_ie=1)*(agg_bar=0)*agg_P1))+G28*H28*SUMPRODUCT((agg_mat="PF_in")*(agg_ie=2)*(agg_bar=E28)*agg_P1)</f>
        <v>0.000320364</v>
      </c>
      <c r="N28" s="30" t="n">
        <f aca="false">F28*(H28*SUMPRODUCT((agg_mat="PF_in")*(agg_ie=1)*(agg_bar=E28)*agg_P2)+(1-H28)*SUMPRODUCT((agg_mat="L")*(agg_ie=1)*(agg_bar=0)*agg_P2))+G28*H28*SUMPRODUCT((agg_mat="PF_in")*(agg_ie=2)*(agg_bar=E28)*agg_P2)</f>
        <v>4.5684E-005</v>
      </c>
      <c r="O28" s="20" t="n">
        <f aca="false">F28*(H28*SUMPRODUCT((agg_mat="PF_in")*(agg_ie=1)*(agg_bar=E28)*agg_P5)+(1-H28)*SUMPRODUCT((agg_mat="L")*(agg_ie=1)*(agg_bar=0)*agg_P5))+G28*H28*SUMPRODUCT((agg_mat="PF_in")*(agg_ie=2)*(agg_bar=E28)*agg_P5)</f>
        <v>0</v>
      </c>
      <c r="P28" s="21" t="n">
        <f aca="false">I28/I$23</f>
        <v>2.14205102040816</v>
      </c>
      <c r="Q28" s="39" t="n">
        <f aca="false">G28*H28*SUMPRODUCT((agg_mat="PF_in")*(agg_ie=2)*(agg_bar=E28)*agg_En)/I28</f>
        <v>0.195430662010947</v>
      </c>
      <c r="R28" s="14" t="str">
        <f aca="false">IF(N28&lt;=crit_f2,"충족","불충족")</f>
        <v>충족</v>
      </c>
    </row>
    <row r="30" customFormat="false" ht="15" hidden="false" customHeight="false" outlineLevel="0" collapsed="false">
      <c r="A30" s="23" t="s">
        <v>318</v>
      </c>
    </row>
    <row r="32" customFormat="false" ht="15" hidden="false" customHeight="false" outlineLevel="0" collapsed="false">
      <c r="A32" s="28" t="s">
        <v>319</v>
      </c>
    </row>
    <row r="33" customFormat="false" ht="15" hidden="false" customHeight="false" outlineLevel="0" collapsed="false">
      <c r="A33" s="6" t="s">
        <v>289</v>
      </c>
      <c r="B33" s="6"/>
      <c r="C33" s="6" t="s">
        <v>157</v>
      </c>
      <c r="D33" s="7" t="s">
        <v>320</v>
      </c>
      <c r="E33" s="7" t="s">
        <v>321</v>
      </c>
      <c r="F33" s="7" t="s">
        <v>322</v>
      </c>
      <c r="G33" s="7" t="s">
        <v>323</v>
      </c>
      <c r="H33" s="7" t="s">
        <v>324</v>
      </c>
      <c r="I33" s="7" t="s">
        <v>325</v>
      </c>
      <c r="J33" s="7" t="s">
        <v>326</v>
      </c>
      <c r="K33" s="7" t="s">
        <v>327</v>
      </c>
      <c r="L33" s="7" t="s">
        <v>328</v>
      </c>
      <c r="M33" s="7" t="s">
        <v>329</v>
      </c>
      <c r="N33" s="7" t="s">
        <v>330</v>
      </c>
      <c r="O33" s="7" t="s">
        <v>331</v>
      </c>
      <c r="P33" s="7" t="s">
        <v>332</v>
      </c>
      <c r="Q33" s="7" t="s">
        <v>333</v>
      </c>
      <c r="R33" s="7" t="s">
        <v>334</v>
      </c>
      <c r="S33" s="7" t="s">
        <v>335</v>
      </c>
      <c r="T33" s="7" t="s">
        <v>336</v>
      </c>
      <c r="U33" s="7" t="s">
        <v>337</v>
      </c>
      <c r="V33" s="7" t="s">
        <v>338</v>
      </c>
      <c r="W33" s="7" t="s">
        <v>339</v>
      </c>
    </row>
    <row r="34" customFormat="false" ht="15" hidden="false" customHeight="false" outlineLevel="0" collapsed="false">
      <c r="A34" s="14" t="s">
        <v>307</v>
      </c>
      <c r="B34" s="14"/>
      <c r="C34" s="2" t="s">
        <v>308</v>
      </c>
      <c r="D34" s="20" t="n">
        <f aca="false">$F$5*SUMPRODUCT((agg_mat="L")*(agg_ie=1)*(agg_bar=0)*agg_P1)</f>
        <v>1.764E-005</v>
      </c>
      <c r="E34" s="20" t="n">
        <f aca="false">$F$5*SUMPRODUCT((agg_mat="L")*(agg_ie=1)*(agg_bar=0)*agg_P2)</f>
        <v>0</v>
      </c>
      <c r="F34" s="20" t="n">
        <f aca="false">$F$5*SUMPRODUCT((agg_mat="L")*(agg_ie=1)*(agg_bar=0)*agg_P3)</f>
        <v>0</v>
      </c>
      <c r="G34" s="20" t="n">
        <f aca="false">$F$5*SUMPRODUCT((agg_mat="L")*(agg_ie=1)*(agg_bar=0)*agg_P4)</f>
        <v>0</v>
      </c>
      <c r="H34" s="20" t="n">
        <f aca="false">$F$5*SUMPRODUCT((agg_mat="L")*(agg_ie=1)*(agg_bar=0)*agg_P5)</f>
        <v>0</v>
      </c>
      <c r="I34" s="20" t="n">
        <f aca="false">$F$5*SUMPRODUCT((agg_mat="L")*(agg_ie=1)*(agg_bar=0)*agg_P6)</f>
        <v>0</v>
      </c>
      <c r="J34" s="20" t="n">
        <f aca="false">$F$5*SUMPRODUCT((agg_mat="L")*(agg_ie=1)*(agg_bar=0)*agg_P7)</f>
        <v>0</v>
      </c>
      <c r="K34" s="20" t="n">
        <f aca="false">$F$5*SUMPRODUCT((agg_mat="L")*(agg_ie=1)*(agg_bar=0)*agg_P8)</f>
        <v>0</v>
      </c>
      <c r="L34" s="20" t="n">
        <f aca="false">$F$5*SUMPRODUCT((agg_mat="L")*(agg_ie=1)*(agg_bar=0)*agg_P9)</f>
        <v>0</v>
      </c>
      <c r="M34" s="20" t="n">
        <f aca="false">$F$5*SUMPRODUCT((agg_mat="L")*(agg_ie=1)*(agg_bar=0)*agg_P10)</f>
        <v>0</v>
      </c>
      <c r="N34" s="20" t="n">
        <f aca="false">$F$5*SUMPRODUCT((agg_mat="L")*(agg_ie=1)*(agg_bar=0)*agg_P11)</f>
        <v>0</v>
      </c>
      <c r="O34" s="20" t="n">
        <f aca="false">$F$5*SUMPRODUCT((agg_mat="L")*(agg_ie=1)*(agg_bar=0)*agg_P12)</f>
        <v>0</v>
      </c>
      <c r="P34" s="20" t="n">
        <f aca="false">$F$5*SUMPRODUCT((agg_mat="L")*(agg_ie=1)*(agg_bar=0)*agg_P13)</f>
        <v>0</v>
      </c>
      <c r="Q34" s="20" t="n">
        <f aca="false">$F$5*SUMPRODUCT((agg_mat="L")*(agg_ie=1)*(agg_bar=0)*agg_P14)</f>
        <v>0</v>
      </c>
      <c r="R34" s="20" t="n">
        <f aca="false">$F$5*SUMPRODUCT((agg_mat="L")*(agg_ie=1)*(agg_bar=0)*agg_P15)</f>
        <v>0</v>
      </c>
      <c r="S34" s="20" t="n">
        <f aca="false">$F$5*SUMPRODUCT((agg_mat="L")*(agg_ie=1)*(agg_bar=0)*agg_P16)</f>
        <v>0</v>
      </c>
      <c r="T34" s="20" t="n">
        <f aca="false">$F$5*SUMPRODUCT((agg_mat="L")*(agg_ie=1)*(agg_bar=0)*agg_P17)</f>
        <v>0</v>
      </c>
      <c r="U34" s="20" t="n">
        <f aca="false">$F$5*SUMPRODUCT((agg_mat="L")*(agg_ie=1)*(agg_bar=0)*agg_P18)</f>
        <v>0</v>
      </c>
      <c r="V34" s="20" t="n">
        <f aca="false">$F$5*SUMPRODUCT((agg_mat="L")*(agg_ie=1)*(agg_bar=0)*agg_P19)</f>
        <v>0</v>
      </c>
      <c r="W34" s="20" t="n">
        <f aca="false">$F$5*SUMPRODUCT((agg_mat="L")*(agg_ie=1)*(agg_bar=0)*agg_P20)</f>
        <v>0</v>
      </c>
    </row>
    <row r="35" customFormat="false" ht="15" hidden="false" customHeight="false" outlineLevel="0" collapsed="false">
      <c r="A35" s="14" t="s">
        <v>307</v>
      </c>
      <c r="B35" s="14"/>
      <c r="C35" s="24" t="s">
        <v>311</v>
      </c>
      <c r="D35" s="20" t="n">
        <f aca="false">$F$6*($H$6*SUMPRODUCT((agg_mat="EPS_SC")*(agg_ie=1)*(agg_bar=$E$6)*agg_P1)+(1-$H$6)*SUMPRODUCT((agg_mat="L")*(agg_ie=1)*(agg_bar=0)*agg_P1))+$G$6*$H$6*SUMPRODUCT((agg_mat="EPS_SC")*(agg_ie=2)*(agg_bar=$E$6)*agg_P1)</f>
        <v>0.000437616</v>
      </c>
      <c r="E35" s="20" t="n">
        <f aca="false">$F$6*($H$6*SUMPRODUCT((agg_mat="EPS_SC")*(agg_ie=1)*(agg_bar=$E$6)*agg_P2)+(1-$H$6)*SUMPRODUCT((agg_mat="L")*(agg_ie=1)*(agg_bar=0)*agg_P2))+$G$6*$H$6*SUMPRODUCT((agg_mat="EPS_SC")*(agg_ie=2)*(agg_bar=$E$6)*agg_P2)</f>
        <v>0</v>
      </c>
      <c r="F35" s="20" t="n">
        <f aca="false">$F$6*($H$6*SUMPRODUCT((agg_mat="EPS_SC")*(agg_ie=1)*(agg_bar=$E$6)*agg_P3)+(1-$H$6)*SUMPRODUCT((agg_mat="L")*(agg_ie=1)*(agg_bar=0)*agg_P3))+$G$6*$H$6*SUMPRODUCT((agg_mat="EPS_SC")*(agg_ie=2)*(agg_bar=$E$6)*agg_P3)</f>
        <v>0</v>
      </c>
      <c r="G35" s="20" t="n">
        <f aca="false">$F$6*($H$6*SUMPRODUCT((agg_mat="EPS_SC")*(agg_ie=1)*(agg_bar=$E$6)*agg_P4)+(1-$H$6)*SUMPRODUCT((agg_mat="L")*(agg_ie=1)*(agg_bar=0)*agg_P4))+$G$6*$H$6*SUMPRODUCT((agg_mat="EPS_SC")*(agg_ie=2)*(agg_bar=$E$6)*agg_P4)</f>
        <v>0</v>
      </c>
      <c r="H35" s="20" t="n">
        <f aca="false">$F$6*($H$6*SUMPRODUCT((agg_mat="EPS_SC")*(agg_ie=1)*(agg_bar=$E$6)*agg_P5)+(1-$H$6)*SUMPRODUCT((agg_mat="L")*(agg_ie=1)*(agg_bar=0)*agg_P5))+$G$6*$H$6*SUMPRODUCT((agg_mat="EPS_SC")*(agg_ie=2)*(agg_bar=$E$6)*agg_P5)</f>
        <v>0</v>
      </c>
      <c r="I35" s="20" t="n">
        <f aca="false">$F$6*($H$6*SUMPRODUCT((agg_mat="EPS_SC")*(agg_ie=1)*(agg_bar=$E$6)*agg_P6)+(1-$H$6)*SUMPRODUCT((agg_mat="L")*(agg_ie=1)*(agg_bar=0)*agg_P6))+$G$6*$H$6*SUMPRODUCT((agg_mat="EPS_SC")*(agg_ie=2)*(agg_bar=$E$6)*agg_P6)</f>
        <v>0</v>
      </c>
      <c r="J35" s="20" t="n">
        <f aca="false">$F$6*($H$6*SUMPRODUCT((agg_mat="EPS_SC")*(agg_ie=1)*(agg_bar=$E$6)*agg_P7)+(1-$H$6)*SUMPRODUCT((agg_mat="L")*(agg_ie=1)*(agg_bar=0)*agg_P7))+$G$6*$H$6*SUMPRODUCT((agg_mat="EPS_SC")*(agg_ie=2)*(agg_bar=$E$6)*agg_P7)</f>
        <v>0</v>
      </c>
      <c r="K35" s="20" t="n">
        <f aca="false">$F$6*($H$6*SUMPRODUCT((agg_mat="EPS_SC")*(agg_ie=1)*(agg_bar=$E$6)*agg_P8)+(1-$H$6)*SUMPRODUCT((agg_mat="L")*(agg_ie=1)*(agg_bar=0)*agg_P8))+$G$6*$H$6*SUMPRODUCT((agg_mat="EPS_SC")*(agg_ie=2)*(agg_bar=$E$6)*agg_P8)</f>
        <v>0</v>
      </c>
      <c r="L35" s="20" t="n">
        <f aca="false">$F$6*($H$6*SUMPRODUCT((agg_mat="EPS_SC")*(agg_ie=1)*(agg_bar=$E$6)*agg_P9)+(1-$H$6)*SUMPRODUCT((agg_mat="L")*(agg_ie=1)*(agg_bar=0)*agg_P9))+$G$6*$H$6*SUMPRODUCT((agg_mat="EPS_SC")*(agg_ie=2)*(agg_bar=$E$6)*agg_P9)</f>
        <v>0</v>
      </c>
      <c r="M35" s="20" t="n">
        <f aca="false">$F$6*($H$6*SUMPRODUCT((agg_mat="EPS_SC")*(agg_ie=1)*(agg_bar=$E$6)*agg_P10)+(1-$H$6)*SUMPRODUCT((agg_mat="L")*(agg_ie=1)*(agg_bar=0)*agg_P10))+$G$6*$H$6*SUMPRODUCT((agg_mat="EPS_SC")*(agg_ie=2)*(agg_bar=$E$6)*agg_P10)</f>
        <v>0</v>
      </c>
      <c r="N35" s="20" t="n">
        <f aca="false">$F$6*($H$6*SUMPRODUCT((agg_mat="EPS_SC")*(agg_ie=1)*(agg_bar=$E$6)*agg_P11)+(1-$H$6)*SUMPRODUCT((agg_mat="L")*(agg_ie=1)*(agg_bar=0)*agg_P11))+$G$6*$H$6*SUMPRODUCT((agg_mat="EPS_SC")*(agg_ie=2)*(agg_bar=$E$6)*agg_P11)</f>
        <v>0</v>
      </c>
      <c r="O35" s="20" t="n">
        <f aca="false">$F$6*($H$6*SUMPRODUCT((agg_mat="EPS_SC")*(agg_ie=1)*(agg_bar=$E$6)*agg_P12)+(1-$H$6)*SUMPRODUCT((agg_mat="L")*(agg_ie=1)*(agg_bar=0)*agg_P12))+$G$6*$H$6*SUMPRODUCT((agg_mat="EPS_SC")*(agg_ie=2)*(agg_bar=$E$6)*agg_P12)</f>
        <v>0</v>
      </c>
      <c r="P35" s="20" t="n">
        <f aca="false">$F$6*($H$6*SUMPRODUCT((agg_mat="EPS_SC")*(agg_ie=1)*(agg_bar=$E$6)*agg_P13)+(1-$H$6)*SUMPRODUCT((agg_mat="L")*(agg_ie=1)*(agg_bar=0)*agg_P13))+$G$6*$H$6*SUMPRODUCT((agg_mat="EPS_SC")*(agg_ie=2)*(agg_bar=$E$6)*agg_P13)</f>
        <v>0</v>
      </c>
      <c r="Q35" s="20" t="n">
        <f aca="false">$F$6*($H$6*SUMPRODUCT((agg_mat="EPS_SC")*(agg_ie=1)*(agg_bar=$E$6)*agg_P14)+(1-$H$6)*SUMPRODUCT((agg_mat="L")*(agg_ie=1)*(agg_bar=0)*agg_P14))+$G$6*$H$6*SUMPRODUCT((agg_mat="EPS_SC")*(agg_ie=2)*(agg_bar=$E$6)*agg_P14)</f>
        <v>0</v>
      </c>
      <c r="R35" s="20" t="n">
        <f aca="false">$F$6*($H$6*SUMPRODUCT((agg_mat="EPS_SC")*(agg_ie=1)*(agg_bar=$E$6)*agg_P15)+(1-$H$6)*SUMPRODUCT((agg_mat="L")*(agg_ie=1)*(agg_bar=0)*agg_P15))+$G$6*$H$6*SUMPRODUCT((agg_mat="EPS_SC")*(agg_ie=2)*(agg_bar=$E$6)*agg_P15)</f>
        <v>0</v>
      </c>
      <c r="S35" s="20" t="n">
        <f aca="false">$F$6*($H$6*SUMPRODUCT((agg_mat="EPS_SC")*(agg_ie=1)*(agg_bar=$E$6)*agg_P16)+(1-$H$6)*SUMPRODUCT((agg_mat="L")*(agg_ie=1)*(agg_bar=0)*agg_P16))+$G$6*$H$6*SUMPRODUCT((agg_mat="EPS_SC")*(agg_ie=2)*(agg_bar=$E$6)*agg_P16)</f>
        <v>0</v>
      </c>
      <c r="T35" s="20" t="n">
        <f aca="false">$F$6*($H$6*SUMPRODUCT((agg_mat="EPS_SC")*(agg_ie=1)*(agg_bar=$E$6)*agg_P17)+(1-$H$6)*SUMPRODUCT((agg_mat="L")*(agg_ie=1)*(agg_bar=0)*agg_P17))+$G$6*$H$6*SUMPRODUCT((agg_mat="EPS_SC")*(agg_ie=2)*(agg_bar=$E$6)*agg_P17)</f>
        <v>0</v>
      </c>
      <c r="U35" s="20" t="n">
        <f aca="false">$F$6*($H$6*SUMPRODUCT((agg_mat="EPS_SC")*(agg_ie=1)*(agg_bar=$E$6)*agg_P18)+(1-$H$6)*SUMPRODUCT((agg_mat="L")*(agg_ie=1)*(agg_bar=0)*agg_P18))+$G$6*$H$6*SUMPRODUCT((agg_mat="EPS_SC")*(agg_ie=2)*(agg_bar=$E$6)*agg_P18)</f>
        <v>0</v>
      </c>
      <c r="V35" s="20" t="n">
        <f aca="false">$F$6*($H$6*SUMPRODUCT((agg_mat="EPS_SC")*(agg_ie=1)*(agg_bar=$E$6)*agg_P19)+(1-$H$6)*SUMPRODUCT((agg_mat="L")*(agg_ie=1)*(agg_bar=0)*agg_P19))+$G$6*$H$6*SUMPRODUCT((agg_mat="EPS_SC")*(agg_ie=2)*(agg_bar=$E$6)*agg_P19)</f>
        <v>0</v>
      </c>
      <c r="W35" s="20" t="n">
        <f aca="false">$F$6*($H$6*SUMPRODUCT((agg_mat="EPS_SC")*(agg_ie=1)*(agg_bar=$E$6)*agg_P20)+(1-$H$6)*SUMPRODUCT((agg_mat="L")*(agg_ie=1)*(agg_bar=0)*agg_P20))+$G$6*$H$6*SUMPRODUCT((agg_mat="EPS_SC")*(agg_ie=2)*(agg_bar=$E$6)*agg_P20)</f>
        <v>0</v>
      </c>
    </row>
    <row r="36" customFormat="false" ht="15" hidden="false" customHeight="false" outlineLevel="0" collapsed="false">
      <c r="A36" s="14" t="s">
        <v>307</v>
      </c>
      <c r="B36" s="14"/>
      <c r="C36" s="24" t="s">
        <v>312</v>
      </c>
      <c r="D36" s="20" t="n">
        <f aca="false">$F$7*($H$7*SUMPRODUCT((agg_mat="PIR_C")*(agg_ie=1)*(agg_bar=$E$7)*agg_P1)+(1-$H$7)*SUMPRODUCT((agg_mat="L")*(agg_ie=1)*(agg_bar=0)*agg_P1))+$G$7*$H$7*SUMPRODUCT((agg_mat="PIR_C")*(agg_ie=2)*(agg_bar=$E$7)*agg_P1)</f>
        <v>0.000647604</v>
      </c>
      <c r="E36" s="20" t="n">
        <f aca="false">$F$7*($H$7*SUMPRODUCT((agg_mat="PIR_C")*(agg_ie=1)*(agg_bar=$E$7)*agg_P2)+(1-$H$7)*SUMPRODUCT((agg_mat="L")*(agg_ie=1)*(agg_bar=0)*agg_P2))+$G$7*$H$7*SUMPRODUCT((agg_mat="PIR_C")*(agg_ie=2)*(agg_bar=$E$7)*agg_P2)</f>
        <v>0.00063828</v>
      </c>
      <c r="F36" s="20" t="n">
        <f aca="false">$F$7*($H$7*SUMPRODUCT((agg_mat="PIR_C")*(agg_ie=1)*(agg_bar=$E$7)*agg_P3)+(1-$H$7)*SUMPRODUCT((agg_mat="L")*(agg_ie=1)*(agg_bar=0)*agg_P3))+$G$7*$H$7*SUMPRODUCT((agg_mat="PIR_C")*(agg_ie=2)*(agg_bar=$E$7)*agg_P3)</f>
        <v>0.00063072</v>
      </c>
      <c r="G36" s="20" t="n">
        <f aca="false">$F$7*($H$7*SUMPRODUCT((agg_mat="PIR_C")*(agg_ie=1)*(agg_bar=$E$7)*agg_P4)+(1-$H$7)*SUMPRODUCT((agg_mat="L")*(agg_ie=1)*(agg_bar=0)*agg_P4))+$G$7*$H$7*SUMPRODUCT((agg_mat="PIR_C")*(agg_ie=2)*(agg_bar=$E$7)*agg_P4)</f>
        <v>0.00062316</v>
      </c>
      <c r="H36" s="20" t="n">
        <f aca="false">$F$7*($H$7*SUMPRODUCT((agg_mat="PIR_C")*(agg_ie=1)*(agg_bar=$E$7)*agg_P5)+(1-$H$7)*SUMPRODUCT((agg_mat="L")*(agg_ie=1)*(agg_bar=0)*agg_P5))+$G$7*$H$7*SUMPRODUCT((agg_mat="PIR_C")*(agg_ie=2)*(agg_bar=$E$7)*agg_P5)</f>
        <v>0.0006156</v>
      </c>
      <c r="I36" s="20" t="n">
        <f aca="false">$F$7*($H$7*SUMPRODUCT((agg_mat="PIR_C")*(agg_ie=1)*(agg_bar=$E$7)*agg_P6)+(1-$H$7)*SUMPRODUCT((agg_mat="L")*(agg_ie=1)*(agg_bar=0)*agg_P6))+$G$7*$H$7*SUMPRODUCT((agg_mat="PIR_C")*(agg_ie=2)*(agg_bar=$E$7)*agg_P6)</f>
        <v>0.00060804</v>
      </c>
      <c r="J36" s="20" t="n">
        <f aca="false">$F$7*($H$7*SUMPRODUCT((agg_mat="PIR_C")*(agg_ie=1)*(agg_bar=$E$7)*agg_P7)+(1-$H$7)*SUMPRODUCT((agg_mat="L")*(agg_ie=1)*(agg_bar=0)*agg_P7))+$G$7*$H$7*SUMPRODUCT((agg_mat="PIR_C")*(agg_ie=2)*(agg_bar=$E$7)*agg_P7)</f>
        <v>0.00060048</v>
      </c>
      <c r="K36" s="20" t="n">
        <f aca="false">$F$7*($H$7*SUMPRODUCT((agg_mat="PIR_C")*(agg_ie=1)*(agg_bar=$E$7)*agg_P8)+(1-$H$7)*SUMPRODUCT((agg_mat="L")*(agg_ie=1)*(agg_bar=0)*agg_P8))+$G$7*$H$7*SUMPRODUCT((agg_mat="PIR_C")*(agg_ie=2)*(agg_bar=$E$7)*agg_P8)</f>
        <v>0.00059292</v>
      </c>
      <c r="L36" s="20" t="n">
        <f aca="false">$F$7*($H$7*SUMPRODUCT((agg_mat="PIR_C")*(agg_ie=1)*(agg_bar=$E$7)*agg_P9)+(1-$H$7)*SUMPRODUCT((agg_mat="L")*(agg_ie=1)*(agg_bar=0)*agg_P9))+$G$7*$H$7*SUMPRODUCT((agg_mat="PIR_C")*(agg_ie=2)*(agg_bar=$E$7)*agg_P9)</f>
        <v>0.00058536</v>
      </c>
      <c r="M36" s="20" t="n">
        <f aca="false">$F$7*($H$7*SUMPRODUCT((agg_mat="PIR_C")*(agg_ie=1)*(agg_bar=$E$7)*agg_P10)+(1-$H$7)*SUMPRODUCT((agg_mat="L")*(agg_ie=1)*(agg_bar=0)*agg_P10))+$G$7*$H$7*SUMPRODUCT((agg_mat="PIR_C")*(agg_ie=2)*(agg_bar=$E$7)*agg_P10)</f>
        <v>0.0005778</v>
      </c>
      <c r="N36" s="20" t="n">
        <f aca="false">$F$7*($H$7*SUMPRODUCT((agg_mat="PIR_C")*(agg_ie=1)*(agg_bar=$E$7)*agg_P11)+(1-$H$7)*SUMPRODUCT((agg_mat="L")*(agg_ie=1)*(agg_bar=0)*agg_P11))+$G$7*$H$7*SUMPRODUCT((agg_mat="PIR_C")*(agg_ie=2)*(agg_bar=$E$7)*agg_P11)</f>
        <v>0.00057024</v>
      </c>
      <c r="O36" s="20" t="n">
        <f aca="false">$F$7*($H$7*SUMPRODUCT((agg_mat="PIR_C")*(agg_ie=1)*(agg_bar=$E$7)*agg_P12)+(1-$H$7)*SUMPRODUCT((agg_mat="L")*(agg_ie=1)*(agg_bar=0)*agg_P12))+$G$7*$H$7*SUMPRODUCT((agg_mat="PIR_C")*(agg_ie=2)*(agg_bar=$E$7)*agg_P12)</f>
        <v>0.00056268</v>
      </c>
      <c r="P36" s="20" t="n">
        <f aca="false">$F$7*($H$7*SUMPRODUCT((agg_mat="PIR_C")*(agg_ie=1)*(agg_bar=$E$7)*agg_P13)+(1-$H$7)*SUMPRODUCT((agg_mat="L")*(agg_ie=1)*(agg_bar=0)*agg_P13))+$G$7*$H$7*SUMPRODUCT((agg_mat="PIR_C")*(agg_ie=2)*(agg_bar=$E$7)*agg_P13)</f>
        <v>0.00055512</v>
      </c>
      <c r="Q36" s="20" t="n">
        <f aca="false">$F$7*($H$7*SUMPRODUCT((agg_mat="PIR_C")*(agg_ie=1)*(agg_bar=$E$7)*agg_P14)+(1-$H$7)*SUMPRODUCT((agg_mat="L")*(agg_ie=1)*(agg_bar=0)*agg_P14))+$G$7*$H$7*SUMPRODUCT((agg_mat="PIR_C")*(agg_ie=2)*(agg_bar=$E$7)*agg_P14)</f>
        <v>0.00054756</v>
      </c>
      <c r="R36" s="20" t="n">
        <f aca="false">$F$7*($H$7*SUMPRODUCT((agg_mat="PIR_C")*(agg_ie=1)*(agg_bar=$E$7)*agg_P15)+(1-$H$7)*SUMPRODUCT((agg_mat="L")*(agg_ie=1)*(agg_bar=0)*agg_P15))+$G$7*$H$7*SUMPRODUCT((agg_mat="PIR_C")*(agg_ie=2)*(agg_bar=$E$7)*agg_P15)</f>
        <v>0</v>
      </c>
      <c r="S36" s="20" t="n">
        <f aca="false">$F$7*($H$7*SUMPRODUCT((agg_mat="PIR_C")*(agg_ie=1)*(agg_bar=$E$7)*agg_P16)+(1-$H$7)*SUMPRODUCT((agg_mat="L")*(agg_ie=1)*(agg_bar=0)*agg_P16))+$G$7*$H$7*SUMPRODUCT((agg_mat="PIR_C")*(agg_ie=2)*(agg_bar=$E$7)*agg_P16)</f>
        <v>0</v>
      </c>
      <c r="T36" s="20" t="n">
        <f aca="false">$F$7*($H$7*SUMPRODUCT((agg_mat="PIR_C")*(agg_ie=1)*(agg_bar=$E$7)*agg_P17)+(1-$H$7)*SUMPRODUCT((agg_mat="L")*(agg_ie=1)*(agg_bar=0)*agg_P17))+$G$7*$H$7*SUMPRODUCT((agg_mat="PIR_C")*(agg_ie=2)*(agg_bar=$E$7)*agg_P17)</f>
        <v>0</v>
      </c>
      <c r="U36" s="20" t="n">
        <f aca="false">$F$7*($H$7*SUMPRODUCT((agg_mat="PIR_C")*(agg_ie=1)*(agg_bar=$E$7)*agg_P18)+(1-$H$7)*SUMPRODUCT((agg_mat="L")*(agg_ie=1)*(agg_bar=0)*agg_P18))+$G$7*$H$7*SUMPRODUCT((agg_mat="PIR_C")*(agg_ie=2)*(agg_bar=$E$7)*agg_P18)</f>
        <v>0</v>
      </c>
      <c r="V36" s="20" t="n">
        <f aca="false">$F$7*($H$7*SUMPRODUCT((agg_mat="PIR_C")*(agg_ie=1)*(agg_bar=$E$7)*agg_P19)+(1-$H$7)*SUMPRODUCT((agg_mat="L")*(agg_ie=1)*(agg_bar=0)*agg_P19))+$G$7*$H$7*SUMPRODUCT((agg_mat="PIR_C")*(agg_ie=2)*(agg_bar=$E$7)*agg_P19)</f>
        <v>0</v>
      </c>
      <c r="W36" s="20" t="n">
        <f aca="false">$F$7*($H$7*SUMPRODUCT((agg_mat="PIR_C")*(agg_ie=1)*(agg_bar=$E$7)*agg_P20)+(1-$H$7)*SUMPRODUCT((agg_mat="L")*(agg_ie=1)*(agg_bar=0)*agg_P20))+$G$7*$H$7*SUMPRODUCT((agg_mat="PIR_C")*(agg_ie=2)*(agg_bar=$E$7)*agg_P20)</f>
        <v>0</v>
      </c>
    </row>
    <row r="37" customFormat="false" ht="15" hidden="false" customHeight="false" outlineLevel="0" collapsed="false">
      <c r="A37" s="14" t="s">
        <v>307</v>
      </c>
      <c r="B37" s="14"/>
      <c r="C37" s="24" t="s">
        <v>313</v>
      </c>
      <c r="D37" s="20" t="n">
        <f aca="false">$F$8*($H$8*SUMPRODUCT((agg_mat="PIR_SC")*(agg_ie=1)*(agg_bar=$E$8)*agg_P1)+(1-$H$8)*SUMPRODUCT((agg_mat="L")*(agg_ie=1)*(agg_bar=0)*agg_P1))+$G$8*$H$8*SUMPRODUCT((agg_mat="PIR_SC")*(agg_ie=2)*(agg_bar=$E$8)*agg_P1)</f>
        <v>0.000647604</v>
      </c>
      <c r="E37" s="20" t="n">
        <f aca="false">$F$8*($H$8*SUMPRODUCT((agg_mat="PIR_SC")*(agg_ie=1)*(agg_bar=$E$8)*agg_P2)+(1-$H$8)*SUMPRODUCT((agg_mat="L")*(agg_ie=1)*(agg_bar=0)*agg_P2))+$G$8*$H$8*SUMPRODUCT((agg_mat="PIR_SC")*(agg_ie=2)*(agg_bar=$E$8)*agg_P2)</f>
        <v>0</v>
      </c>
      <c r="F37" s="20" t="n">
        <f aca="false">$F$8*($H$8*SUMPRODUCT((agg_mat="PIR_SC")*(agg_ie=1)*(agg_bar=$E$8)*agg_P3)+(1-$H$8)*SUMPRODUCT((agg_mat="L")*(agg_ie=1)*(agg_bar=0)*agg_P3))+$G$8*$H$8*SUMPRODUCT((agg_mat="PIR_SC")*(agg_ie=2)*(agg_bar=$E$8)*agg_P3)</f>
        <v>0</v>
      </c>
      <c r="G37" s="20" t="n">
        <f aca="false">$F$8*($H$8*SUMPRODUCT((agg_mat="PIR_SC")*(agg_ie=1)*(agg_bar=$E$8)*agg_P4)+(1-$H$8)*SUMPRODUCT((agg_mat="L")*(agg_ie=1)*(agg_bar=0)*agg_P4))+$G$8*$H$8*SUMPRODUCT((agg_mat="PIR_SC")*(agg_ie=2)*(agg_bar=$E$8)*agg_P4)</f>
        <v>0</v>
      </c>
      <c r="H37" s="20" t="n">
        <f aca="false">$F$8*($H$8*SUMPRODUCT((agg_mat="PIR_SC")*(agg_ie=1)*(agg_bar=$E$8)*agg_P5)+(1-$H$8)*SUMPRODUCT((agg_mat="L")*(agg_ie=1)*(agg_bar=0)*agg_P5))+$G$8*$H$8*SUMPRODUCT((agg_mat="PIR_SC")*(agg_ie=2)*(agg_bar=$E$8)*agg_P5)</f>
        <v>0</v>
      </c>
      <c r="I37" s="20" t="n">
        <f aca="false">$F$8*($H$8*SUMPRODUCT((agg_mat="PIR_SC")*(agg_ie=1)*(agg_bar=$E$8)*agg_P6)+(1-$H$8)*SUMPRODUCT((agg_mat="L")*(agg_ie=1)*(agg_bar=0)*agg_P6))+$G$8*$H$8*SUMPRODUCT((agg_mat="PIR_SC")*(agg_ie=2)*(agg_bar=$E$8)*agg_P6)</f>
        <v>0</v>
      </c>
      <c r="J37" s="20" t="n">
        <f aca="false">$F$8*($H$8*SUMPRODUCT((agg_mat="PIR_SC")*(agg_ie=1)*(agg_bar=$E$8)*agg_P7)+(1-$H$8)*SUMPRODUCT((agg_mat="L")*(agg_ie=1)*(agg_bar=0)*agg_P7))+$G$8*$H$8*SUMPRODUCT((agg_mat="PIR_SC")*(agg_ie=2)*(agg_bar=$E$8)*agg_P7)</f>
        <v>0</v>
      </c>
      <c r="K37" s="20" t="n">
        <f aca="false">$F$8*($H$8*SUMPRODUCT((agg_mat="PIR_SC")*(agg_ie=1)*(agg_bar=$E$8)*agg_P8)+(1-$H$8)*SUMPRODUCT((agg_mat="L")*(agg_ie=1)*(agg_bar=0)*agg_P8))+$G$8*$H$8*SUMPRODUCT((agg_mat="PIR_SC")*(agg_ie=2)*(agg_bar=$E$8)*agg_P8)</f>
        <v>0</v>
      </c>
      <c r="L37" s="20" t="n">
        <f aca="false">$F$8*($H$8*SUMPRODUCT((agg_mat="PIR_SC")*(agg_ie=1)*(agg_bar=$E$8)*agg_P9)+(1-$H$8)*SUMPRODUCT((agg_mat="L")*(agg_ie=1)*(agg_bar=0)*agg_P9))+$G$8*$H$8*SUMPRODUCT((agg_mat="PIR_SC")*(agg_ie=2)*(agg_bar=$E$8)*agg_P9)</f>
        <v>0</v>
      </c>
      <c r="M37" s="20" t="n">
        <f aca="false">$F$8*($H$8*SUMPRODUCT((agg_mat="PIR_SC")*(agg_ie=1)*(agg_bar=$E$8)*agg_P10)+(1-$H$8)*SUMPRODUCT((agg_mat="L")*(agg_ie=1)*(agg_bar=0)*agg_P10))+$G$8*$H$8*SUMPRODUCT((agg_mat="PIR_SC")*(agg_ie=2)*(agg_bar=$E$8)*agg_P10)</f>
        <v>0</v>
      </c>
      <c r="N37" s="20" t="n">
        <f aca="false">$F$8*($H$8*SUMPRODUCT((agg_mat="PIR_SC")*(agg_ie=1)*(agg_bar=$E$8)*agg_P11)+(1-$H$8)*SUMPRODUCT((agg_mat="L")*(agg_ie=1)*(agg_bar=0)*agg_P11))+$G$8*$H$8*SUMPRODUCT((agg_mat="PIR_SC")*(agg_ie=2)*(agg_bar=$E$8)*agg_P11)</f>
        <v>0</v>
      </c>
      <c r="O37" s="20" t="n">
        <f aca="false">$F$8*($H$8*SUMPRODUCT((agg_mat="PIR_SC")*(agg_ie=1)*(agg_bar=$E$8)*agg_P12)+(1-$H$8)*SUMPRODUCT((agg_mat="L")*(agg_ie=1)*(agg_bar=0)*agg_P12))+$G$8*$H$8*SUMPRODUCT((agg_mat="PIR_SC")*(agg_ie=2)*(agg_bar=$E$8)*agg_P12)</f>
        <v>0</v>
      </c>
      <c r="P37" s="20" t="n">
        <f aca="false">$F$8*($H$8*SUMPRODUCT((agg_mat="PIR_SC")*(agg_ie=1)*(agg_bar=$E$8)*agg_P13)+(1-$H$8)*SUMPRODUCT((agg_mat="L")*(agg_ie=1)*(agg_bar=0)*agg_P13))+$G$8*$H$8*SUMPRODUCT((agg_mat="PIR_SC")*(agg_ie=2)*(agg_bar=$E$8)*agg_P13)</f>
        <v>0</v>
      </c>
      <c r="Q37" s="20" t="n">
        <f aca="false">$F$8*($H$8*SUMPRODUCT((agg_mat="PIR_SC")*(agg_ie=1)*(agg_bar=$E$8)*agg_P14)+(1-$H$8)*SUMPRODUCT((agg_mat="L")*(agg_ie=1)*(agg_bar=0)*agg_P14))+$G$8*$H$8*SUMPRODUCT((agg_mat="PIR_SC")*(agg_ie=2)*(agg_bar=$E$8)*agg_P14)</f>
        <v>0</v>
      </c>
      <c r="R37" s="20" t="n">
        <f aca="false">$F$8*($H$8*SUMPRODUCT((agg_mat="PIR_SC")*(agg_ie=1)*(agg_bar=$E$8)*agg_P15)+(1-$H$8)*SUMPRODUCT((agg_mat="L")*(agg_ie=1)*(agg_bar=0)*agg_P15))+$G$8*$H$8*SUMPRODUCT((agg_mat="PIR_SC")*(agg_ie=2)*(agg_bar=$E$8)*agg_P15)</f>
        <v>0</v>
      </c>
      <c r="S37" s="20" t="n">
        <f aca="false">$F$8*($H$8*SUMPRODUCT((agg_mat="PIR_SC")*(agg_ie=1)*(agg_bar=$E$8)*agg_P16)+(1-$H$8)*SUMPRODUCT((agg_mat="L")*(agg_ie=1)*(agg_bar=0)*agg_P16))+$G$8*$H$8*SUMPRODUCT((agg_mat="PIR_SC")*(agg_ie=2)*(agg_bar=$E$8)*agg_P16)</f>
        <v>0</v>
      </c>
      <c r="T37" s="20" t="n">
        <f aca="false">$F$8*($H$8*SUMPRODUCT((agg_mat="PIR_SC")*(agg_ie=1)*(agg_bar=$E$8)*agg_P17)+(1-$H$8)*SUMPRODUCT((agg_mat="L")*(agg_ie=1)*(agg_bar=0)*agg_P17))+$G$8*$H$8*SUMPRODUCT((agg_mat="PIR_SC")*(agg_ie=2)*(agg_bar=$E$8)*agg_P17)</f>
        <v>0</v>
      </c>
      <c r="U37" s="20" t="n">
        <f aca="false">$F$8*($H$8*SUMPRODUCT((agg_mat="PIR_SC")*(agg_ie=1)*(agg_bar=$E$8)*agg_P18)+(1-$H$8)*SUMPRODUCT((agg_mat="L")*(agg_ie=1)*(agg_bar=0)*agg_P18))+$G$8*$H$8*SUMPRODUCT((agg_mat="PIR_SC")*(agg_ie=2)*(agg_bar=$E$8)*agg_P18)</f>
        <v>0</v>
      </c>
      <c r="V37" s="20" t="n">
        <f aca="false">$F$8*($H$8*SUMPRODUCT((agg_mat="PIR_SC")*(agg_ie=1)*(agg_bar=$E$8)*agg_P19)+(1-$H$8)*SUMPRODUCT((agg_mat="L")*(agg_ie=1)*(agg_bar=0)*agg_P19))+$G$8*$H$8*SUMPRODUCT((agg_mat="PIR_SC")*(agg_ie=2)*(agg_bar=$E$8)*agg_P19)</f>
        <v>0</v>
      </c>
      <c r="W37" s="20" t="n">
        <f aca="false">$F$8*($H$8*SUMPRODUCT((agg_mat="PIR_SC")*(agg_ie=1)*(agg_bar=$E$8)*agg_P20)+(1-$H$8)*SUMPRODUCT((agg_mat="L")*(agg_ie=1)*(agg_bar=0)*agg_P20))+$G$8*$H$8*SUMPRODUCT((agg_mat="PIR_SC")*(agg_ie=2)*(agg_bar=$E$8)*agg_P20)</f>
        <v>0</v>
      </c>
    </row>
    <row r="38" customFormat="false" ht="15" hidden="false" customHeight="false" outlineLevel="0" collapsed="false">
      <c r="A38" s="14" t="s">
        <v>307</v>
      </c>
      <c r="B38" s="14"/>
      <c r="C38" s="24" t="s">
        <v>314</v>
      </c>
      <c r="D38" s="20" t="n">
        <f aca="false">$F$9*($H$9*SUMPRODUCT((agg_mat="PF_out")*(agg_ie=1)*(agg_bar=$E$9)*agg_P1)+(1-$H$9)*SUMPRODUCT((agg_mat="L")*(agg_ie=1)*(agg_bar=0)*agg_P1))+$G$9*$H$9*SUMPRODUCT((agg_mat="PF_out")*(agg_ie=2)*(agg_bar=$E$9)*agg_P1)</f>
        <v>0.000647604</v>
      </c>
      <c r="E38" s="20" t="n">
        <f aca="false">$F$9*($H$9*SUMPRODUCT((agg_mat="PF_out")*(agg_ie=1)*(agg_bar=$E$9)*agg_P2)+(1-$H$9)*SUMPRODUCT((agg_mat="L")*(agg_ie=1)*(agg_bar=0)*agg_P2))+$G$9*$H$9*SUMPRODUCT((agg_mat="PF_out")*(agg_ie=2)*(agg_bar=$E$9)*agg_P2)</f>
        <v>0</v>
      </c>
      <c r="F38" s="20" t="n">
        <f aca="false">$F$9*($H$9*SUMPRODUCT((agg_mat="PF_out")*(agg_ie=1)*(agg_bar=$E$9)*agg_P3)+(1-$H$9)*SUMPRODUCT((agg_mat="L")*(agg_ie=1)*(agg_bar=0)*agg_P3))+$G$9*$H$9*SUMPRODUCT((agg_mat="PF_out")*(agg_ie=2)*(agg_bar=$E$9)*agg_P3)</f>
        <v>0</v>
      </c>
      <c r="G38" s="20" t="n">
        <f aca="false">$F$9*($H$9*SUMPRODUCT((agg_mat="PF_out")*(agg_ie=1)*(agg_bar=$E$9)*agg_P4)+(1-$H$9)*SUMPRODUCT((agg_mat="L")*(agg_ie=1)*(agg_bar=0)*agg_P4))+$G$9*$H$9*SUMPRODUCT((agg_mat="PF_out")*(agg_ie=2)*(agg_bar=$E$9)*agg_P4)</f>
        <v>0</v>
      </c>
      <c r="H38" s="20" t="n">
        <f aca="false">$F$9*($H$9*SUMPRODUCT((agg_mat="PF_out")*(agg_ie=1)*(agg_bar=$E$9)*agg_P5)+(1-$H$9)*SUMPRODUCT((agg_mat="L")*(agg_ie=1)*(agg_bar=0)*agg_P5))+$G$9*$H$9*SUMPRODUCT((agg_mat="PF_out")*(agg_ie=2)*(agg_bar=$E$9)*agg_P5)</f>
        <v>0</v>
      </c>
      <c r="I38" s="20" t="n">
        <f aca="false">$F$9*($H$9*SUMPRODUCT((agg_mat="PF_out")*(agg_ie=1)*(agg_bar=$E$9)*agg_P6)+(1-$H$9)*SUMPRODUCT((agg_mat="L")*(agg_ie=1)*(agg_bar=0)*agg_P6))+$G$9*$H$9*SUMPRODUCT((agg_mat="PF_out")*(agg_ie=2)*(agg_bar=$E$9)*agg_P6)</f>
        <v>0</v>
      </c>
      <c r="J38" s="20" t="n">
        <f aca="false">$F$9*($H$9*SUMPRODUCT((agg_mat="PF_out")*(agg_ie=1)*(agg_bar=$E$9)*agg_P7)+(1-$H$9)*SUMPRODUCT((agg_mat="L")*(agg_ie=1)*(agg_bar=0)*agg_P7))+$G$9*$H$9*SUMPRODUCT((agg_mat="PF_out")*(agg_ie=2)*(agg_bar=$E$9)*agg_P7)</f>
        <v>0</v>
      </c>
      <c r="K38" s="20" t="n">
        <f aca="false">$F$9*($H$9*SUMPRODUCT((agg_mat="PF_out")*(agg_ie=1)*(agg_bar=$E$9)*agg_P8)+(1-$H$9)*SUMPRODUCT((agg_mat="L")*(agg_ie=1)*(agg_bar=0)*agg_P8))+$G$9*$H$9*SUMPRODUCT((agg_mat="PF_out")*(agg_ie=2)*(agg_bar=$E$9)*agg_P8)</f>
        <v>0</v>
      </c>
      <c r="L38" s="20" t="n">
        <f aca="false">$F$9*($H$9*SUMPRODUCT((agg_mat="PF_out")*(agg_ie=1)*(agg_bar=$E$9)*agg_P9)+(1-$H$9)*SUMPRODUCT((agg_mat="L")*(agg_ie=1)*(agg_bar=0)*agg_P9))+$G$9*$H$9*SUMPRODUCT((agg_mat="PF_out")*(agg_ie=2)*(agg_bar=$E$9)*agg_P9)</f>
        <v>0</v>
      </c>
      <c r="M38" s="20" t="n">
        <f aca="false">$F$9*($H$9*SUMPRODUCT((agg_mat="PF_out")*(agg_ie=1)*(agg_bar=$E$9)*agg_P10)+(1-$H$9)*SUMPRODUCT((agg_mat="L")*(agg_ie=1)*(agg_bar=0)*agg_P10))+$G$9*$H$9*SUMPRODUCT((agg_mat="PF_out")*(agg_ie=2)*(agg_bar=$E$9)*agg_P10)</f>
        <v>0</v>
      </c>
      <c r="N38" s="20" t="n">
        <f aca="false">$F$9*($H$9*SUMPRODUCT((agg_mat="PF_out")*(agg_ie=1)*(agg_bar=$E$9)*agg_P11)+(1-$H$9)*SUMPRODUCT((agg_mat="L")*(agg_ie=1)*(agg_bar=0)*agg_P11))+$G$9*$H$9*SUMPRODUCT((agg_mat="PF_out")*(agg_ie=2)*(agg_bar=$E$9)*agg_P11)</f>
        <v>0</v>
      </c>
      <c r="O38" s="20" t="n">
        <f aca="false">$F$9*($H$9*SUMPRODUCT((agg_mat="PF_out")*(agg_ie=1)*(agg_bar=$E$9)*agg_P12)+(1-$H$9)*SUMPRODUCT((agg_mat="L")*(agg_ie=1)*(agg_bar=0)*agg_P12))+$G$9*$H$9*SUMPRODUCT((agg_mat="PF_out")*(agg_ie=2)*(agg_bar=$E$9)*agg_P12)</f>
        <v>0</v>
      </c>
      <c r="P38" s="20" t="n">
        <f aca="false">$F$9*($H$9*SUMPRODUCT((agg_mat="PF_out")*(agg_ie=1)*(agg_bar=$E$9)*agg_P13)+(1-$H$9)*SUMPRODUCT((agg_mat="L")*(agg_ie=1)*(agg_bar=0)*agg_P13))+$G$9*$H$9*SUMPRODUCT((agg_mat="PF_out")*(agg_ie=2)*(agg_bar=$E$9)*agg_P13)</f>
        <v>0</v>
      </c>
      <c r="Q38" s="20" t="n">
        <f aca="false">$F$9*($H$9*SUMPRODUCT((agg_mat="PF_out")*(agg_ie=1)*(agg_bar=$E$9)*agg_P14)+(1-$H$9)*SUMPRODUCT((agg_mat="L")*(agg_ie=1)*(agg_bar=0)*agg_P14))+$G$9*$H$9*SUMPRODUCT((agg_mat="PF_out")*(agg_ie=2)*(agg_bar=$E$9)*agg_P14)</f>
        <v>0</v>
      </c>
      <c r="R38" s="20" t="n">
        <f aca="false">$F$9*($H$9*SUMPRODUCT((agg_mat="PF_out")*(agg_ie=1)*(agg_bar=$E$9)*agg_P15)+(1-$H$9)*SUMPRODUCT((agg_mat="L")*(agg_ie=1)*(agg_bar=0)*agg_P15))+$G$9*$H$9*SUMPRODUCT((agg_mat="PF_out")*(agg_ie=2)*(agg_bar=$E$9)*agg_P15)</f>
        <v>0</v>
      </c>
      <c r="S38" s="20" t="n">
        <f aca="false">$F$9*($H$9*SUMPRODUCT((agg_mat="PF_out")*(agg_ie=1)*(agg_bar=$E$9)*agg_P16)+(1-$H$9)*SUMPRODUCT((agg_mat="L")*(agg_ie=1)*(agg_bar=0)*agg_P16))+$G$9*$H$9*SUMPRODUCT((agg_mat="PF_out")*(agg_ie=2)*(agg_bar=$E$9)*agg_P16)</f>
        <v>0</v>
      </c>
      <c r="T38" s="20" t="n">
        <f aca="false">$F$9*($H$9*SUMPRODUCT((agg_mat="PF_out")*(agg_ie=1)*(agg_bar=$E$9)*agg_P17)+(1-$H$9)*SUMPRODUCT((agg_mat="L")*(agg_ie=1)*(agg_bar=0)*agg_P17))+$G$9*$H$9*SUMPRODUCT((agg_mat="PF_out")*(agg_ie=2)*(agg_bar=$E$9)*agg_P17)</f>
        <v>0</v>
      </c>
      <c r="U38" s="20" t="n">
        <f aca="false">$F$9*($H$9*SUMPRODUCT((agg_mat="PF_out")*(agg_ie=1)*(agg_bar=$E$9)*agg_P18)+(1-$H$9)*SUMPRODUCT((agg_mat="L")*(agg_ie=1)*(agg_bar=0)*agg_P18))+$G$9*$H$9*SUMPRODUCT((agg_mat="PF_out")*(agg_ie=2)*(agg_bar=$E$9)*agg_P18)</f>
        <v>0</v>
      </c>
      <c r="V38" s="20" t="n">
        <f aca="false">$F$9*($H$9*SUMPRODUCT((agg_mat="PF_out")*(agg_ie=1)*(agg_bar=$E$9)*agg_P19)+(1-$H$9)*SUMPRODUCT((agg_mat="L")*(agg_ie=1)*(agg_bar=0)*agg_P19))+$G$9*$H$9*SUMPRODUCT((agg_mat="PF_out")*(agg_ie=2)*(agg_bar=$E$9)*agg_P19)</f>
        <v>0</v>
      </c>
      <c r="W38" s="20" t="n">
        <f aca="false">$F$9*($H$9*SUMPRODUCT((agg_mat="PF_out")*(agg_ie=1)*(agg_bar=$E$9)*agg_P20)+(1-$H$9)*SUMPRODUCT((agg_mat="L")*(agg_ie=1)*(agg_bar=0)*agg_P20))+$G$9*$H$9*SUMPRODUCT((agg_mat="PF_out")*(agg_ie=2)*(agg_bar=$E$9)*agg_P20)</f>
        <v>0</v>
      </c>
    </row>
    <row r="39" customFormat="false" ht="15" hidden="false" customHeight="false" outlineLevel="0" collapsed="false">
      <c r="A39" s="14" t="s">
        <v>307</v>
      </c>
      <c r="B39" s="14"/>
      <c r="C39" s="24" t="s">
        <v>315</v>
      </c>
      <c r="D39" s="20" t="n">
        <f aca="false">$F$10*($H$10*SUMPRODUCT((agg_mat="PF_in")*(agg_ie=1)*(agg_bar=$E$10)*agg_P1)+(1-$H$10)*SUMPRODUCT((agg_mat="L")*(agg_ie=1)*(agg_bar=0)*agg_P1))+$G$10*$H$10*SUMPRODUCT((agg_mat="PF_in")*(agg_ie=2)*(agg_bar=$E$10)*agg_P1)</f>
        <v>0.000647604</v>
      </c>
      <c r="E39" s="20" t="n">
        <f aca="false">$F$10*($H$10*SUMPRODUCT((agg_mat="PF_in")*(agg_ie=1)*(agg_bar=$E$10)*agg_P2)+(1-$H$10)*SUMPRODUCT((agg_mat="L")*(agg_ie=1)*(agg_bar=0)*agg_P2))+$G$10*$H$10*SUMPRODUCT((agg_mat="PF_in")*(agg_ie=2)*(agg_bar=$E$10)*agg_P2)</f>
        <v>0.00063828</v>
      </c>
      <c r="F39" s="20" t="n">
        <f aca="false">$F$10*($H$10*SUMPRODUCT((agg_mat="PF_in")*(agg_ie=1)*(agg_bar=$E$10)*agg_P3)+(1-$H$10)*SUMPRODUCT((agg_mat="L")*(agg_ie=1)*(agg_bar=0)*agg_P3))+$G$10*$H$10*SUMPRODUCT((agg_mat="PF_in")*(agg_ie=2)*(agg_bar=$E$10)*agg_P3)</f>
        <v>0.00049572</v>
      </c>
      <c r="G39" s="20" t="n">
        <f aca="false">$F$10*($H$10*SUMPRODUCT((agg_mat="PF_in")*(agg_ie=1)*(agg_bar=$E$10)*agg_P4)+(1-$H$10)*SUMPRODUCT((agg_mat="L")*(agg_ie=1)*(agg_bar=0)*agg_P4))+$G$10*$H$10*SUMPRODUCT((agg_mat="PF_in")*(agg_ie=2)*(agg_bar=$E$10)*agg_P4)</f>
        <v>0</v>
      </c>
      <c r="H39" s="20" t="n">
        <f aca="false">$F$10*($H$10*SUMPRODUCT((agg_mat="PF_in")*(agg_ie=1)*(agg_bar=$E$10)*agg_P5)+(1-$H$10)*SUMPRODUCT((agg_mat="L")*(agg_ie=1)*(agg_bar=0)*agg_P5))+$G$10*$H$10*SUMPRODUCT((agg_mat="PF_in")*(agg_ie=2)*(agg_bar=$E$10)*agg_P5)</f>
        <v>0</v>
      </c>
      <c r="I39" s="20" t="n">
        <f aca="false">$F$10*($H$10*SUMPRODUCT((agg_mat="PF_in")*(agg_ie=1)*(agg_bar=$E$10)*agg_P6)+(1-$H$10)*SUMPRODUCT((agg_mat="L")*(agg_ie=1)*(agg_bar=0)*agg_P6))+$G$10*$H$10*SUMPRODUCT((agg_mat="PF_in")*(agg_ie=2)*(agg_bar=$E$10)*agg_P6)</f>
        <v>0</v>
      </c>
      <c r="J39" s="20" t="n">
        <f aca="false">$F$10*($H$10*SUMPRODUCT((agg_mat="PF_in")*(agg_ie=1)*(agg_bar=$E$10)*agg_P7)+(1-$H$10)*SUMPRODUCT((agg_mat="L")*(agg_ie=1)*(agg_bar=0)*agg_P7))+$G$10*$H$10*SUMPRODUCT((agg_mat="PF_in")*(agg_ie=2)*(agg_bar=$E$10)*agg_P7)</f>
        <v>0</v>
      </c>
      <c r="K39" s="20" t="n">
        <f aca="false">$F$10*($H$10*SUMPRODUCT((agg_mat="PF_in")*(agg_ie=1)*(agg_bar=$E$10)*agg_P8)+(1-$H$10)*SUMPRODUCT((agg_mat="L")*(agg_ie=1)*(agg_bar=0)*agg_P8))+$G$10*$H$10*SUMPRODUCT((agg_mat="PF_in")*(agg_ie=2)*(agg_bar=$E$10)*agg_P8)</f>
        <v>0</v>
      </c>
      <c r="L39" s="20" t="n">
        <f aca="false">$F$10*($H$10*SUMPRODUCT((agg_mat="PF_in")*(agg_ie=1)*(agg_bar=$E$10)*agg_P9)+(1-$H$10)*SUMPRODUCT((agg_mat="L")*(agg_ie=1)*(agg_bar=0)*agg_P9))+$G$10*$H$10*SUMPRODUCT((agg_mat="PF_in")*(agg_ie=2)*(agg_bar=$E$10)*agg_P9)</f>
        <v>0</v>
      </c>
      <c r="M39" s="20" t="n">
        <f aca="false">$F$10*($H$10*SUMPRODUCT((agg_mat="PF_in")*(agg_ie=1)*(agg_bar=$E$10)*agg_P10)+(1-$H$10)*SUMPRODUCT((agg_mat="L")*(agg_ie=1)*(agg_bar=0)*agg_P10))+$G$10*$H$10*SUMPRODUCT((agg_mat="PF_in")*(agg_ie=2)*(agg_bar=$E$10)*agg_P10)</f>
        <v>0</v>
      </c>
      <c r="N39" s="20" t="n">
        <f aca="false">$F$10*($H$10*SUMPRODUCT((agg_mat="PF_in")*(agg_ie=1)*(agg_bar=$E$10)*agg_P11)+(1-$H$10)*SUMPRODUCT((agg_mat="L")*(agg_ie=1)*(agg_bar=0)*agg_P11))+$G$10*$H$10*SUMPRODUCT((agg_mat="PF_in")*(agg_ie=2)*(agg_bar=$E$10)*agg_P11)</f>
        <v>0</v>
      </c>
      <c r="O39" s="20" t="n">
        <f aca="false">$F$10*($H$10*SUMPRODUCT((agg_mat="PF_in")*(agg_ie=1)*(agg_bar=$E$10)*agg_P12)+(1-$H$10)*SUMPRODUCT((agg_mat="L")*(agg_ie=1)*(agg_bar=0)*agg_P12))+$G$10*$H$10*SUMPRODUCT((agg_mat="PF_in")*(agg_ie=2)*(agg_bar=$E$10)*agg_P12)</f>
        <v>0</v>
      </c>
      <c r="P39" s="20" t="n">
        <f aca="false">$F$10*($H$10*SUMPRODUCT((agg_mat="PF_in")*(agg_ie=1)*(agg_bar=$E$10)*agg_P13)+(1-$H$10)*SUMPRODUCT((agg_mat="L")*(agg_ie=1)*(agg_bar=0)*agg_P13))+$G$10*$H$10*SUMPRODUCT((agg_mat="PF_in")*(agg_ie=2)*(agg_bar=$E$10)*agg_P13)</f>
        <v>0</v>
      </c>
      <c r="Q39" s="20" t="n">
        <f aca="false">$F$10*($H$10*SUMPRODUCT((agg_mat="PF_in")*(agg_ie=1)*(agg_bar=$E$10)*agg_P14)+(1-$H$10)*SUMPRODUCT((agg_mat="L")*(agg_ie=1)*(agg_bar=0)*agg_P14))+$G$10*$H$10*SUMPRODUCT((agg_mat="PF_in")*(agg_ie=2)*(agg_bar=$E$10)*agg_P14)</f>
        <v>0</v>
      </c>
      <c r="R39" s="20" t="n">
        <f aca="false">$F$10*($H$10*SUMPRODUCT((agg_mat="PF_in")*(agg_ie=1)*(agg_bar=$E$10)*agg_P15)+(1-$H$10)*SUMPRODUCT((agg_mat="L")*(agg_ie=1)*(agg_bar=0)*agg_P15))+$G$10*$H$10*SUMPRODUCT((agg_mat="PF_in")*(agg_ie=2)*(agg_bar=$E$10)*agg_P15)</f>
        <v>0</v>
      </c>
      <c r="S39" s="20" t="n">
        <f aca="false">$F$10*($H$10*SUMPRODUCT((agg_mat="PF_in")*(agg_ie=1)*(agg_bar=$E$10)*agg_P16)+(1-$H$10)*SUMPRODUCT((agg_mat="L")*(agg_ie=1)*(agg_bar=0)*agg_P16))+$G$10*$H$10*SUMPRODUCT((agg_mat="PF_in")*(agg_ie=2)*(agg_bar=$E$10)*agg_P16)</f>
        <v>0</v>
      </c>
      <c r="T39" s="20" t="n">
        <f aca="false">$F$10*($H$10*SUMPRODUCT((agg_mat="PF_in")*(agg_ie=1)*(agg_bar=$E$10)*agg_P17)+(1-$H$10)*SUMPRODUCT((agg_mat="L")*(agg_ie=1)*(agg_bar=0)*agg_P17))+$G$10*$H$10*SUMPRODUCT((agg_mat="PF_in")*(agg_ie=2)*(agg_bar=$E$10)*agg_P17)</f>
        <v>0</v>
      </c>
      <c r="U39" s="20" t="n">
        <f aca="false">$F$10*($H$10*SUMPRODUCT((agg_mat="PF_in")*(agg_ie=1)*(agg_bar=$E$10)*agg_P18)+(1-$H$10)*SUMPRODUCT((agg_mat="L")*(agg_ie=1)*(agg_bar=0)*agg_P18))+$G$10*$H$10*SUMPRODUCT((agg_mat="PF_in")*(agg_ie=2)*(agg_bar=$E$10)*agg_P18)</f>
        <v>0</v>
      </c>
      <c r="V39" s="20" t="n">
        <f aca="false">$F$10*($H$10*SUMPRODUCT((agg_mat="PF_in")*(agg_ie=1)*(agg_bar=$E$10)*agg_P19)+(1-$H$10)*SUMPRODUCT((agg_mat="L")*(agg_ie=1)*(agg_bar=0)*agg_P19))+$G$10*$H$10*SUMPRODUCT((agg_mat="PF_in")*(agg_ie=2)*(agg_bar=$E$10)*agg_P19)</f>
        <v>0</v>
      </c>
      <c r="W39" s="20" t="n">
        <f aca="false">$F$10*($H$10*SUMPRODUCT((agg_mat="PF_in")*(agg_ie=1)*(agg_bar=$E$10)*agg_P20)+(1-$H$10)*SUMPRODUCT((agg_mat="L")*(agg_ie=1)*(agg_bar=0)*agg_P20))+$G$10*$H$10*SUMPRODUCT((agg_mat="PF_in")*(agg_ie=2)*(agg_bar=$E$10)*agg_P20)</f>
        <v>0</v>
      </c>
    </row>
    <row r="40" customFormat="false" ht="15" hidden="false" customHeight="false" outlineLevel="0" collapsed="false">
      <c r="A40" s="14" t="s">
        <v>316</v>
      </c>
      <c r="B40" s="14"/>
      <c r="C40" s="2" t="s">
        <v>308</v>
      </c>
      <c r="D40" s="20" t="n">
        <f aca="false">$F$11*SUMPRODUCT((agg_mat="L")*(agg_ie=1)*(agg_bar=0)*agg_P1)</f>
        <v>1.764E-005</v>
      </c>
      <c r="E40" s="20" t="n">
        <f aca="false">$F$11*SUMPRODUCT((agg_mat="L")*(agg_ie=1)*(agg_bar=0)*agg_P2)</f>
        <v>0</v>
      </c>
      <c r="F40" s="20" t="n">
        <f aca="false">$F$11*SUMPRODUCT((agg_mat="L")*(agg_ie=1)*(agg_bar=0)*agg_P3)</f>
        <v>0</v>
      </c>
      <c r="G40" s="20" t="n">
        <f aca="false">$F$11*SUMPRODUCT((agg_mat="L")*(agg_ie=1)*(agg_bar=0)*agg_P4)</f>
        <v>0</v>
      </c>
      <c r="H40" s="20" t="n">
        <f aca="false">$F$11*SUMPRODUCT((agg_mat="L")*(agg_ie=1)*(agg_bar=0)*agg_P5)</f>
        <v>0</v>
      </c>
      <c r="I40" s="20" t="n">
        <f aca="false">$F$11*SUMPRODUCT((agg_mat="L")*(agg_ie=1)*(agg_bar=0)*agg_P6)</f>
        <v>0</v>
      </c>
      <c r="J40" s="20" t="n">
        <f aca="false">$F$11*SUMPRODUCT((agg_mat="L")*(agg_ie=1)*(agg_bar=0)*agg_P7)</f>
        <v>0</v>
      </c>
      <c r="K40" s="20" t="n">
        <f aca="false">$F$11*SUMPRODUCT((agg_mat="L")*(agg_ie=1)*(agg_bar=0)*agg_P8)</f>
        <v>0</v>
      </c>
      <c r="L40" s="20" t="n">
        <f aca="false">$F$11*SUMPRODUCT((agg_mat="L")*(agg_ie=1)*(agg_bar=0)*agg_P9)</f>
        <v>0</v>
      </c>
      <c r="M40" s="20" t="n">
        <f aca="false">$F$11*SUMPRODUCT((agg_mat="L")*(agg_ie=1)*(agg_bar=0)*agg_P10)</f>
        <v>0</v>
      </c>
      <c r="N40" s="20" t="n">
        <f aca="false">$F$11*SUMPRODUCT((agg_mat="L")*(agg_ie=1)*(agg_bar=0)*agg_P11)</f>
        <v>0</v>
      </c>
      <c r="O40" s="20" t="n">
        <f aca="false">$F$11*SUMPRODUCT((agg_mat="L")*(agg_ie=1)*(agg_bar=0)*agg_P12)</f>
        <v>0</v>
      </c>
      <c r="P40" s="20" t="n">
        <f aca="false">$F$11*SUMPRODUCT((agg_mat="L")*(agg_ie=1)*(agg_bar=0)*agg_P13)</f>
        <v>0</v>
      </c>
      <c r="Q40" s="20" t="n">
        <f aca="false">$F$11*SUMPRODUCT((agg_mat="L")*(agg_ie=1)*(agg_bar=0)*agg_P14)</f>
        <v>0</v>
      </c>
      <c r="R40" s="20" t="n">
        <f aca="false">$F$11*SUMPRODUCT((agg_mat="L")*(agg_ie=1)*(agg_bar=0)*agg_P15)</f>
        <v>0</v>
      </c>
      <c r="S40" s="20" t="n">
        <f aca="false">$F$11*SUMPRODUCT((agg_mat="L")*(agg_ie=1)*(agg_bar=0)*agg_P16)</f>
        <v>0</v>
      </c>
      <c r="T40" s="20" t="n">
        <f aca="false">$F$11*SUMPRODUCT((agg_mat="L")*(agg_ie=1)*(agg_bar=0)*agg_P17)</f>
        <v>0</v>
      </c>
      <c r="U40" s="20" t="n">
        <f aca="false">$F$11*SUMPRODUCT((agg_mat="L")*(agg_ie=1)*(agg_bar=0)*agg_P18)</f>
        <v>0</v>
      </c>
      <c r="V40" s="20" t="n">
        <f aca="false">$F$11*SUMPRODUCT((agg_mat="L")*(agg_ie=1)*(agg_bar=0)*agg_P19)</f>
        <v>0</v>
      </c>
      <c r="W40" s="20" t="n">
        <f aca="false">$F$11*SUMPRODUCT((agg_mat="L")*(agg_ie=1)*(agg_bar=0)*agg_P20)</f>
        <v>0</v>
      </c>
    </row>
    <row r="41" customFormat="false" ht="15" hidden="false" customHeight="false" outlineLevel="0" collapsed="false">
      <c r="A41" s="14" t="s">
        <v>316</v>
      </c>
      <c r="B41" s="14"/>
      <c r="C41" s="24" t="s">
        <v>311</v>
      </c>
      <c r="D41" s="20" t="n">
        <f aca="false">$F$12*($H$12*SUMPRODUCT((agg_mat="EPS_SC")*(agg_ie=1)*(agg_bar=$E$12)*agg_P1)+(1-$H$12)*SUMPRODUCT((agg_mat="L")*(agg_ie=1)*(agg_bar=0)*agg_P1))+$G$12*$H$12*SUMPRODUCT((agg_mat="EPS_SC")*(agg_ie=2)*(agg_bar=$E$12)*agg_P1)</f>
        <v>5.96376E-005</v>
      </c>
      <c r="E41" s="20" t="n">
        <f aca="false">$F$12*($H$12*SUMPRODUCT((agg_mat="EPS_SC")*(agg_ie=1)*(agg_bar=$E$12)*agg_P2)+(1-$H$12)*SUMPRODUCT((agg_mat="L")*(agg_ie=1)*(agg_bar=0)*agg_P2))+$G$12*$H$12*SUMPRODUCT((agg_mat="EPS_SC")*(agg_ie=2)*(agg_bar=$E$12)*agg_P2)</f>
        <v>0</v>
      </c>
      <c r="F41" s="20" t="n">
        <f aca="false">$F$12*($H$12*SUMPRODUCT((agg_mat="EPS_SC")*(agg_ie=1)*(agg_bar=$E$12)*agg_P3)+(1-$H$12)*SUMPRODUCT((agg_mat="L")*(agg_ie=1)*(agg_bar=0)*agg_P3))+$G$12*$H$12*SUMPRODUCT((agg_mat="EPS_SC")*(agg_ie=2)*(agg_bar=$E$12)*agg_P3)</f>
        <v>0</v>
      </c>
      <c r="G41" s="20" t="n">
        <f aca="false">$F$12*($H$12*SUMPRODUCT((agg_mat="EPS_SC")*(agg_ie=1)*(agg_bar=$E$12)*agg_P4)+(1-$H$12)*SUMPRODUCT((agg_mat="L")*(agg_ie=1)*(agg_bar=0)*agg_P4))+$G$12*$H$12*SUMPRODUCT((agg_mat="EPS_SC")*(agg_ie=2)*(agg_bar=$E$12)*agg_P4)</f>
        <v>0</v>
      </c>
      <c r="H41" s="20" t="n">
        <f aca="false">$F$12*($H$12*SUMPRODUCT((agg_mat="EPS_SC")*(agg_ie=1)*(agg_bar=$E$12)*agg_P5)+(1-$H$12)*SUMPRODUCT((agg_mat="L")*(agg_ie=1)*(agg_bar=0)*agg_P5))+$G$12*$H$12*SUMPRODUCT((agg_mat="EPS_SC")*(agg_ie=2)*(agg_bar=$E$12)*agg_P5)</f>
        <v>0</v>
      </c>
      <c r="I41" s="20" t="n">
        <f aca="false">$F$12*($H$12*SUMPRODUCT((agg_mat="EPS_SC")*(agg_ie=1)*(agg_bar=$E$12)*agg_P6)+(1-$H$12)*SUMPRODUCT((agg_mat="L")*(agg_ie=1)*(agg_bar=0)*agg_P6))+$G$12*$H$12*SUMPRODUCT((agg_mat="EPS_SC")*(agg_ie=2)*(agg_bar=$E$12)*agg_P6)</f>
        <v>0</v>
      </c>
      <c r="J41" s="20" t="n">
        <f aca="false">$F$12*($H$12*SUMPRODUCT((agg_mat="EPS_SC")*(agg_ie=1)*(agg_bar=$E$12)*agg_P7)+(1-$H$12)*SUMPRODUCT((agg_mat="L")*(agg_ie=1)*(agg_bar=0)*agg_P7))+$G$12*$H$12*SUMPRODUCT((agg_mat="EPS_SC")*(agg_ie=2)*(agg_bar=$E$12)*agg_P7)</f>
        <v>0</v>
      </c>
      <c r="K41" s="20" t="n">
        <f aca="false">$F$12*($H$12*SUMPRODUCT((agg_mat="EPS_SC")*(agg_ie=1)*(agg_bar=$E$12)*agg_P8)+(1-$H$12)*SUMPRODUCT((agg_mat="L")*(agg_ie=1)*(agg_bar=0)*agg_P8))+$G$12*$H$12*SUMPRODUCT((agg_mat="EPS_SC")*(agg_ie=2)*(agg_bar=$E$12)*agg_P8)</f>
        <v>0</v>
      </c>
      <c r="L41" s="20" t="n">
        <f aca="false">$F$12*($H$12*SUMPRODUCT((agg_mat="EPS_SC")*(agg_ie=1)*(agg_bar=$E$12)*agg_P9)+(1-$H$12)*SUMPRODUCT((agg_mat="L")*(agg_ie=1)*(agg_bar=0)*agg_P9))+$G$12*$H$12*SUMPRODUCT((agg_mat="EPS_SC")*(agg_ie=2)*(agg_bar=$E$12)*agg_P9)</f>
        <v>0</v>
      </c>
      <c r="M41" s="20" t="n">
        <f aca="false">$F$12*($H$12*SUMPRODUCT((agg_mat="EPS_SC")*(agg_ie=1)*(agg_bar=$E$12)*agg_P10)+(1-$H$12)*SUMPRODUCT((agg_mat="L")*(agg_ie=1)*(agg_bar=0)*agg_P10))+$G$12*$H$12*SUMPRODUCT((agg_mat="EPS_SC")*(agg_ie=2)*(agg_bar=$E$12)*agg_P10)</f>
        <v>0</v>
      </c>
      <c r="N41" s="20" t="n">
        <f aca="false">$F$12*($H$12*SUMPRODUCT((agg_mat="EPS_SC")*(agg_ie=1)*(agg_bar=$E$12)*agg_P11)+(1-$H$12)*SUMPRODUCT((agg_mat="L")*(agg_ie=1)*(agg_bar=0)*agg_P11))+$G$12*$H$12*SUMPRODUCT((agg_mat="EPS_SC")*(agg_ie=2)*(agg_bar=$E$12)*agg_P11)</f>
        <v>0</v>
      </c>
      <c r="O41" s="20" t="n">
        <f aca="false">$F$12*($H$12*SUMPRODUCT((agg_mat="EPS_SC")*(agg_ie=1)*(agg_bar=$E$12)*agg_P12)+(1-$H$12)*SUMPRODUCT((agg_mat="L")*(agg_ie=1)*(agg_bar=0)*agg_P12))+$G$12*$H$12*SUMPRODUCT((agg_mat="EPS_SC")*(agg_ie=2)*(agg_bar=$E$12)*agg_P12)</f>
        <v>0</v>
      </c>
      <c r="P41" s="20" t="n">
        <f aca="false">$F$12*($H$12*SUMPRODUCT((agg_mat="EPS_SC")*(agg_ie=1)*(agg_bar=$E$12)*agg_P13)+(1-$H$12)*SUMPRODUCT((agg_mat="L")*(agg_ie=1)*(agg_bar=0)*agg_P13))+$G$12*$H$12*SUMPRODUCT((agg_mat="EPS_SC")*(agg_ie=2)*(agg_bar=$E$12)*agg_P13)</f>
        <v>0</v>
      </c>
      <c r="Q41" s="20" t="n">
        <f aca="false">$F$12*($H$12*SUMPRODUCT((agg_mat="EPS_SC")*(agg_ie=1)*(agg_bar=$E$12)*agg_P14)+(1-$H$12)*SUMPRODUCT((agg_mat="L")*(agg_ie=1)*(agg_bar=0)*agg_P14))+$G$12*$H$12*SUMPRODUCT((agg_mat="EPS_SC")*(agg_ie=2)*(agg_bar=$E$12)*agg_P14)</f>
        <v>0</v>
      </c>
      <c r="R41" s="20" t="n">
        <f aca="false">$F$12*($H$12*SUMPRODUCT((agg_mat="EPS_SC")*(agg_ie=1)*(agg_bar=$E$12)*agg_P15)+(1-$H$12)*SUMPRODUCT((agg_mat="L")*(agg_ie=1)*(agg_bar=0)*agg_P15))+$G$12*$H$12*SUMPRODUCT((agg_mat="EPS_SC")*(agg_ie=2)*(agg_bar=$E$12)*agg_P15)</f>
        <v>0</v>
      </c>
      <c r="S41" s="20" t="n">
        <f aca="false">$F$12*($H$12*SUMPRODUCT((agg_mat="EPS_SC")*(agg_ie=1)*(agg_bar=$E$12)*agg_P16)+(1-$H$12)*SUMPRODUCT((agg_mat="L")*(agg_ie=1)*(agg_bar=0)*agg_P16))+$G$12*$H$12*SUMPRODUCT((agg_mat="EPS_SC")*(agg_ie=2)*(agg_bar=$E$12)*agg_P16)</f>
        <v>0</v>
      </c>
      <c r="T41" s="20" t="n">
        <f aca="false">$F$12*($H$12*SUMPRODUCT((agg_mat="EPS_SC")*(agg_ie=1)*(agg_bar=$E$12)*agg_P17)+(1-$H$12)*SUMPRODUCT((agg_mat="L")*(agg_ie=1)*(agg_bar=0)*agg_P17))+$G$12*$H$12*SUMPRODUCT((agg_mat="EPS_SC")*(agg_ie=2)*(agg_bar=$E$12)*agg_P17)</f>
        <v>0</v>
      </c>
      <c r="U41" s="20" t="n">
        <f aca="false">$F$12*($H$12*SUMPRODUCT((agg_mat="EPS_SC")*(agg_ie=1)*(agg_bar=$E$12)*agg_P18)+(1-$H$12)*SUMPRODUCT((agg_mat="L")*(agg_ie=1)*(agg_bar=0)*agg_P18))+$G$12*$H$12*SUMPRODUCT((agg_mat="EPS_SC")*(agg_ie=2)*(agg_bar=$E$12)*agg_P18)</f>
        <v>0</v>
      </c>
      <c r="V41" s="20" t="n">
        <f aca="false">$F$12*($H$12*SUMPRODUCT((agg_mat="EPS_SC")*(agg_ie=1)*(agg_bar=$E$12)*agg_P19)+(1-$H$12)*SUMPRODUCT((agg_mat="L")*(agg_ie=1)*(agg_bar=0)*agg_P19))+$G$12*$H$12*SUMPRODUCT((agg_mat="EPS_SC")*(agg_ie=2)*(agg_bar=$E$12)*agg_P19)</f>
        <v>0</v>
      </c>
      <c r="W41" s="20" t="n">
        <f aca="false">$F$12*($H$12*SUMPRODUCT((agg_mat="EPS_SC")*(agg_ie=1)*(agg_bar=$E$12)*agg_P20)+(1-$H$12)*SUMPRODUCT((agg_mat="L")*(agg_ie=1)*(agg_bar=0)*agg_P20))+$G$12*$H$12*SUMPRODUCT((agg_mat="EPS_SC")*(agg_ie=2)*(agg_bar=$E$12)*agg_P20)</f>
        <v>0</v>
      </c>
    </row>
    <row r="42" customFormat="false" ht="15" hidden="false" customHeight="false" outlineLevel="0" collapsed="false">
      <c r="A42" s="14" t="s">
        <v>316</v>
      </c>
      <c r="B42" s="14"/>
      <c r="C42" s="24" t="s">
        <v>312</v>
      </c>
      <c r="D42" s="20" t="n">
        <f aca="false">$F$13*($H$13*SUMPRODUCT((agg_mat="PIR_C")*(agg_ie=1)*(agg_bar=$E$13)*agg_P1)+(1-$H$13)*SUMPRODUCT((agg_mat="L")*(agg_ie=1)*(agg_bar=0)*agg_P1))+$G$13*$H$13*SUMPRODUCT((agg_mat="PIR_C")*(agg_ie=2)*(agg_bar=$E$13)*agg_P1)</f>
        <v>0.000647604</v>
      </c>
      <c r="E42" s="20" t="n">
        <f aca="false">$F$13*($H$13*SUMPRODUCT((agg_mat="PIR_C")*(agg_ie=1)*(agg_bar=$E$13)*agg_P2)+(1-$H$13)*SUMPRODUCT((agg_mat="L")*(agg_ie=1)*(agg_bar=0)*agg_P2))+$G$13*$H$13*SUMPRODUCT((agg_mat="PIR_C")*(agg_ie=2)*(agg_bar=$E$13)*agg_P2)</f>
        <v>0.00063828</v>
      </c>
      <c r="F42" s="20" t="n">
        <f aca="false">$F$13*($H$13*SUMPRODUCT((agg_mat="PIR_C")*(agg_ie=1)*(agg_bar=$E$13)*agg_P3)+(1-$H$13)*SUMPRODUCT((agg_mat="L")*(agg_ie=1)*(agg_bar=0)*agg_P3))+$G$13*$H$13*SUMPRODUCT((agg_mat="PIR_C")*(agg_ie=2)*(agg_bar=$E$13)*agg_P3)</f>
        <v>0.00063072</v>
      </c>
      <c r="G42" s="20" t="n">
        <f aca="false">$F$13*($H$13*SUMPRODUCT((agg_mat="PIR_C")*(agg_ie=1)*(agg_bar=$E$13)*agg_P4)+(1-$H$13)*SUMPRODUCT((agg_mat="L")*(agg_ie=1)*(agg_bar=0)*agg_P4))+$G$13*$H$13*SUMPRODUCT((agg_mat="PIR_C")*(agg_ie=2)*(agg_bar=$E$13)*agg_P4)</f>
        <v>0.00062316</v>
      </c>
      <c r="H42" s="20" t="n">
        <f aca="false">$F$13*($H$13*SUMPRODUCT((agg_mat="PIR_C")*(agg_ie=1)*(agg_bar=$E$13)*agg_P5)+(1-$H$13)*SUMPRODUCT((agg_mat="L")*(agg_ie=1)*(agg_bar=0)*agg_P5))+$G$13*$H$13*SUMPRODUCT((agg_mat="PIR_C")*(agg_ie=2)*(agg_bar=$E$13)*agg_P5)</f>
        <v>0.0006156</v>
      </c>
      <c r="I42" s="20" t="n">
        <f aca="false">$F$13*($H$13*SUMPRODUCT((agg_mat="PIR_C")*(agg_ie=1)*(agg_bar=$E$13)*agg_P6)+(1-$H$13)*SUMPRODUCT((agg_mat="L")*(agg_ie=1)*(agg_bar=0)*agg_P6))+$G$13*$H$13*SUMPRODUCT((agg_mat="PIR_C")*(agg_ie=2)*(agg_bar=$E$13)*agg_P6)</f>
        <v>0.00060804</v>
      </c>
      <c r="J42" s="20" t="n">
        <f aca="false">$F$13*($H$13*SUMPRODUCT((agg_mat="PIR_C")*(agg_ie=1)*(agg_bar=$E$13)*agg_P7)+(1-$H$13)*SUMPRODUCT((agg_mat="L")*(agg_ie=1)*(agg_bar=0)*agg_P7))+$G$13*$H$13*SUMPRODUCT((agg_mat="PIR_C")*(agg_ie=2)*(agg_bar=$E$13)*agg_P7)</f>
        <v>0.00060048</v>
      </c>
      <c r="K42" s="20" t="n">
        <f aca="false">$F$13*($H$13*SUMPRODUCT((agg_mat="PIR_C")*(agg_ie=1)*(agg_bar=$E$13)*agg_P8)+(1-$H$13)*SUMPRODUCT((agg_mat="L")*(agg_ie=1)*(agg_bar=0)*agg_P8))+$G$13*$H$13*SUMPRODUCT((agg_mat="PIR_C")*(agg_ie=2)*(agg_bar=$E$13)*agg_P8)</f>
        <v>0.00059292</v>
      </c>
      <c r="L42" s="20" t="n">
        <f aca="false">$F$13*($H$13*SUMPRODUCT((agg_mat="PIR_C")*(agg_ie=1)*(agg_bar=$E$13)*agg_P9)+(1-$H$13)*SUMPRODUCT((agg_mat="L")*(agg_ie=1)*(agg_bar=0)*agg_P9))+$G$13*$H$13*SUMPRODUCT((agg_mat="PIR_C")*(agg_ie=2)*(agg_bar=$E$13)*agg_P9)</f>
        <v>0.00058536</v>
      </c>
      <c r="M42" s="20" t="n">
        <f aca="false">$F$13*($H$13*SUMPRODUCT((agg_mat="PIR_C")*(agg_ie=1)*(agg_bar=$E$13)*agg_P10)+(1-$H$13)*SUMPRODUCT((agg_mat="L")*(agg_ie=1)*(agg_bar=0)*agg_P10))+$G$13*$H$13*SUMPRODUCT((agg_mat="PIR_C")*(agg_ie=2)*(agg_bar=$E$13)*agg_P10)</f>
        <v>0.0005778</v>
      </c>
      <c r="N42" s="20" t="n">
        <f aca="false">$F$13*($H$13*SUMPRODUCT((agg_mat="PIR_C")*(agg_ie=1)*(agg_bar=$E$13)*agg_P11)+(1-$H$13)*SUMPRODUCT((agg_mat="L")*(agg_ie=1)*(agg_bar=0)*agg_P11))+$G$13*$H$13*SUMPRODUCT((agg_mat="PIR_C")*(agg_ie=2)*(agg_bar=$E$13)*agg_P11)</f>
        <v>0.00057024</v>
      </c>
      <c r="O42" s="20" t="n">
        <f aca="false">$F$13*($H$13*SUMPRODUCT((agg_mat="PIR_C")*(agg_ie=1)*(agg_bar=$E$13)*agg_P12)+(1-$H$13)*SUMPRODUCT((agg_mat="L")*(agg_ie=1)*(agg_bar=0)*agg_P12))+$G$13*$H$13*SUMPRODUCT((agg_mat="PIR_C")*(agg_ie=2)*(agg_bar=$E$13)*agg_P12)</f>
        <v>0.00056268</v>
      </c>
      <c r="P42" s="20" t="n">
        <f aca="false">$F$13*($H$13*SUMPRODUCT((agg_mat="PIR_C")*(agg_ie=1)*(agg_bar=$E$13)*agg_P13)+(1-$H$13)*SUMPRODUCT((agg_mat="L")*(agg_ie=1)*(agg_bar=0)*agg_P13))+$G$13*$H$13*SUMPRODUCT((agg_mat="PIR_C")*(agg_ie=2)*(agg_bar=$E$13)*agg_P13)</f>
        <v>0.00055512</v>
      </c>
      <c r="Q42" s="20" t="n">
        <f aca="false">$F$13*($H$13*SUMPRODUCT((agg_mat="PIR_C")*(agg_ie=1)*(agg_bar=$E$13)*agg_P14)+(1-$H$13)*SUMPRODUCT((agg_mat="L")*(agg_ie=1)*(agg_bar=0)*agg_P14))+$G$13*$H$13*SUMPRODUCT((agg_mat="PIR_C")*(agg_ie=2)*(agg_bar=$E$13)*agg_P14)</f>
        <v>0.00054756</v>
      </c>
      <c r="R42" s="20" t="n">
        <f aca="false">$F$13*($H$13*SUMPRODUCT((agg_mat="PIR_C")*(agg_ie=1)*(agg_bar=$E$13)*agg_P15)+(1-$H$13)*SUMPRODUCT((agg_mat="L")*(agg_ie=1)*(agg_bar=0)*agg_P15))+$G$13*$H$13*SUMPRODUCT((agg_mat="PIR_C")*(agg_ie=2)*(agg_bar=$E$13)*agg_P15)</f>
        <v>0</v>
      </c>
      <c r="S42" s="20" t="n">
        <f aca="false">$F$13*($H$13*SUMPRODUCT((agg_mat="PIR_C")*(agg_ie=1)*(agg_bar=$E$13)*agg_P16)+(1-$H$13)*SUMPRODUCT((agg_mat="L")*(agg_ie=1)*(agg_bar=0)*agg_P16))+$G$13*$H$13*SUMPRODUCT((agg_mat="PIR_C")*(agg_ie=2)*(agg_bar=$E$13)*agg_P16)</f>
        <v>0</v>
      </c>
      <c r="T42" s="20" t="n">
        <f aca="false">$F$13*($H$13*SUMPRODUCT((agg_mat="PIR_C")*(agg_ie=1)*(agg_bar=$E$13)*agg_P17)+(1-$H$13)*SUMPRODUCT((agg_mat="L")*(agg_ie=1)*(agg_bar=0)*agg_P17))+$G$13*$H$13*SUMPRODUCT((agg_mat="PIR_C")*(agg_ie=2)*(agg_bar=$E$13)*agg_P17)</f>
        <v>0</v>
      </c>
      <c r="U42" s="20" t="n">
        <f aca="false">$F$13*($H$13*SUMPRODUCT((agg_mat="PIR_C")*(agg_ie=1)*(agg_bar=$E$13)*agg_P18)+(1-$H$13)*SUMPRODUCT((agg_mat="L")*(agg_ie=1)*(agg_bar=0)*agg_P18))+$G$13*$H$13*SUMPRODUCT((agg_mat="PIR_C")*(agg_ie=2)*(agg_bar=$E$13)*agg_P18)</f>
        <v>0</v>
      </c>
      <c r="V42" s="20" t="n">
        <f aca="false">$F$13*($H$13*SUMPRODUCT((agg_mat="PIR_C")*(agg_ie=1)*(agg_bar=$E$13)*agg_P19)+(1-$H$13)*SUMPRODUCT((agg_mat="L")*(agg_ie=1)*(agg_bar=0)*agg_P19))+$G$13*$H$13*SUMPRODUCT((agg_mat="PIR_C")*(agg_ie=2)*(agg_bar=$E$13)*agg_P19)</f>
        <v>0</v>
      </c>
      <c r="W42" s="20" t="n">
        <f aca="false">$F$13*($H$13*SUMPRODUCT((agg_mat="PIR_C")*(agg_ie=1)*(agg_bar=$E$13)*agg_P20)+(1-$H$13)*SUMPRODUCT((agg_mat="L")*(agg_ie=1)*(agg_bar=0)*agg_P20))+$G$13*$H$13*SUMPRODUCT((agg_mat="PIR_C")*(agg_ie=2)*(agg_bar=$E$13)*agg_P20)</f>
        <v>0</v>
      </c>
    </row>
    <row r="43" customFormat="false" ht="15" hidden="false" customHeight="false" outlineLevel="0" collapsed="false">
      <c r="A43" s="14" t="s">
        <v>316</v>
      </c>
      <c r="B43" s="14"/>
      <c r="C43" s="24" t="s">
        <v>313</v>
      </c>
      <c r="D43" s="20" t="n">
        <f aca="false">$F$14*($H$14*SUMPRODUCT((agg_mat="PIR_SC")*(agg_ie=1)*(agg_bar=$E$14)*agg_P1)+(1-$H$14)*SUMPRODUCT((agg_mat="L")*(agg_ie=1)*(agg_bar=0)*agg_P1))+$G$14*$H$14*SUMPRODUCT((agg_mat="PIR_SC")*(agg_ie=2)*(agg_bar=$E$14)*agg_P1)</f>
        <v>8.06364E-005</v>
      </c>
      <c r="E43" s="20" t="n">
        <f aca="false">$F$14*($H$14*SUMPRODUCT((agg_mat="PIR_SC")*(agg_ie=1)*(agg_bar=$E$14)*agg_P2)+(1-$H$14)*SUMPRODUCT((agg_mat="L")*(agg_ie=1)*(agg_bar=0)*agg_P2))+$G$14*$H$14*SUMPRODUCT((agg_mat="PIR_SC")*(agg_ie=2)*(agg_bar=$E$14)*agg_P2)</f>
        <v>0</v>
      </c>
      <c r="F43" s="20" t="n">
        <f aca="false">$F$14*($H$14*SUMPRODUCT((agg_mat="PIR_SC")*(agg_ie=1)*(agg_bar=$E$14)*agg_P3)+(1-$H$14)*SUMPRODUCT((agg_mat="L")*(agg_ie=1)*(agg_bar=0)*agg_P3))+$G$14*$H$14*SUMPRODUCT((agg_mat="PIR_SC")*(agg_ie=2)*(agg_bar=$E$14)*agg_P3)</f>
        <v>0</v>
      </c>
      <c r="G43" s="20" t="n">
        <f aca="false">$F$14*($H$14*SUMPRODUCT((agg_mat="PIR_SC")*(agg_ie=1)*(agg_bar=$E$14)*agg_P4)+(1-$H$14)*SUMPRODUCT((agg_mat="L")*(agg_ie=1)*(agg_bar=0)*agg_P4))+$G$14*$H$14*SUMPRODUCT((agg_mat="PIR_SC")*(agg_ie=2)*(agg_bar=$E$14)*agg_P4)</f>
        <v>0</v>
      </c>
      <c r="H43" s="20" t="n">
        <f aca="false">$F$14*($H$14*SUMPRODUCT((agg_mat="PIR_SC")*(agg_ie=1)*(agg_bar=$E$14)*agg_P5)+(1-$H$14)*SUMPRODUCT((agg_mat="L")*(agg_ie=1)*(agg_bar=0)*agg_P5))+$G$14*$H$14*SUMPRODUCT((agg_mat="PIR_SC")*(agg_ie=2)*(agg_bar=$E$14)*agg_P5)</f>
        <v>0</v>
      </c>
      <c r="I43" s="20" t="n">
        <f aca="false">$F$14*($H$14*SUMPRODUCT((agg_mat="PIR_SC")*(agg_ie=1)*(agg_bar=$E$14)*agg_P6)+(1-$H$14)*SUMPRODUCT((agg_mat="L")*(agg_ie=1)*(agg_bar=0)*agg_P6))+$G$14*$H$14*SUMPRODUCT((agg_mat="PIR_SC")*(agg_ie=2)*(agg_bar=$E$14)*agg_P6)</f>
        <v>0</v>
      </c>
      <c r="J43" s="20" t="n">
        <f aca="false">$F$14*($H$14*SUMPRODUCT((agg_mat="PIR_SC")*(agg_ie=1)*(agg_bar=$E$14)*agg_P7)+(1-$H$14)*SUMPRODUCT((agg_mat="L")*(agg_ie=1)*(agg_bar=0)*agg_P7))+$G$14*$H$14*SUMPRODUCT((agg_mat="PIR_SC")*(agg_ie=2)*(agg_bar=$E$14)*agg_P7)</f>
        <v>0</v>
      </c>
      <c r="K43" s="20" t="n">
        <f aca="false">$F$14*($H$14*SUMPRODUCT((agg_mat="PIR_SC")*(agg_ie=1)*(agg_bar=$E$14)*agg_P8)+(1-$H$14)*SUMPRODUCT((agg_mat="L")*(agg_ie=1)*(agg_bar=0)*agg_P8))+$G$14*$H$14*SUMPRODUCT((agg_mat="PIR_SC")*(agg_ie=2)*(agg_bar=$E$14)*agg_P8)</f>
        <v>0</v>
      </c>
      <c r="L43" s="20" t="n">
        <f aca="false">$F$14*($H$14*SUMPRODUCT((agg_mat="PIR_SC")*(agg_ie=1)*(agg_bar=$E$14)*agg_P9)+(1-$H$14)*SUMPRODUCT((agg_mat="L")*(agg_ie=1)*(agg_bar=0)*agg_P9))+$G$14*$H$14*SUMPRODUCT((agg_mat="PIR_SC")*(agg_ie=2)*(agg_bar=$E$14)*agg_P9)</f>
        <v>0</v>
      </c>
      <c r="M43" s="20" t="n">
        <f aca="false">$F$14*($H$14*SUMPRODUCT((agg_mat="PIR_SC")*(agg_ie=1)*(agg_bar=$E$14)*agg_P10)+(1-$H$14)*SUMPRODUCT((agg_mat="L")*(agg_ie=1)*(agg_bar=0)*agg_P10))+$G$14*$H$14*SUMPRODUCT((agg_mat="PIR_SC")*(agg_ie=2)*(agg_bar=$E$14)*agg_P10)</f>
        <v>0</v>
      </c>
      <c r="N43" s="20" t="n">
        <f aca="false">$F$14*($H$14*SUMPRODUCT((agg_mat="PIR_SC")*(agg_ie=1)*(agg_bar=$E$14)*agg_P11)+(1-$H$14)*SUMPRODUCT((agg_mat="L")*(agg_ie=1)*(agg_bar=0)*agg_P11))+$G$14*$H$14*SUMPRODUCT((agg_mat="PIR_SC")*(agg_ie=2)*(agg_bar=$E$14)*agg_P11)</f>
        <v>0</v>
      </c>
      <c r="O43" s="20" t="n">
        <f aca="false">$F$14*($H$14*SUMPRODUCT((agg_mat="PIR_SC")*(agg_ie=1)*(agg_bar=$E$14)*agg_P12)+(1-$H$14)*SUMPRODUCT((agg_mat="L")*(agg_ie=1)*(agg_bar=0)*agg_P12))+$G$14*$H$14*SUMPRODUCT((agg_mat="PIR_SC")*(agg_ie=2)*(agg_bar=$E$14)*agg_P12)</f>
        <v>0</v>
      </c>
      <c r="P43" s="20" t="n">
        <f aca="false">$F$14*($H$14*SUMPRODUCT((agg_mat="PIR_SC")*(agg_ie=1)*(agg_bar=$E$14)*agg_P13)+(1-$H$14)*SUMPRODUCT((agg_mat="L")*(agg_ie=1)*(agg_bar=0)*agg_P13))+$G$14*$H$14*SUMPRODUCT((agg_mat="PIR_SC")*(agg_ie=2)*(agg_bar=$E$14)*agg_P13)</f>
        <v>0</v>
      </c>
      <c r="Q43" s="20" t="n">
        <f aca="false">$F$14*($H$14*SUMPRODUCT((agg_mat="PIR_SC")*(agg_ie=1)*(agg_bar=$E$14)*agg_P14)+(1-$H$14)*SUMPRODUCT((agg_mat="L")*(agg_ie=1)*(agg_bar=0)*agg_P14))+$G$14*$H$14*SUMPRODUCT((agg_mat="PIR_SC")*(agg_ie=2)*(agg_bar=$E$14)*agg_P14)</f>
        <v>0</v>
      </c>
      <c r="R43" s="20" t="n">
        <f aca="false">$F$14*($H$14*SUMPRODUCT((agg_mat="PIR_SC")*(agg_ie=1)*(agg_bar=$E$14)*agg_P15)+(1-$H$14)*SUMPRODUCT((agg_mat="L")*(agg_ie=1)*(agg_bar=0)*agg_P15))+$G$14*$H$14*SUMPRODUCT((agg_mat="PIR_SC")*(agg_ie=2)*(agg_bar=$E$14)*agg_P15)</f>
        <v>0</v>
      </c>
      <c r="S43" s="20" t="n">
        <f aca="false">$F$14*($H$14*SUMPRODUCT((agg_mat="PIR_SC")*(agg_ie=1)*(agg_bar=$E$14)*agg_P16)+(1-$H$14)*SUMPRODUCT((agg_mat="L")*(agg_ie=1)*(agg_bar=0)*agg_P16))+$G$14*$H$14*SUMPRODUCT((agg_mat="PIR_SC")*(agg_ie=2)*(agg_bar=$E$14)*agg_P16)</f>
        <v>0</v>
      </c>
      <c r="T43" s="20" t="n">
        <f aca="false">$F$14*($H$14*SUMPRODUCT((agg_mat="PIR_SC")*(agg_ie=1)*(agg_bar=$E$14)*agg_P17)+(1-$H$14)*SUMPRODUCT((agg_mat="L")*(agg_ie=1)*(agg_bar=0)*agg_P17))+$G$14*$H$14*SUMPRODUCT((agg_mat="PIR_SC")*(agg_ie=2)*(agg_bar=$E$14)*agg_P17)</f>
        <v>0</v>
      </c>
      <c r="U43" s="20" t="n">
        <f aca="false">$F$14*($H$14*SUMPRODUCT((agg_mat="PIR_SC")*(agg_ie=1)*(agg_bar=$E$14)*agg_P18)+(1-$H$14)*SUMPRODUCT((agg_mat="L")*(agg_ie=1)*(agg_bar=0)*agg_P18))+$G$14*$H$14*SUMPRODUCT((agg_mat="PIR_SC")*(agg_ie=2)*(agg_bar=$E$14)*agg_P18)</f>
        <v>0</v>
      </c>
      <c r="V43" s="20" t="n">
        <f aca="false">$F$14*($H$14*SUMPRODUCT((agg_mat="PIR_SC")*(agg_ie=1)*(agg_bar=$E$14)*agg_P19)+(1-$H$14)*SUMPRODUCT((agg_mat="L")*(agg_ie=1)*(agg_bar=0)*agg_P19))+$G$14*$H$14*SUMPRODUCT((agg_mat="PIR_SC")*(agg_ie=2)*(agg_bar=$E$14)*agg_P19)</f>
        <v>0</v>
      </c>
      <c r="W43" s="20" t="n">
        <f aca="false">$F$14*($H$14*SUMPRODUCT((agg_mat="PIR_SC")*(agg_ie=1)*(agg_bar=$E$14)*agg_P20)+(1-$H$14)*SUMPRODUCT((agg_mat="L")*(agg_ie=1)*(agg_bar=0)*agg_P20))+$G$14*$H$14*SUMPRODUCT((agg_mat="PIR_SC")*(agg_ie=2)*(agg_bar=$E$14)*agg_P20)</f>
        <v>0</v>
      </c>
    </row>
    <row r="44" customFormat="false" ht="15" hidden="false" customHeight="false" outlineLevel="0" collapsed="false">
      <c r="A44" s="14" t="s">
        <v>316</v>
      </c>
      <c r="B44" s="14"/>
      <c r="C44" s="24" t="s">
        <v>314</v>
      </c>
      <c r="D44" s="20" t="n">
        <f aca="false">$F$15*($H$15*SUMPRODUCT((agg_mat="PF_out")*(agg_ie=1)*(agg_bar=$E$15)*agg_P1)+(1-$H$15)*SUMPRODUCT((agg_mat="L")*(agg_ie=1)*(agg_bar=0)*agg_P1))+$G$15*$H$15*SUMPRODUCT((agg_mat="PF_out")*(agg_ie=2)*(agg_bar=$E$15)*agg_P1)</f>
        <v>8.06364E-005</v>
      </c>
      <c r="E44" s="20" t="n">
        <f aca="false">$F$15*($H$15*SUMPRODUCT((agg_mat="PF_out")*(agg_ie=1)*(agg_bar=$E$15)*agg_P2)+(1-$H$15)*SUMPRODUCT((agg_mat="L")*(agg_ie=1)*(agg_bar=0)*agg_P2))+$G$15*$H$15*SUMPRODUCT((agg_mat="PF_out")*(agg_ie=2)*(agg_bar=$E$15)*agg_P2)</f>
        <v>0</v>
      </c>
      <c r="F44" s="20" t="n">
        <f aca="false">$F$15*($H$15*SUMPRODUCT((agg_mat="PF_out")*(agg_ie=1)*(agg_bar=$E$15)*agg_P3)+(1-$H$15)*SUMPRODUCT((agg_mat="L")*(agg_ie=1)*(agg_bar=0)*agg_P3))+$G$15*$H$15*SUMPRODUCT((agg_mat="PF_out")*(agg_ie=2)*(agg_bar=$E$15)*agg_P3)</f>
        <v>0</v>
      </c>
      <c r="G44" s="20" t="n">
        <f aca="false">$F$15*($H$15*SUMPRODUCT((agg_mat="PF_out")*(agg_ie=1)*(agg_bar=$E$15)*agg_P4)+(1-$H$15)*SUMPRODUCT((agg_mat="L")*(agg_ie=1)*(agg_bar=0)*agg_P4))+$G$15*$H$15*SUMPRODUCT((agg_mat="PF_out")*(agg_ie=2)*(agg_bar=$E$15)*agg_P4)</f>
        <v>0</v>
      </c>
      <c r="H44" s="20" t="n">
        <f aca="false">$F$15*($H$15*SUMPRODUCT((agg_mat="PF_out")*(agg_ie=1)*(agg_bar=$E$15)*agg_P5)+(1-$H$15)*SUMPRODUCT((agg_mat="L")*(agg_ie=1)*(agg_bar=0)*agg_P5))+$G$15*$H$15*SUMPRODUCT((agg_mat="PF_out")*(agg_ie=2)*(agg_bar=$E$15)*agg_P5)</f>
        <v>0</v>
      </c>
      <c r="I44" s="20" t="n">
        <f aca="false">$F$15*($H$15*SUMPRODUCT((agg_mat="PF_out")*(agg_ie=1)*(agg_bar=$E$15)*agg_P6)+(1-$H$15)*SUMPRODUCT((agg_mat="L")*(agg_ie=1)*(agg_bar=0)*agg_P6))+$G$15*$H$15*SUMPRODUCT((agg_mat="PF_out")*(agg_ie=2)*(agg_bar=$E$15)*agg_P6)</f>
        <v>0</v>
      </c>
      <c r="J44" s="20" t="n">
        <f aca="false">$F$15*($H$15*SUMPRODUCT((agg_mat="PF_out")*(agg_ie=1)*(agg_bar=$E$15)*agg_P7)+(1-$H$15)*SUMPRODUCT((agg_mat="L")*(agg_ie=1)*(agg_bar=0)*agg_P7))+$G$15*$H$15*SUMPRODUCT((agg_mat="PF_out")*(agg_ie=2)*(agg_bar=$E$15)*agg_P7)</f>
        <v>0</v>
      </c>
      <c r="K44" s="20" t="n">
        <f aca="false">$F$15*($H$15*SUMPRODUCT((agg_mat="PF_out")*(agg_ie=1)*(agg_bar=$E$15)*agg_P8)+(1-$H$15)*SUMPRODUCT((agg_mat="L")*(agg_ie=1)*(agg_bar=0)*agg_P8))+$G$15*$H$15*SUMPRODUCT((agg_mat="PF_out")*(agg_ie=2)*(agg_bar=$E$15)*agg_P8)</f>
        <v>0</v>
      </c>
      <c r="L44" s="20" t="n">
        <f aca="false">$F$15*($H$15*SUMPRODUCT((agg_mat="PF_out")*(agg_ie=1)*(agg_bar=$E$15)*agg_P9)+(1-$H$15)*SUMPRODUCT((agg_mat="L")*(agg_ie=1)*(agg_bar=0)*agg_P9))+$G$15*$H$15*SUMPRODUCT((agg_mat="PF_out")*(agg_ie=2)*(agg_bar=$E$15)*agg_P9)</f>
        <v>0</v>
      </c>
      <c r="M44" s="20" t="n">
        <f aca="false">$F$15*($H$15*SUMPRODUCT((agg_mat="PF_out")*(agg_ie=1)*(agg_bar=$E$15)*agg_P10)+(1-$H$15)*SUMPRODUCT((agg_mat="L")*(agg_ie=1)*(agg_bar=0)*agg_P10))+$G$15*$H$15*SUMPRODUCT((agg_mat="PF_out")*(agg_ie=2)*(agg_bar=$E$15)*agg_P10)</f>
        <v>0</v>
      </c>
      <c r="N44" s="20" t="n">
        <f aca="false">$F$15*($H$15*SUMPRODUCT((agg_mat="PF_out")*(agg_ie=1)*(agg_bar=$E$15)*agg_P11)+(1-$H$15)*SUMPRODUCT((agg_mat="L")*(agg_ie=1)*(agg_bar=0)*agg_P11))+$G$15*$H$15*SUMPRODUCT((agg_mat="PF_out")*(agg_ie=2)*(agg_bar=$E$15)*agg_P11)</f>
        <v>0</v>
      </c>
      <c r="O44" s="20" t="n">
        <f aca="false">$F$15*($H$15*SUMPRODUCT((agg_mat="PF_out")*(agg_ie=1)*(agg_bar=$E$15)*agg_P12)+(1-$H$15)*SUMPRODUCT((agg_mat="L")*(agg_ie=1)*(agg_bar=0)*agg_P12))+$G$15*$H$15*SUMPRODUCT((agg_mat="PF_out")*(agg_ie=2)*(agg_bar=$E$15)*agg_P12)</f>
        <v>0</v>
      </c>
      <c r="P44" s="20" t="n">
        <f aca="false">$F$15*($H$15*SUMPRODUCT((agg_mat="PF_out")*(agg_ie=1)*(agg_bar=$E$15)*agg_P13)+(1-$H$15)*SUMPRODUCT((agg_mat="L")*(agg_ie=1)*(agg_bar=0)*agg_P13))+$G$15*$H$15*SUMPRODUCT((agg_mat="PF_out")*(agg_ie=2)*(agg_bar=$E$15)*agg_P13)</f>
        <v>0</v>
      </c>
      <c r="Q44" s="20" t="n">
        <f aca="false">$F$15*($H$15*SUMPRODUCT((agg_mat="PF_out")*(agg_ie=1)*(agg_bar=$E$15)*agg_P14)+(1-$H$15)*SUMPRODUCT((agg_mat="L")*(agg_ie=1)*(agg_bar=0)*agg_P14))+$G$15*$H$15*SUMPRODUCT((agg_mat="PF_out")*(agg_ie=2)*(agg_bar=$E$15)*agg_P14)</f>
        <v>0</v>
      </c>
      <c r="R44" s="20" t="n">
        <f aca="false">$F$15*($H$15*SUMPRODUCT((agg_mat="PF_out")*(agg_ie=1)*(agg_bar=$E$15)*agg_P15)+(1-$H$15)*SUMPRODUCT((agg_mat="L")*(agg_ie=1)*(agg_bar=0)*agg_P15))+$G$15*$H$15*SUMPRODUCT((agg_mat="PF_out")*(agg_ie=2)*(agg_bar=$E$15)*agg_P15)</f>
        <v>0</v>
      </c>
      <c r="S44" s="20" t="n">
        <f aca="false">$F$15*($H$15*SUMPRODUCT((agg_mat="PF_out")*(agg_ie=1)*(agg_bar=$E$15)*agg_P16)+(1-$H$15)*SUMPRODUCT((agg_mat="L")*(agg_ie=1)*(agg_bar=0)*agg_P16))+$G$15*$H$15*SUMPRODUCT((agg_mat="PF_out")*(agg_ie=2)*(agg_bar=$E$15)*agg_P16)</f>
        <v>0</v>
      </c>
      <c r="T44" s="20" t="n">
        <f aca="false">$F$15*($H$15*SUMPRODUCT((agg_mat="PF_out")*(agg_ie=1)*(agg_bar=$E$15)*agg_P17)+(1-$H$15)*SUMPRODUCT((agg_mat="L")*(agg_ie=1)*(agg_bar=0)*agg_P17))+$G$15*$H$15*SUMPRODUCT((agg_mat="PF_out")*(agg_ie=2)*(agg_bar=$E$15)*agg_P17)</f>
        <v>0</v>
      </c>
      <c r="U44" s="20" t="n">
        <f aca="false">$F$15*($H$15*SUMPRODUCT((agg_mat="PF_out")*(agg_ie=1)*(agg_bar=$E$15)*agg_P18)+(1-$H$15)*SUMPRODUCT((agg_mat="L")*(agg_ie=1)*(agg_bar=0)*agg_P18))+$G$15*$H$15*SUMPRODUCT((agg_mat="PF_out")*(agg_ie=2)*(agg_bar=$E$15)*agg_P18)</f>
        <v>0</v>
      </c>
      <c r="V44" s="20" t="n">
        <f aca="false">$F$15*($H$15*SUMPRODUCT((agg_mat="PF_out")*(agg_ie=1)*(agg_bar=$E$15)*agg_P19)+(1-$H$15)*SUMPRODUCT((agg_mat="L")*(agg_ie=1)*(agg_bar=0)*agg_P19))+$G$15*$H$15*SUMPRODUCT((agg_mat="PF_out")*(agg_ie=2)*(agg_bar=$E$15)*agg_P19)</f>
        <v>0</v>
      </c>
      <c r="W44" s="20" t="n">
        <f aca="false">$F$15*($H$15*SUMPRODUCT((agg_mat="PF_out")*(agg_ie=1)*(agg_bar=$E$15)*agg_P20)+(1-$H$15)*SUMPRODUCT((agg_mat="L")*(agg_ie=1)*(agg_bar=0)*agg_P20))+$G$15*$H$15*SUMPRODUCT((agg_mat="PF_out")*(agg_ie=2)*(agg_bar=$E$15)*agg_P20)</f>
        <v>0</v>
      </c>
    </row>
    <row r="45" customFormat="false" ht="15" hidden="false" customHeight="false" outlineLevel="0" collapsed="false">
      <c r="A45" s="14" t="s">
        <v>316</v>
      </c>
      <c r="B45" s="14"/>
      <c r="C45" s="24" t="s">
        <v>315</v>
      </c>
      <c r="D45" s="20" t="n">
        <f aca="false">$F$16*($H$16*SUMPRODUCT((agg_mat="PF_in")*(agg_ie=1)*(agg_bar=$E$16)*agg_P1)+(1-$H$16)*SUMPRODUCT((agg_mat="L")*(agg_ie=1)*(agg_bar=0)*agg_P1))+$G$16*$H$16*SUMPRODUCT((agg_mat="PF_in")*(agg_ie=2)*(agg_bar=$E$16)*agg_P1)</f>
        <v>8.06364E-005</v>
      </c>
      <c r="E45" s="20" t="n">
        <f aca="false">$F$16*($H$16*SUMPRODUCT((agg_mat="PF_in")*(agg_ie=1)*(agg_bar=$E$16)*agg_P2)+(1-$H$16)*SUMPRODUCT((agg_mat="L")*(agg_ie=1)*(agg_bar=0)*agg_P2))+$G$16*$H$16*SUMPRODUCT((agg_mat="PF_in")*(agg_ie=2)*(agg_bar=$E$16)*agg_P2)</f>
        <v>1.91484E-005</v>
      </c>
      <c r="F45" s="20" t="n">
        <f aca="false">$F$16*($H$16*SUMPRODUCT((agg_mat="PF_in")*(agg_ie=1)*(agg_bar=$E$16)*agg_P3)+(1-$H$16)*SUMPRODUCT((agg_mat="L")*(agg_ie=1)*(agg_bar=0)*agg_P3))+$G$16*$H$16*SUMPRODUCT((agg_mat="PF_in")*(agg_ie=2)*(agg_bar=$E$16)*agg_P3)</f>
        <v>4.46148E-006</v>
      </c>
      <c r="G45" s="20" t="n">
        <f aca="false">$F$16*($H$16*SUMPRODUCT((agg_mat="PF_in")*(agg_ie=1)*(agg_bar=$E$16)*agg_P4)+(1-$H$16)*SUMPRODUCT((agg_mat="L")*(agg_ie=1)*(agg_bar=0)*agg_P4))+$G$16*$H$16*SUMPRODUCT((agg_mat="PF_in")*(agg_ie=2)*(agg_bar=$E$16)*agg_P4)</f>
        <v>0</v>
      </c>
      <c r="H45" s="20" t="n">
        <f aca="false">$F$16*($H$16*SUMPRODUCT((agg_mat="PF_in")*(agg_ie=1)*(agg_bar=$E$16)*agg_P5)+(1-$H$16)*SUMPRODUCT((agg_mat="L")*(agg_ie=1)*(agg_bar=0)*agg_P5))+$G$16*$H$16*SUMPRODUCT((agg_mat="PF_in")*(agg_ie=2)*(agg_bar=$E$16)*agg_P5)</f>
        <v>0</v>
      </c>
      <c r="I45" s="20" t="n">
        <f aca="false">$F$16*($H$16*SUMPRODUCT((agg_mat="PF_in")*(agg_ie=1)*(agg_bar=$E$16)*agg_P6)+(1-$H$16)*SUMPRODUCT((agg_mat="L")*(agg_ie=1)*(agg_bar=0)*agg_P6))+$G$16*$H$16*SUMPRODUCT((agg_mat="PF_in")*(agg_ie=2)*(agg_bar=$E$16)*agg_P6)</f>
        <v>0</v>
      </c>
      <c r="J45" s="20" t="n">
        <f aca="false">$F$16*($H$16*SUMPRODUCT((agg_mat="PF_in")*(agg_ie=1)*(agg_bar=$E$16)*agg_P7)+(1-$H$16)*SUMPRODUCT((agg_mat="L")*(agg_ie=1)*(agg_bar=0)*agg_P7))+$G$16*$H$16*SUMPRODUCT((agg_mat="PF_in")*(agg_ie=2)*(agg_bar=$E$16)*agg_P7)</f>
        <v>0</v>
      </c>
      <c r="K45" s="20" t="n">
        <f aca="false">$F$16*($H$16*SUMPRODUCT((agg_mat="PF_in")*(agg_ie=1)*(agg_bar=$E$16)*agg_P8)+(1-$H$16)*SUMPRODUCT((agg_mat="L")*(agg_ie=1)*(agg_bar=0)*agg_P8))+$G$16*$H$16*SUMPRODUCT((agg_mat="PF_in")*(agg_ie=2)*(agg_bar=$E$16)*agg_P8)</f>
        <v>0</v>
      </c>
      <c r="L45" s="20" t="n">
        <f aca="false">$F$16*($H$16*SUMPRODUCT((agg_mat="PF_in")*(agg_ie=1)*(agg_bar=$E$16)*agg_P9)+(1-$H$16)*SUMPRODUCT((agg_mat="L")*(agg_ie=1)*(agg_bar=0)*agg_P9))+$G$16*$H$16*SUMPRODUCT((agg_mat="PF_in")*(agg_ie=2)*(agg_bar=$E$16)*agg_P9)</f>
        <v>0</v>
      </c>
      <c r="M45" s="20" t="n">
        <f aca="false">$F$16*($H$16*SUMPRODUCT((agg_mat="PF_in")*(agg_ie=1)*(agg_bar=$E$16)*agg_P10)+(1-$H$16)*SUMPRODUCT((agg_mat="L")*(agg_ie=1)*(agg_bar=0)*agg_P10))+$G$16*$H$16*SUMPRODUCT((agg_mat="PF_in")*(agg_ie=2)*(agg_bar=$E$16)*agg_P10)</f>
        <v>0</v>
      </c>
      <c r="N45" s="20" t="n">
        <f aca="false">$F$16*($H$16*SUMPRODUCT((agg_mat="PF_in")*(agg_ie=1)*(agg_bar=$E$16)*agg_P11)+(1-$H$16)*SUMPRODUCT((agg_mat="L")*(agg_ie=1)*(agg_bar=0)*agg_P11))+$G$16*$H$16*SUMPRODUCT((agg_mat="PF_in")*(agg_ie=2)*(agg_bar=$E$16)*agg_P11)</f>
        <v>0</v>
      </c>
      <c r="O45" s="20" t="n">
        <f aca="false">$F$16*($H$16*SUMPRODUCT((agg_mat="PF_in")*(agg_ie=1)*(agg_bar=$E$16)*agg_P12)+(1-$H$16)*SUMPRODUCT((agg_mat="L")*(agg_ie=1)*(agg_bar=0)*agg_P12))+$G$16*$H$16*SUMPRODUCT((agg_mat="PF_in")*(agg_ie=2)*(agg_bar=$E$16)*agg_P12)</f>
        <v>0</v>
      </c>
      <c r="P45" s="20" t="n">
        <f aca="false">$F$16*($H$16*SUMPRODUCT((agg_mat="PF_in")*(agg_ie=1)*(agg_bar=$E$16)*agg_P13)+(1-$H$16)*SUMPRODUCT((agg_mat="L")*(agg_ie=1)*(agg_bar=0)*agg_P13))+$G$16*$H$16*SUMPRODUCT((agg_mat="PF_in")*(agg_ie=2)*(agg_bar=$E$16)*agg_P13)</f>
        <v>0</v>
      </c>
      <c r="Q45" s="20" t="n">
        <f aca="false">$F$16*($H$16*SUMPRODUCT((agg_mat="PF_in")*(agg_ie=1)*(agg_bar=$E$16)*agg_P14)+(1-$H$16)*SUMPRODUCT((agg_mat="L")*(agg_ie=1)*(agg_bar=0)*agg_P14))+$G$16*$H$16*SUMPRODUCT((agg_mat="PF_in")*(agg_ie=2)*(agg_bar=$E$16)*agg_P14)</f>
        <v>0</v>
      </c>
      <c r="R45" s="20" t="n">
        <f aca="false">$F$16*($H$16*SUMPRODUCT((agg_mat="PF_in")*(agg_ie=1)*(agg_bar=$E$16)*agg_P15)+(1-$H$16)*SUMPRODUCT((agg_mat="L")*(agg_ie=1)*(agg_bar=0)*agg_P15))+$G$16*$H$16*SUMPRODUCT((agg_mat="PF_in")*(agg_ie=2)*(agg_bar=$E$16)*agg_P15)</f>
        <v>0</v>
      </c>
      <c r="S45" s="20" t="n">
        <f aca="false">$F$16*($H$16*SUMPRODUCT((agg_mat="PF_in")*(agg_ie=1)*(agg_bar=$E$16)*agg_P16)+(1-$H$16)*SUMPRODUCT((agg_mat="L")*(agg_ie=1)*(agg_bar=0)*agg_P16))+$G$16*$H$16*SUMPRODUCT((agg_mat="PF_in")*(agg_ie=2)*(agg_bar=$E$16)*agg_P16)</f>
        <v>0</v>
      </c>
      <c r="T45" s="20" t="n">
        <f aca="false">$F$16*($H$16*SUMPRODUCT((agg_mat="PF_in")*(agg_ie=1)*(agg_bar=$E$16)*agg_P17)+(1-$H$16)*SUMPRODUCT((agg_mat="L")*(agg_ie=1)*(agg_bar=0)*agg_P17))+$G$16*$H$16*SUMPRODUCT((agg_mat="PF_in")*(agg_ie=2)*(agg_bar=$E$16)*agg_P17)</f>
        <v>0</v>
      </c>
      <c r="U45" s="20" t="n">
        <f aca="false">$F$16*($H$16*SUMPRODUCT((agg_mat="PF_in")*(agg_ie=1)*(agg_bar=$E$16)*agg_P18)+(1-$H$16)*SUMPRODUCT((agg_mat="L")*(agg_ie=1)*(agg_bar=0)*agg_P18))+$G$16*$H$16*SUMPRODUCT((agg_mat="PF_in")*(agg_ie=2)*(agg_bar=$E$16)*agg_P18)</f>
        <v>0</v>
      </c>
      <c r="V45" s="20" t="n">
        <f aca="false">$F$16*($H$16*SUMPRODUCT((agg_mat="PF_in")*(agg_ie=1)*(agg_bar=$E$16)*agg_P19)+(1-$H$16)*SUMPRODUCT((agg_mat="L")*(agg_ie=1)*(agg_bar=0)*agg_P19))+$G$16*$H$16*SUMPRODUCT((agg_mat="PF_in")*(agg_ie=2)*(agg_bar=$E$16)*agg_P19)</f>
        <v>0</v>
      </c>
      <c r="W45" s="20" t="n">
        <f aca="false">$F$16*($H$16*SUMPRODUCT((agg_mat="PF_in")*(agg_ie=1)*(agg_bar=$E$16)*agg_P20)+(1-$H$16)*SUMPRODUCT((agg_mat="L")*(agg_ie=1)*(agg_bar=0)*agg_P20))+$G$16*$H$16*SUMPRODUCT((agg_mat="PF_in")*(agg_ie=2)*(agg_bar=$E$16)*agg_P20)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8"/>
    <col collapsed="false" customWidth="true" hidden="false" outlineLevel="0" max="8" min="4" style="0" width="11"/>
    <col collapsed="false" customWidth="true" hidden="false" outlineLevel="0" max="11" min="9" style="0" width="12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9.4" hidden="false" customHeight="false" outlineLevel="0" collapsed="false">
      <c r="A1" s="1" t="s">
        <v>340</v>
      </c>
    </row>
    <row r="2" customFormat="false" ht="15" hidden="false" customHeight="false" outlineLevel="0" collapsed="false">
      <c r="A2" s="5" t="s">
        <v>341</v>
      </c>
    </row>
    <row r="4" customFormat="false" ht="26.85" hidden="false" customHeight="false" outlineLevel="0" collapsed="false">
      <c r="A4" s="6" t="s">
        <v>31</v>
      </c>
      <c r="B4" s="6" t="s">
        <v>289</v>
      </c>
      <c r="C4" s="6" t="s">
        <v>157</v>
      </c>
      <c r="D4" s="7" t="s">
        <v>342</v>
      </c>
      <c r="E4" s="7" t="s">
        <v>343</v>
      </c>
      <c r="F4" s="7" t="s">
        <v>344</v>
      </c>
      <c r="G4" s="7" t="s">
        <v>345</v>
      </c>
      <c r="H4" s="7" t="s">
        <v>346</v>
      </c>
      <c r="I4" s="7" t="s">
        <v>347</v>
      </c>
      <c r="J4" s="7" t="s">
        <v>348</v>
      </c>
      <c r="K4" s="7" t="s">
        <v>349</v>
      </c>
      <c r="L4" s="7" t="s">
        <v>350</v>
      </c>
      <c r="M4" s="7" t="s">
        <v>351</v>
      </c>
      <c r="N4" s="6" t="s">
        <v>352</v>
      </c>
      <c r="O4" s="6" t="s">
        <v>353</v>
      </c>
    </row>
    <row r="5" customFormat="false" ht="15" hidden="false" customHeight="false" outlineLevel="0" collapsed="false">
      <c r="A5" s="14" t="s">
        <v>306</v>
      </c>
      <c r="B5" s="14" t="s">
        <v>307</v>
      </c>
      <c r="C5" s="2" t="s">
        <v>308</v>
      </c>
      <c r="D5" s="19" t="n">
        <v>1.76513464951466E-005</v>
      </c>
      <c r="E5" s="19" t="n">
        <v>3.23491249871427E-006</v>
      </c>
      <c r="F5" s="19" t="n">
        <v>1.31265074706985E-005</v>
      </c>
      <c r="G5" s="19" t="n">
        <v>4.74026967536257E-005</v>
      </c>
      <c r="H5" s="19" t="n">
        <v>6.02176865847961E-005</v>
      </c>
      <c r="I5" s="19" t="n">
        <v>1.06246460461051E-006</v>
      </c>
      <c r="J5" s="19" t="n">
        <v>6.34198134440462E-007</v>
      </c>
      <c r="K5" s="19" t="n">
        <v>3.41262797525274E-006</v>
      </c>
      <c r="L5" s="40" t="n">
        <v>1</v>
      </c>
      <c r="M5" s="25" t="s">
        <v>354</v>
      </c>
      <c r="N5" s="41" t="n">
        <v>1</v>
      </c>
      <c r="O5" s="42" t="s">
        <v>355</v>
      </c>
    </row>
    <row r="6" customFormat="false" ht="15" hidden="false" customHeight="false" outlineLevel="0" collapsed="false">
      <c r="A6" s="14" t="s">
        <v>306</v>
      </c>
      <c r="B6" s="14" t="s">
        <v>307</v>
      </c>
      <c r="C6" s="24" t="s">
        <v>311</v>
      </c>
      <c r="D6" s="19" t="n">
        <v>0.0006795255190733</v>
      </c>
      <c r="E6" s="19" t="n">
        <v>9.37397219443017E-005</v>
      </c>
      <c r="F6" s="19" t="n">
        <v>0.000450052191575</v>
      </c>
      <c r="G6" s="19" t="n">
        <v>0.0020389021511313</v>
      </c>
      <c r="H6" s="19" t="n">
        <v>0.0026774170819587</v>
      </c>
      <c r="I6" s="19" t="n">
        <v>0.0001616955679071</v>
      </c>
      <c r="J6" s="19" t="n">
        <v>8.32209963752637E-005</v>
      </c>
      <c r="K6" s="19" t="n">
        <v>0.0005853804834297</v>
      </c>
      <c r="L6" s="40" t="n">
        <v>33.1366132220138</v>
      </c>
      <c r="M6" s="25" t="s">
        <v>356</v>
      </c>
      <c r="N6" s="41" t="n">
        <v>0.546</v>
      </c>
      <c r="O6" s="42" t="s">
        <v>357</v>
      </c>
    </row>
    <row r="7" customFormat="false" ht="15" hidden="false" customHeight="false" outlineLevel="0" collapsed="false">
      <c r="A7" s="14" t="s">
        <v>306</v>
      </c>
      <c r="B7" s="14" t="s">
        <v>307</v>
      </c>
      <c r="C7" s="24" t="s">
        <v>312</v>
      </c>
      <c r="D7" s="19" t="n">
        <v>0.0114974766106526</v>
      </c>
      <c r="E7" s="19" t="n">
        <v>0.0027781403908092</v>
      </c>
      <c r="F7" s="19" t="n">
        <v>0.0084114804422026</v>
      </c>
      <c r="G7" s="19" t="n">
        <v>0.0301377883457459</v>
      </c>
      <c r="H7" s="19" t="n">
        <v>0.05737304688623</v>
      </c>
      <c r="I7" s="19" t="n">
        <v>0.0008772746489777</v>
      </c>
      <c r="J7" s="19" t="n">
        <v>0.0006604348864757</v>
      </c>
      <c r="K7" s="19" t="n">
        <v>0.0022272273576761</v>
      </c>
      <c r="L7" s="40" t="n">
        <v>629.900066946095</v>
      </c>
      <c r="M7" s="25" t="s">
        <v>358</v>
      </c>
      <c r="N7" s="41" t="n">
        <v>0.001</v>
      </c>
      <c r="O7" s="42" t="s">
        <v>359</v>
      </c>
    </row>
    <row r="8" customFormat="false" ht="15" hidden="false" customHeight="false" outlineLevel="0" collapsed="false">
      <c r="A8" s="14" t="s">
        <v>306</v>
      </c>
      <c r="B8" s="14" t="s">
        <v>307</v>
      </c>
      <c r="C8" s="24" t="s">
        <v>313</v>
      </c>
      <c r="D8" s="19" t="n">
        <v>0.0008823218245569</v>
      </c>
      <c r="E8" s="19" t="n">
        <v>0.0001049667389113</v>
      </c>
      <c r="F8" s="19" t="n">
        <v>0.0005750230687405</v>
      </c>
      <c r="G8" s="19" t="n">
        <v>0.0027370919746261</v>
      </c>
      <c r="H8" s="19" t="n">
        <v>0.0033819473773504</v>
      </c>
      <c r="I8" s="19" t="n">
        <v>0.0002011212297624</v>
      </c>
      <c r="J8" s="19" t="n">
        <v>9.09719104568525E-005</v>
      </c>
      <c r="K8" s="19" t="n">
        <v>0.0007521490377729</v>
      </c>
      <c r="L8" s="40" t="n">
        <v>41.2561403508807</v>
      </c>
      <c r="M8" s="25" t="s">
        <v>360</v>
      </c>
      <c r="N8" s="41" t="n">
        <v>0.52</v>
      </c>
      <c r="O8" s="42" t="s">
        <v>357</v>
      </c>
    </row>
    <row r="9" customFormat="false" ht="15" hidden="false" customHeight="false" outlineLevel="0" collapsed="false">
      <c r="A9" s="14" t="s">
        <v>306</v>
      </c>
      <c r="B9" s="14" t="s">
        <v>307</v>
      </c>
      <c r="C9" s="24" t="s">
        <v>314</v>
      </c>
      <c r="D9" s="19" t="n">
        <v>0.0010462715902223</v>
      </c>
      <c r="E9" s="19" t="n">
        <v>0.0001198073365528</v>
      </c>
      <c r="F9" s="19" t="n">
        <v>0.0006652058297034</v>
      </c>
      <c r="G9" s="19" t="n">
        <v>0.0032869895224234</v>
      </c>
      <c r="H9" s="19" t="n">
        <v>0.0031353759129309</v>
      </c>
      <c r="I9" s="19" t="n">
        <v>0.0002479691944834</v>
      </c>
      <c r="J9" s="19" t="n">
        <v>0.0001344715307906</v>
      </c>
      <c r="K9" s="19" t="n">
        <v>0.0008918490442421</v>
      </c>
      <c r="L9" s="40" t="n">
        <v>49.3766128456745</v>
      </c>
      <c r="M9" s="25" t="s">
        <v>361</v>
      </c>
      <c r="N9" s="41" t="n">
        <v>0.4105</v>
      </c>
      <c r="O9" s="42" t="s">
        <v>357</v>
      </c>
    </row>
    <row r="10" customFormat="false" ht="15" hidden="false" customHeight="false" outlineLevel="0" collapsed="false">
      <c r="A10" s="14" t="s">
        <v>306</v>
      </c>
      <c r="B10" s="14" t="s">
        <v>307</v>
      </c>
      <c r="C10" s="24" t="s">
        <v>315</v>
      </c>
      <c r="D10" s="19" t="n">
        <v>0.0028427648764454</v>
      </c>
      <c r="E10" s="19" t="n">
        <v>0.0005108708286729</v>
      </c>
      <c r="F10" s="19" t="n">
        <v>0.0019462523271601</v>
      </c>
      <c r="G10" s="19" t="n">
        <v>0.0084293586308535</v>
      </c>
      <c r="H10" s="19" t="n">
        <v>0.0107954238804785</v>
      </c>
      <c r="I10" s="19" t="n">
        <v>0.0006417295335991</v>
      </c>
      <c r="J10" s="19" t="n">
        <v>0.0004595896333591</v>
      </c>
      <c r="K10" s="19" t="n">
        <v>0.0017580259216158</v>
      </c>
      <c r="L10" s="40" t="n">
        <v>146.912487627959</v>
      </c>
      <c r="M10" s="25" t="s">
        <v>362</v>
      </c>
      <c r="N10" s="41" t="n">
        <v>0.021</v>
      </c>
      <c r="O10" s="42" t="s">
        <v>359</v>
      </c>
    </row>
    <row r="11" customFormat="false" ht="15" hidden="false" customHeight="false" outlineLevel="0" collapsed="false">
      <c r="A11" s="14" t="s">
        <v>306</v>
      </c>
      <c r="B11" s="14" t="s">
        <v>316</v>
      </c>
      <c r="C11" s="2" t="s">
        <v>308</v>
      </c>
      <c r="D11" s="19" t="n">
        <v>1.76513464951466E-005</v>
      </c>
      <c r="E11" s="19" t="n">
        <v>3.23491249871427E-006</v>
      </c>
      <c r="F11" s="19" t="n">
        <v>1.31265074706985E-005</v>
      </c>
      <c r="G11" s="19" t="n">
        <v>4.74026967536257E-005</v>
      </c>
      <c r="H11" s="19" t="n">
        <v>6.02176865847961E-005</v>
      </c>
      <c r="I11" s="19" t="n">
        <v>1.06246460461051E-006</v>
      </c>
      <c r="J11" s="19" t="n">
        <v>6.34198134440462E-007</v>
      </c>
      <c r="K11" s="19" t="n">
        <v>3.41262797525274E-006</v>
      </c>
      <c r="L11" s="40" t="n">
        <v>1</v>
      </c>
      <c r="M11" s="25" t="s">
        <v>354</v>
      </c>
      <c r="N11" s="41" t="n">
        <v>1</v>
      </c>
      <c r="O11" s="42" t="s">
        <v>355</v>
      </c>
    </row>
    <row r="12" customFormat="false" ht="15" hidden="false" customHeight="false" outlineLevel="0" collapsed="false">
      <c r="A12" s="14" t="s">
        <v>306</v>
      </c>
      <c r="B12" s="14" t="s">
        <v>316</v>
      </c>
      <c r="C12" s="24" t="s">
        <v>311</v>
      </c>
      <c r="D12" s="19" t="n">
        <v>7.28257473571029E-005</v>
      </c>
      <c r="E12" s="19" t="n">
        <v>1.45653048393166E-005</v>
      </c>
      <c r="F12" s="19" t="n">
        <v>5.37427213144564E-005</v>
      </c>
      <c r="G12" s="19" t="n">
        <v>0.0002022181853959</v>
      </c>
      <c r="H12" s="19" t="n">
        <v>0.0003006235305336</v>
      </c>
      <c r="I12" s="19" t="n">
        <v>8.06574909387739E-006</v>
      </c>
      <c r="J12" s="19" t="n">
        <v>3.70894527671658E-006</v>
      </c>
      <c r="K12" s="19" t="n">
        <v>2.98799422256443E-005</v>
      </c>
      <c r="L12" s="40" t="n">
        <v>3.61061767248962</v>
      </c>
      <c r="M12" s="25" t="s">
        <v>363</v>
      </c>
      <c r="N12" s="41" t="n">
        <v>0.998</v>
      </c>
      <c r="O12" s="42" t="s">
        <v>355</v>
      </c>
    </row>
    <row r="13" customFormat="false" ht="15" hidden="false" customHeight="false" outlineLevel="0" collapsed="false">
      <c r="A13" s="14" t="s">
        <v>306</v>
      </c>
      <c r="B13" s="14" t="s">
        <v>316</v>
      </c>
      <c r="C13" s="24" t="s">
        <v>312</v>
      </c>
      <c r="D13" s="19" t="n">
        <v>0.0114974766106526</v>
      </c>
      <c r="E13" s="19" t="n">
        <v>0.0027781403908092</v>
      </c>
      <c r="F13" s="19" t="n">
        <v>0.0084114804422026</v>
      </c>
      <c r="G13" s="19" t="n">
        <v>0.0301377883457459</v>
      </c>
      <c r="H13" s="19" t="n">
        <v>0.05737304688623</v>
      </c>
      <c r="I13" s="19" t="n">
        <v>0.0008772746489777</v>
      </c>
      <c r="J13" s="19" t="n">
        <v>0.0006604348864757</v>
      </c>
      <c r="K13" s="19" t="n">
        <v>0.0022272273576761</v>
      </c>
      <c r="L13" s="40" t="n">
        <v>629.900066946095</v>
      </c>
      <c r="M13" s="25" t="s">
        <v>358</v>
      </c>
      <c r="N13" s="41" t="n">
        <v>0.001</v>
      </c>
      <c r="O13" s="42" t="s">
        <v>359</v>
      </c>
    </row>
    <row r="14" customFormat="false" ht="15" hidden="false" customHeight="false" outlineLevel="0" collapsed="false">
      <c r="A14" s="14" t="s">
        <v>306</v>
      </c>
      <c r="B14" s="14" t="s">
        <v>316</v>
      </c>
      <c r="C14" s="24" t="s">
        <v>313</v>
      </c>
      <c r="D14" s="19" t="n">
        <v>9.23053060510852E-005</v>
      </c>
      <c r="E14" s="19" t="n">
        <v>1.59469147244009E-005</v>
      </c>
      <c r="F14" s="19" t="n">
        <v>6.49812893755909E-005</v>
      </c>
      <c r="G14" s="19" t="n">
        <v>0.0002581543069098</v>
      </c>
      <c r="H14" s="19" t="n">
        <v>0.0003772392545931</v>
      </c>
      <c r="I14" s="19" t="n">
        <v>9.82002849314185E-006</v>
      </c>
      <c r="J14" s="19" t="n">
        <v>4.0767452998185E-006</v>
      </c>
      <c r="K14" s="19" t="n">
        <v>3.85227545742661E-005</v>
      </c>
      <c r="L14" s="40" t="n">
        <v>4.4166873782799</v>
      </c>
      <c r="M14" s="25" t="s">
        <v>364</v>
      </c>
      <c r="N14" s="41" t="n">
        <v>0.9935</v>
      </c>
      <c r="O14" s="42" t="s">
        <v>355</v>
      </c>
    </row>
    <row r="15" customFormat="false" ht="15" hidden="false" customHeight="false" outlineLevel="0" collapsed="false">
      <c r="A15" s="14" t="s">
        <v>306</v>
      </c>
      <c r="B15" s="14" t="s">
        <v>316</v>
      </c>
      <c r="C15" s="24" t="s">
        <v>314</v>
      </c>
      <c r="D15" s="19" t="n">
        <v>9.72521944134209E-005</v>
      </c>
      <c r="E15" s="19" t="n">
        <v>1.74801360311838E-005</v>
      </c>
      <c r="F15" s="19" t="n">
        <v>6.75014377479655E-005</v>
      </c>
      <c r="G15" s="19" t="n">
        <v>0.0002813041935582</v>
      </c>
      <c r="H15" s="19" t="n">
        <v>0.0003510840009934</v>
      </c>
      <c r="I15" s="19" t="n">
        <v>1.17766909168099E-005</v>
      </c>
      <c r="J15" s="19" t="n">
        <v>5.48167774870027E-006</v>
      </c>
      <c r="K15" s="19" t="n">
        <v>4.35001877710504E-005</v>
      </c>
      <c r="L15" s="40" t="n">
        <v>4.71910298114624</v>
      </c>
      <c r="M15" s="25" t="s">
        <v>365</v>
      </c>
      <c r="N15" s="41" t="n">
        <v>0.992</v>
      </c>
      <c r="O15" s="42" t="s">
        <v>355</v>
      </c>
    </row>
    <row r="16" customFormat="false" ht="15" hidden="false" customHeight="false" outlineLevel="0" collapsed="false">
      <c r="A16" s="14" t="s">
        <v>306</v>
      </c>
      <c r="B16" s="14" t="s">
        <v>316</v>
      </c>
      <c r="C16" s="24" t="s">
        <v>315</v>
      </c>
      <c r="D16" s="19" t="n">
        <v>0.0001526100768957</v>
      </c>
      <c r="E16" s="19" t="n">
        <v>3.07741412149332E-005</v>
      </c>
      <c r="F16" s="19" t="n">
        <v>0.0001112840134455</v>
      </c>
      <c r="G16" s="19" t="n">
        <v>0.0004226623443162</v>
      </c>
      <c r="H16" s="19" t="n">
        <v>0.000694331457702</v>
      </c>
      <c r="I16" s="19" t="n">
        <v>2.85471762932772E-005</v>
      </c>
      <c r="J16" s="19" t="n">
        <v>1.77134843932156E-005</v>
      </c>
      <c r="K16" s="19" t="n">
        <v>9.13241395013372E-005</v>
      </c>
      <c r="L16" s="40" t="n">
        <v>7.82562178337069</v>
      </c>
      <c r="M16" s="25" t="s">
        <v>366</v>
      </c>
      <c r="N16" s="41" t="n">
        <v>0.9565</v>
      </c>
      <c r="O16" s="42" t="s">
        <v>355</v>
      </c>
    </row>
    <row r="17" customFormat="false" ht="15" hidden="false" customHeight="false" outlineLevel="0" collapsed="false">
      <c r="A17" s="14" t="s">
        <v>317</v>
      </c>
      <c r="B17" s="14" t="s">
        <v>307</v>
      </c>
      <c r="C17" s="2" t="s">
        <v>308</v>
      </c>
      <c r="D17" s="19" t="n">
        <v>0.0001602413396639</v>
      </c>
      <c r="E17" s="19" t="n">
        <v>3.65801803353373E-005</v>
      </c>
      <c r="F17" s="19" t="n">
        <v>0.000126978649845</v>
      </c>
      <c r="G17" s="19" t="n">
        <v>0.0003893537470307</v>
      </c>
      <c r="H17" s="19" t="n">
        <v>0.0005465421600497</v>
      </c>
      <c r="I17" s="19" t="n">
        <v>9.59809630316838E-006</v>
      </c>
      <c r="J17" s="19" t="n">
        <v>6.2587393917517E-006</v>
      </c>
      <c r="K17" s="19" t="n">
        <v>2.91426619013732E-005</v>
      </c>
      <c r="L17" s="40" t="n">
        <v>1</v>
      </c>
      <c r="M17" s="25" t="s">
        <v>354</v>
      </c>
      <c r="N17" s="41" t="n">
        <v>0.9995</v>
      </c>
      <c r="O17" s="42" t="s">
        <v>355</v>
      </c>
    </row>
    <row r="18" customFormat="false" ht="15" hidden="false" customHeight="false" outlineLevel="0" collapsed="false">
      <c r="A18" s="14" t="s">
        <v>317</v>
      </c>
      <c r="B18" s="14" t="s">
        <v>307</v>
      </c>
      <c r="C18" s="24" t="s">
        <v>311</v>
      </c>
      <c r="D18" s="19" t="n">
        <v>0.0018108451040991</v>
      </c>
      <c r="E18" s="19" t="n">
        <v>0.0003572171409641</v>
      </c>
      <c r="F18" s="19" t="n">
        <v>0.001436667947561</v>
      </c>
      <c r="G18" s="19" t="n">
        <v>0.0045846584480402</v>
      </c>
      <c r="H18" s="19" t="n">
        <v>0.0069425512084032</v>
      </c>
      <c r="I18" s="19" t="n">
        <v>0.0004465050475258</v>
      </c>
      <c r="J18" s="19" t="n">
        <v>0.0003152645988352</v>
      </c>
      <c r="K18" s="19" t="n">
        <v>0.0013640799790616</v>
      </c>
      <c r="L18" s="40" t="n">
        <v>10.8210626818231</v>
      </c>
      <c r="M18" s="25" t="s">
        <v>367</v>
      </c>
      <c r="N18" s="41" t="n">
        <v>0.278</v>
      </c>
      <c r="O18" s="42" t="s">
        <v>357</v>
      </c>
    </row>
    <row r="19" customFormat="false" ht="15" hidden="false" customHeight="false" outlineLevel="0" collapsed="false">
      <c r="A19" s="14" t="s">
        <v>317</v>
      </c>
      <c r="B19" s="14" t="s">
        <v>307</v>
      </c>
      <c r="C19" s="24" t="s">
        <v>312</v>
      </c>
      <c r="D19" s="19" t="n">
        <v>0.0197129638951314</v>
      </c>
      <c r="E19" s="19" t="n">
        <v>0.0071852832624005</v>
      </c>
      <c r="F19" s="19" t="n">
        <v>0.0174809173837649</v>
      </c>
      <c r="G19" s="19" t="n">
        <v>0.0401685650391993</v>
      </c>
      <c r="H19" s="19" t="n">
        <v>0.0983928125380639</v>
      </c>
      <c r="I19" s="19" t="n">
        <v>0.0018938179003372</v>
      </c>
      <c r="J19" s="19" t="n">
        <v>0.001728082071362</v>
      </c>
      <c r="K19" s="19" t="n">
        <v>0.0035888039934096</v>
      </c>
      <c r="L19" s="40" t="n">
        <v>129.881718711538</v>
      </c>
      <c r="M19" s="25" t="s">
        <v>368</v>
      </c>
      <c r="N19" s="41" t="n">
        <v>0</v>
      </c>
      <c r="O19" s="42" t="s">
        <v>359</v>
      </c>
    </row>
    <row r="20" customFormat="false" ht="15" hidden="false" customHeight="false" outlineLevel="0" collapsed="false">
      <c r="A20" s="14" t="s">
        <v>317</v>
      </c>
      <c r="B20" s="14" t="s">
        <v>307</v>
      </c>
      <c r="C20" s="24" t="s">
        <v>313</v>
      </c>
      <c r="D20" s="19" t="n">
        <v>0.002319257447532</v>
      </c>
      <c r="E20" s="19" t="n">
        <v>0.000396072547702</v>
      </c>
      <c r="F20" s="19" t="n">
        <v>0.0018361185353325</v>
      </c>
      <c r="G20" s="19" t="n">
        <v>0.0060462486316133</v>
      </c>
      <c r="H20" s="19" t="n">
        <v>0.0086923318883548</v>
      </c>
      <c r="I20" s="19" t="n">
        <v>0.0005604037062271</v>
      </c>
      <c r="J20" s="19" t="n">
        <v>0.0003590650448379</v>
      </c>
      <c r="K20" s="19" t="n">
        <v>0.0018420300415189</v>
      </c>
      <c r="L20" s="40" t="n">
        <v>13.6762274674193</v>
      </c>
      <c r="M20" s="25" t="s">
        <v>369</v>
      </c>
      <c r="N20" s="41" t="n">
        <v>0.29</v>
      </c>
      <c r="O20" s="42" t="s">
        <v>357</v>
      </c>
    </row>
    <row r="21" customFormat="false" ht="15" hidden="false" customHeight="false" outlineLevel="0" collapsed="false">
      <c r="A21" s="14" t="s">
        <v>317</v>
      </c>
      <c r="B21" s="14" t="s">
        <v>307</v>
      </c>
      <c r="C21" s="24" t="s">
        <v>314</v>
      </c>
      <c r="D21" s="19" t="n">
        <v>0.0023757162747178</v>
      </c>
      <c r="E21" s="19" t="n">
        <v>0.0003944868770774</v>
      </c>
      <c r="F21" s="19" t="n">
        <v>0.0018390939887658</v>
      </c>
      <c r="G21" s="19" t="n">
        <v>0.0062331496285857</v>
      </c>
      <c r="H21" s="19" t="n">
        <v>0.0073138991391609</v>
      </c>
      <c r="I21" s="19" t="n">
        <v>0.0005612117700955</v>
      </c>
      <c r="J21" s="19" t="n">
        <v>0.0003740648467848</v>
      </c>
      <c r="K21" s="19" t="n">
        <v>0.0017470394012459</v>
      </c>
      <c r="L21" s="40" t="n">
        <v>14.0835600767861</v>
      </c>
      <c r="M21" s="25" t="s">
        <v>370</v>
      </c>
      <c r="N21" s="41" t="n">
        <v>0.202</v>
      </c>
      <c r="O21" s="42" t="s">
        <v>357</v>
      </c>
    </row>
    <row r="22" customFormat="false" ht="15" hidden="false" customHeight="false" outlineLevel="0" collapsed="false">
      <c r="A22" s="14" t="s">
        <v>317</v>
      </c>
      <c r="B22" s="14" t="s">
        <v>307</v>
      </c>
      <c r="C22" s="24" t="s">
        <v>315</v>
      </c>
      <c r="D22" s="19" t="n">
        <v>0.0062603096433222</v>
      </c>
      <c r="E22" s="19" t="n">
        <v>0.0016646914503724</v>
      </c>
      <c r="F22" s="19" t="n">
        <v>0.0051628294530193</v>
      </c>
      <c r="G22" s="19" t="n">
        <v>0.0151955833219809</v>
      </c>
      <c r="H22" s="19" t="n">
        <v>0.0242109803488205</v>
      </c>
      <c r="I22" s="19" t="n">
        <v>0.0014656814844775</v>
      </c>
      <c r="J22" s="19" t="n">
        <v>0.0012941887495807</v>
      </c>
      <c r="K22" s="19" t="n">
        <v>0.0030559924559259</v>
      </c>
      <c r="L22" s="40" t="n">
        <v>39.7913340300117</v>
      </c>
      <c r="M22" s="25" t="s">
        <v>371</v>
      </c>
      <c r="N22" s="41" t="n">
        <v>0</v>
      </c>
      <c r="O22" s="42" t="s">
        <v>359</v>
      </c>
    </row>
    <row r="23" customFormat="false" ht="15" hidden="false" customHeight="false" outlineLevel="0" collapsed="false">
      <c r="A23" s="14" t="s">
        <v>317</v>
      </c>
      <c r="B23" s="14" t="s">
        <v>316</v>
      </c>
      <c r="C23" s="2" t="s">
        <v>308</v>
      </c>
      <c r="D23" s="19" t="n">
        <v>0.0001602413396639</v>
      </c>
      <c r="E23" s="19" t="n">
        <v>3.65801803353373E-005</v>
      </c>
      <c r="F23" s="19" t="n">
        <v>0.000126978649845</v>
      </c>
      <c r="G23" s="19" t="n">
        <v>0.0003893537470307</v>
      </c>
      <c r="H23" s="19" t="n">
        <v>0.0005465421600497</v>
      </c>
      <c r="I23" s="19" t="n">
        <v>9.59809630316838E-006</v>
      </c>
      <c r="J23" s="19" t="n">
        <v>6.2587393917517E-006</v>
      </c>
      <c r="K23" s="19" t="n">
        <v>2.91426619013732E-005</v>
      </c>
      <c r="L23" s="40" t="n">
        <v>1</v>
      </c>
      <c r="M23" s="25" t="s">
        <v>354</v>
      </c>
      <c r="N23" s="41" t="n">
        <v>0.9995</v>
      </c>
      <c r="O23" s="42" t="s">
        <v>355</v>
      </c>
    </row>
    <row r="24" customFormat="false" ht="15" hidden="false" customHeight="false" outlineLevel="0" collapsed="false">
      <c r="A24" s="14" t="s">
        <v>317</v>
      </c>
      <c r="B24" s="14" t="s">
        <v>316</v>
      </c>
      <c r="C24" s="24" t="s">
        <v>311</v>
      </c>
      <c r="D24" s="19" t="n">
        <v>0.0002915155752509</v>
      </c>
      <c r="E24" s="19" t="n">
        <v>8.02865373452968E-005</v>
      </c>
      <c r="F24" s="19" t="n">
        <v>0.000249880651545</v>
      </c>
      <c r="G24" s="19" t="n">
        <v>0.0006565595238778</v>
      </c>
      <c r="H24" s="19" t="n">
        <v>0.0011157220582681</v>
      </c>
      <c r="I24" s="19" t="n">
        <v>2.85727680034092E-005</v>
      </c>
      <c r="J24" s="19" t="n">
        <v>1.88138728905032E-005</v>
      </c>
      <c r="K24" s="19" t="n">
        <v>8.67862906466252E-005</v>
      </c>
      <c r="L24" s="40" t="n">
        <v>1.77246035716372</v>
      </c>
      <c r="M24" s="25" t="s">
        <v>372</v>
      </c>
      <c r="N24" s="41" t="n">
        <v>0.9625</v>
      </c>
      <c r="O24" s="42" t="s">
        <v>355</v>
      </c>
    </row>
    <row r="25" customFormat="false" ht="15" hidden="false" customHeight="false" outlineLevel="0" collapsed="false">
      <c r="A25" s="14" t="s">
        <v>317</v>
      </c>
      <c r="B25" s="14" t="s">
        <v>316</v>
      </c>
      <c r="C25" s="24" t="s">
        <v>312</v>
      </c>
      <c r="D25" s="19" t="n">
        <v>0.0197129638951314</v>
      </c>
      <c r="E25" s="19" t="n">
        <v>0.0071852832624005</v>
      </c>
      <c r="F25" s="19" t="n">
        <v>0.0174809173837649</v>
      </c>
      <c r="G25" s="19" t="n">
        <v>0.0401685650391993</v>
      </c>
      <c r="H25" s="19" t="n">
        <v>0.0983928125380639</v>
      </c>
      <c r="I25" s="19" t="n">
        <v>0.0018938179003372</v>
      </c>
      <c r="J25" s="19" t="n">
        <v>0.001728082071362</v>
      </c>
      <c r="K25" s="19" t="n">
        <v>0.0035888039934096</v>
      </c>
      <c r="L25" s="40" t="n">
        <v>129.881718711538</v>
      </c>
      <c r="M25" s="25" t="s">
        <v>368</v>
      </c>
      <c r="N25" s="41" t="n">
        <v>0</v>
      </c>
      <c r="O25" s="42" t="s">
        <v>359</v>
      </c>
    </row>
    <row r="26" customFormat="false" ht="15" hidden="false" customHeight="false" outlineLevel="0" collapsed="false">
      <c r="A26" s="14" t="s">
        <v>317</v>
      </c>
      <c r="B26" s="14" t="s">
        <v>316</v>
      </c>
      <c r="C26" s="24" t="s">
        <v>313</v>
      </c>
      <c r="D26" s="19" t="n">
        <v>0.0003396167495195</v>
      </c>
      <c r="E26" s="19" t="n">
        <v>8.68311707882755E-005</v>
      </c>
      <c r="F26" s="19" t="n">
        <v>0.0002845243013208</v>
      </c>
      <c r="G26" s="19" t="n">
        <v>0.0007937842581694</v>
      </c>
      <c r="H26" s="19" t="n">
        <v>0.0013031720253469</v>
      </c>
      <c r="I26" s="19" t="n">
        <v>3.35994408794444E-005</v>
      </c>
      <c r="J26" s="19" t="n">
        <v>2.04249614504709E-005</v>
      </c>
      <c r="K26" s="19" t="n">
        <v>0.0001091072358916</v>
      </c>
      <c r="L26" s="40" t="n">
        <v>2.04513615823666</v>
      </c>
      <c r="M26" s="25" t="s">
        <v>373</v>
      </c>
      <c r="N26" s="41" t="n">
        <v>0.9385</v>
      </c>
      <c r="O26" s="42" t="s">
        <v>355</v>
      </c>
    </row>
    <row r="27" customFormat="false" ht="15" hidden="false" customHeight="false" outlineLevel="0" collapsed="false">
      <c r="A27" s="14" t="s">
        <v>317</v>
      </c>
      <c r="B27" s="14" t="s">
        <v>316</v>
      </c>
      <c r="C27" s="24" t="s">
        <v>314</v>
      </c>
      <c r="D27" s="19" t="n">
        <v>0.0003333225121048</v>
      </c>
      <c r="E27" s="19" t="n">
        <v>8.98148332144434E-005</v>
      </c>
      <c r="F27" s="19" t="n">
        <v>0.0002804609294629</v>
      </c>
      <c r="G27" s="19" t="n">
        <v>0.0007843957580494</v>
      </c>
      <c r="H27" s="19" t="n">
        <v>0.0011878080893013</v>
      </c>
      <c r="I27" s="19" t="n">
        <v>3.35498815137665E-005</v>
      </c>
      <c r="J27" s="19" t="n">
        <v>2.13832588109616E-005</v>
      </c>
      <c r="K27" s="19" t="n">
        <v>0.0001061870944538</v>
      </c>
      <c r="L27" s="40" t="n">
        <v>2.00086950333507</v>
      </c>
      <c r="M27" s="25" t="s">
        <v>373</v>
      </c>
      <c r="N27" s="41" t="n">
        <v>0.9425</v>
      </c>
      <c r="O27" s="42" t="s">
        <v>355</v>
      </c>
    </row>
    <row r="28" customFormat="false" ht="15" hidden="false" customHeight="false" outlineLevel="0" collapsed="false">
      <c r="A28" s="14" t="s">
        <v>317</v>
      </c>
      <c r="B28" s="14" t="s">
        <v>316</v>
      </c>
      <c r="C28" s="24" t="s">
        <v>315</v>
      </c>
      <c r="D28" s="19" t="n">
        <v>0.0004542322374592</v>
      </c>
      <c r="E28" s="19" t="n">
        <v>0.0001346279898347</v>
      </c>
      <c r="F28" s="19" t="n">
        <v>0.0003860390648173</v>
      </c>
      <c r="G28" s="19" t="n">
        <v>0.0010113987024837</v>
      </c>
      <c r="H28" s="19" t="n">
        <v>0.0019408051713883</v>
      </c>
      <c r="I28" s="19" t="n">
        <v>7.19798887666564E-005</v>
      </c>
      <c r="J28" s="19" t="n">
        <v>5.35654464770687E-005</v>
      </c>
      <c r="K28" s="19" t="n">
        <v>0.0001962720516046</v>
      </c>
      <c r="L28" s="40" t="n">
        <v>2.81770578049888</v>
      </c>
      <c r="M28" s="25" t="s">
        <v>374</v>
      </c>
      <c r="N28" s="41" t="n">
        <v>0.779</v>
      </c>
      <c r="O28" s="42" t="s">
        <v>357</v>
      </c>
    </row>
    <row r="29" customFormat="false" ht="15" hidden="false" customHeight="false" outlineLevel="0" collapsed="false">
      <c r="A29" s="5" t="s">
        <v>375</v>
      </c>
    </row>
    <row r="31" customFormat="false" ht="15" hidden="false" customHeight="false" outlineLevel="0" collapsed="false">
      <c r="A31" s="28" t="s">
        <v>376</v>
      </c>
    </row>
    <row r="32" customFormat="false" ht="26.85" hidden="false" customHeight="false" outlineLevel="0" collapsed="false">
      <c r="A32" s="6" t="s">
        <v>289</v>
      </c>
      <c r="B32" s="6" t="s">
        <v>377</v>
      </c>
      <c r="C32" s="6" t="s">
        <v>22</v>
      </c>
      <c r="D32" s="7" t="s">
        <v>378</v>
      </c>
      <c r="E32" s="7" t="s">
        <v>379</v>
      </c>
      <c r="F32" s="7" t="s">
        <v>380</v>
      </c>
      <c r="G32" s="7" t="s">
        <v>381</v>
      </c>
      <c r="H32" s="7" t="s">
        <v>382</v>
      </c>
    </row>
    <row r="33" customFormat="false" ht="26.85" hidden="false" customHeight="false" outlineLevel="0" collapsed="false">
      <c r="A33" s="14" t="s">
        <v>307</v>
      </c>
      <c r="B33" s="9" t="s">
        <v>62</v>
      </c>
      <c r="C33" s="4" t="s">
        <v>63</v>
      </c>
      <c r="D33" s="43" t="n">
        <v>0.556254985063746</v>
      </c>
      <c r="E33" s="43" t="n">
        <v>0.916595977148994</v>
      </c>
      <c r="F33" s="43" t="n">
        <v>0.515600236400059</v>
      </c>
      <c r="G33" s="43" t="n">
        <v>0.571365492341373</v>
      </c>
      <c r="H33" s="43" t="n">
        <v>0.705626291406573</v>
      </c>
    </row>
    <row r="34" customFormat="false" ht="38.05" hidden="false" customHeight="false" outlineLevel="0" collapsed="false">
      <c r="A34" s="14" t="s">
        <v>307</v>
      </c>
      <c r="B34" s="9" t="s">
        <v>110</v>
      </c>
      <c r="C34" s="4" t="s">
        <v>111</v>
      </c>
      <c r="D34" s="43" t="n">
        <v>-0.670644608661152</v>
      </c>
      <c r="E34" s="44" t="n">
        <v>0.0429373367343341</v>
      </c>
      <c r="F34" s="43" t="n">
        <v>-0.700938373234593</v>
      </c>
      <c r="G34" s="43" t="n">
        <v>-0.629358367339592</v>
      </c>
      <c r="H34" s="43" t="n">
        <v>-0.493677939419485</v>
      </c>
    </row>
    <row r="35" customFormat="false" ht="26.85" hidden="false" customHeight="false" outlineLevel="0" collapsed="false">
      <c r="A35" s="14" t="s">
        <v>307</v>
      </c>
      <c r="B35" s="9" t="s">
        <v>81</v>
      </c>
      <c r="C35" s="4" t="s">
        <v>82</v>
      </c>
      <c r="D35" s="44" t="n">
        <v>0.242403048600762</v>
      </c>
      <c r="E35" s="43" t="n">
        <v>0.354091293022823</v>
      </c>
      <c r="F35" s="44" t="n">
        <v>0.2246303991576</v>
      </c>
      <c r="G35" s="44" t="n">
        <v>0.245588564897141</v>
      </c>
      <c r="H35" s="44" t="n">
        <v>0.292536728634182</v>
      </c>
    </row>
    <row r="36" customFormat="false" ht="39.55" hidden="false" customHeight="false" outlineLevel="0" collapsed="false">
      <c r="A36" s="14" t="s">
        <v>307</v>
      </c>
      <c r="B36" s="9" t="s">
        <v>102</v>
      </c>
      <c r="C36" s="4" t="s">
        <v>103</v>
      </c>
      <c r="D36" s="44" t="n">
        <v>0.153515315378829</v>
      </c>
      <c r="E36" s="44" t="n">
        <v>-0.0124087966021991</v>
      </c>
      <c r="F36" s="44" t="n">
        <v>0.160538812134703</v>
      </c>
      <c r="G36" s="44" t="n">
        <v>0.277911094977774</v>
      </c>
      <c r="H36" s="44" t="n">
        <v>0.171017892754473</v>
      </c>
    </row>
    <row r="37" customFormat="false" ht="26.85" hidden="false" customHeight="false" outlineLevel="0" collapsed="false">
      <c r="A37" s="14" t="s">
        <v>307</v>
      </c>
      <c r="B37" s="9" t="s">
        <v>196</v>
      </c>
      <c r="C37" s="4" t="s">
        <v>383</v>
      </c>
      <c r="D37" s="44" t="n">
        <v>0.122579469644867</v>
      </c>
      <c r="E37" s="44" t="n">
        <v>-0.0259312939828234</v>
      </c>
      <c r="F37" s="44" t="n">
        <v>0.144586255646564</v>
      </c>
      <c r="G37" s="44" t="n">
        <v>0.125040370260093</v>
      </c>
      <c r="H37" s="44" t="n">
        <v>0.178792712698178</v>
      </c>
    </row>
    <row r="38" customFormat="false" ht="15" hidden="false" customHeight="false" outlineLevel="0" collapsed="false">
      <c r="A38" s="14" t="s">
        <v>307</v>
      </c>
      <c r="B38" s="9" t="s">
        <v>56</v>
      </c>
      <c r="C38" s="4" t="s">
        <v>57</v>
      </c>
      <c r="D38" s="44" t="n">
        <v>0.125171818292955</v>
      </c>
      <c r="E38" s="44" t="n">
        <v>0.0742147775536943</v>
      </c>
      <c r="F38" s="44" t="n">
        <v>0.124751375687844</v>
      </c>
      <c r="G38" s="44" t="n">
        <v>0.0972255498063874</v>
      </c>
      <c r="H38" s="44" t="n">
        <v>0.106053631013408</v>
      </c>
    </row>
    <row r="39" customFormat="false" ht="26.85" hidden="false" customHeight="false" outlineLevel="0" collapsed="false">
      <c r="A39" s="14" t="s">
        <v>307</v>
      </c>
      <c r="B39" s="9" t="s">
        <v>74</v>
      </c>
      <c r="C39" s="4" t="s">
        <v>75</v>
      </c>
      <c r="D39" s="44" t="n">
        <v>0.116436897609224</v>
      </c>
      <c r="E39" s="44" t="n">
        <v>0.062322692080673</v>
      </c>
      <c r="F39" s="44" t="n">
        <v>0.115170339292585</v>
      </c>
      <c r="G39" s="44" t="n">
        <v>0.0861286475321618</v>
      </c>
      <c r="H39" s="44" t="n">
        <v>0.0957576239394059</v>
      </c>
    </row>
    <row r="40" customFormat="false" ht="26.85" hidden="false" customHeight="false" outlineLevel="0" collapsed="false">
      <c r="A40" s="14" t="s">
        <v>307</v>
      </c>
      <c r="B40" s="9" t="s">
        <v>68</v>
      </c>
      <c r="C40" s="4" t="s">
        <v>69</v>
      </c>
      <c r="D40" s="44" t="n">
        <v>-0.0886118981529745</v>
      </c>
      <c r="E40" s="44" t="n">
        <v>-0.0505238781309695</v>
      </c>
      <c r="F40" s="44" t="n">
        <v>-0.0822518650629662</v>
      </c>
      <c r="G40" s="44" t="n">
        <v>-0.0642204175551043</v>
      </c>
      <c r="H40" s="44" t="n">
        <v>-0.0729938627484656</v>
      </c>
    </row>
    <row r="41" customFormat="false" ht="26.85" hidden="false" customHeight="false" outlineLevel="0" collapsed="false">
      <c r="A41" s="14" t="s">
        <v>307</v>
      </c>
      <c r="B41" s="9" t="s">
        <v>84</v>
      </c>
      <c r="C41" s="4" t="s">
        <v>85</v>
      </c>
      <c r="D41" s="44" t="n">
        <v>0.0775988983997246</v>
      </c>
      <c r="E41" s="44" t="n">
        <v>0.08338552034638</v>
      </c>
      <c r="F41" s="44" t="n">
        <v>0.0713404048351012</v>
      </c>
      <c r="G41" s="44" t="n">
        <v>0.0670862702715675</v>
      </c>
      <c r="H41" s="44" t="n">
        <v>0.0878186049546512</v>
      </c>
    </row>
    <row r="42" customFormat="false" ht="26.85" hidden="false" customHeight="false" outlineLevel="0" collapsed="false">
      <c r="A42" s="14" t="s">
        <v>307</v>
      </c>
      <c r="B42" s="9" t="s">
        <v>78</v>
      </c>
      <c r="C42" s="4" t="s">
        <v>79</v>
      </c>
      <c r="D42" s="44" t="n">
        <v>0.0835076863769215</v>
      </c>
      <c r="E42" s="44" t="n">
        <v>0.0503334665833666</v>
      </c>
      <c r="F42" s="44" t="n">
        <v>0.0741957305489326</v>
      </c>
      <c r="G42" s="44" t="n">
        <v>0.0705470261367565</v>
      </c>
      <c r="H42" s="44" t="n">
        <v>0.074345816086454</v>
      </c>
    </row>
    <row r="43" customFormat="false" ht="26.85" hidden="false" customHeight="false" outlineLevel="0" collapsed="false">
      <c r="A43" s="14" t="s">
        <v>307</v>
      </c>
      <c r="B43" s="9" t="s">
        <v>90</v>
      </c>
      <c r="C43" s="4" t="s">
        <v>91</v>
      </c>
      <c r="D43" s="44" t="n">
        <v>-0.0297732404433101</v>
      </c>
      <c r="E43" s="44" t="n">
        <v>-0.0490052492513123</v>
      </c>
      <c r="F43" s="44" t="n">
        <v>-0.0235371583842895</v>
      </c>
      <c r="G43" s="44" t="n">
        <v>-0.0261969035492258</v>
      </c>
      <c r="H43" s="44" t="n">
        <v>-0.0362361750590437</v>
      </c>
    </row>
    <row r="44" customFormat="false" ht="39.55" hidden="false" customHeight="false" outlineLevel="0" collapsed="false">
      <c r="A44" s="14" t="s">
        <v>307</v>
      </c>
      <c r="B44" s="9" t="s">
        <v>87</v>
      </c>
      <c r="C44" s="4" t="s">
        <v>88</v>
      </c>
      <c r="D44" s="44" t="n">
        <v>-0.0076466104116526</v>
      </c>
      <c r="E44" s="44" t="n">
        <v>-0.0335099288774822</v>
      </c>
      <c r="F44" s="44" t="n">
        <v>-0.0019203949800987</v>
      </c>
      <c r="G44" s="44" t="n">
        <v>-0.0056791319197829</v>
      </c>
      <c r="H44" s="44" t="n">
        <v>-0.0136200079050019</v>
      </c>
    </row>
    <row r="45" customFormat="false" ht="26.85" hidden="false" customHeight="false" outlineLevel="0" collapsed="false">
      <c r="A45" s="14" t="s">
        <v>307</v>
      </c>
      <c r="B45" s="9" t="s">
        <v>93</v>
      </c>
      <c r="C45" s="4" t="s">
        <v>94</v>
      </c>
      <c r="D45" s="44" t="n">
        <v>0.0317203114300778</v>
      </c>
      <c r="E45" s="44" t="n">
        <v>-0.0052284853071213</v>
      </c>
      <c r="F45" s="44" t="n">
        <v>0.0301980690495172</v>
      </c>
      <c r="G45" s="44" t="n">
        <v>0.0224159966039991</v>
      </c>
      <c r="H45" s="44" t="n">
        <v>0.0172454518113629</v>
      </c>
    </row>
    <row r="46" customFormat="false" ht="26.85" hidden="false" customHeight="false" outlineLevel="0" collapsed="false">
      <c r="A46" s="14" t="s">
        <v>307</v>
      </c>
      <c r="B46" s="9" t="s">
        <v>97</v>
      </c>
      <c r="C46" s="4" t="s">
        <v>98</v>
      </c>
      <c r="D46" s="44" t="n">
        <v>0.0165480191370047</v>
      </c>
      <c r="E46" s="44" t="n">
        <v>0.0032778533194633</v>
      </c>
      <c r="F46" s="44" t="n">
        <v>0.0178271354567838</v>
      </c>
      <c r="G46" s="44" t="n">
        <v>0.0259992319998079</v>
      </c>
      <c r="H46" s="44" t="n">
        <v>0.0189148937287234</v>
      </c>
    </row>
    <row r="47" customFormat="false" ht="39.55" hidden="false" customHeight="false" outlineLevel="0" collapsed="false">
      <c r="A47" s="14" t="s">
        <v>307</v>
      </c>
      <c r="B47" s="9" t="s">
        <v>105</v>
      </c>
      <c r="C47" s="4" t="s">
        <v>106</v>
      </c>
      <c r="D47" s="44" t="n">
        <v>0.015177692294423</v>
      </c>
      <c r="E47" s="44" t="n">
        <v>0.0156312474078118</v>
      </c>
      <c r="F47" s="44" t="n">
        <v>0.0095148473787118</v>
      </c>
      <c r="G47" s="44" t="n">
        <v>0.0141945395486348</v>
      </c>
      <c r="H47" s="44" t="n">
        <v>0.0175081348770337</v>
      </c>
    </row>
    <row r="48" customFormat="false" ht="26.85" hidden="false" customHeight="false" outlineLevel="0" collapsed="false">
      <c r="A48" s="14" t="s">
        <v>316</v>
      </c>
      <c r="B48" s="9" t="s">
        <v>62</v>
      </c>
      <c r="C48" s="4" t="s">
        <v>63</v>
      </c>
      <c r="D48" s="43" t="n">
        <v>0.524576966144241</v>
      </c>
      <c r="E48" s="43" t="n">
        <v>0.916595977148994</v>
      </c>
      <c r="F48" s="43" t="n">
        <v>0.50610728002682</v>
      </c>
      <c r="G48" s="43" t="n">
        <v>0.553652379413095</v>
      </c>
      <c r="H48" s="43" t="n">
        <v>0.679936156984039</v>
      </c>
    </row>
    <row r="49" customFormat="false" ht="26.85" hidden="false" customHeight="false" outlineLevel="0" collapsed="false">
      <c r="A49" s="14" t="s">
        <v>316</v>
      </c>
      <c r="B49" s="9" t="s">
        <v>90</v>
      </c>
      <c r="C49" s="4" t="s">
        <v>91</v>
      </c>
      <c r="D49" s="43" t="n">
        <v>-0.355938288484572</v>
      </c>
      <c r="E49" s="44" t="n">
        <v>-0.0490052492513123</v>
      </c>
      <c r="F49" s="43" t="n">
        <v>-0.34502127975532</v>
      </c>
      <c r="G49" s="43" t="n">
        <v>-0.362452388113097</v>
      </c>
      <c r="H49" s="43" t="n">
        <v>-0.48786824146706</v>
      </c>
    </row>
    <row r="50" customFormat="false" ht="38.05" hidden="false" customHeight="false" outlineLevel="0" collapsed="false">
      <c r="A50" s="14" t="s">
        <v>316</v>
      </c>
      <c r="B50" s="9" t="s">
        <v>110</v>
      </c>
      <c r="C50" s="4" t="s">
        <v>111</v>
      </c>
      <c r="D50" s="43" t="n">
        <v>-0.401786794446699</v>
      </c>
      <c r="E50" s="44" t="n">
        <v>0.0429373367343341</v>
      </c>
      <c r="F50" s="43" t="n">
        <v>-0.4757935984484</v>
      </c>
      <c r="G50" s="43" t="n">
        <v>-0.401505023876256</v>
      </c>
      <c r="H50" s="44" t="n">
        <v>-0.107192477798119</v>
      </c>
    </row>
    <row r="51" customFormat="false" ht="26.85" hidden="false" customHeight="false" outlineLevel="0" collapsed="false">
      <c r="A51" s="14" t="s">
        <v>316</v>
      </c>
      <c r="B51" s="9" t="s">
        <v>81</v>
      </c>
      <c r="C51" s="4" t="s">
        <v>82</v>
      </c>
      <c r="D51" s="44" t="n">
        <v>0.22409184052296</v>
      </c>
      <c r="E51" s="43" t="n">
        <v>0.354091293022823</v>
      </c>
      <c r="F51" s="44" t="n">
        <v>0.21770084142521</v>
      </c>
      <c r="G51" s="44" t="n">
        <v>0.23409487952372</v>
      </c>
      <c r="H51" s="44" t="n">
        <v>0.271386829846707</v>
      </c>
    </row>
    <row r="52" customFormat="false" ht="39.55" hidden="false" customHeight="false" outlineLevel="0" collapsed="false">
      <c r="A52" s="14" t="s">
        <v>316</v>
      </c>
      <c r="B52" s="9" t="s">
        <v>87</v>
      </c>
      <c r="C52" s="4" t="s">
        <v>88</v>
      </c>
      <c r="D52" s="44" t="n">
        <v>0.229490934372734</v>
      </c>
      <c r="E52" s="44" t="n">
        <v>-0.0335099288774822</v>
      </c>
      <c r="F52" s="44" t="n">
        <v>0.231058577264644</v>
      </c>
      <c r="G52" s="44" t="n">
        <v>0.23260216165054</v>
      </c>
      <c r="H52" s="44" t="n">
        <v>0.26939895884974</v>
      </c>
    </row>
    <row r="53" customFormat="false" ht="15" hidden="false" customHeight="false" outlineLevel="0" collapsed="false">
      <c r="A53" s="14" t="s">
        <v>316</v>
      </c>
      <c r="B53" s="9" t="s">
        <v>56</v>
      </c>
      <c r="C53" s="4" t="s">
        <v>57</v>
      </c>
      <c r="D53" s="44" t="n">
        <v>0.256279811569953</v>
      </c>
      <c r="E53" s="44" t="n">
        <v>0.0742147775536943</v>
      </c>
      <c r="F53" s="44" t="n">
        <v>0.22837831959458</v>
      </c>
      <c r="G53" s="44" t="n">
        <v>0.204347547086887</v>
      </c>
      <c r="H53" s="44" t="n">
        <v>0.167516978879245</v>
      </c>
    </row>
    <row r="54" customFormat="false" ht="39.55" hidden="false" customHeight="false" outlineLevel="0" collapsed="false">
      <c r="A54" s="14" t="s">
        <v>316</v>
      </c>
      <c r="B54" s="9" t="s">
        <v>102</v>
      </c>
      <c r="C54" s="4" t="s">
        <v>103</v>
      </c>
      <c r="D54" s="44" t="n">
        <v>0.175851922962981</v>
      </c>
      <c r="E54" s="44" t="n">
        <v>-0.0124087966021991</v>
      </c>
      <c r="F54" s="44" t="n">
        <v>0.174001183500296</v>
      </c>
      <c r="G54" s="44" t="n">
        <v>0.249176706794177</v>
      </c>
      <c r="H54" s="44" t="n">
        <v>0.0911332667833167</v>
      </c>
    </row>
    <row r="55" customFormat="false" ht="26.85" hidden="false" customHeight="false" outlineLevel="0" collapsed="false">
      <c r="A55" s="14" t="s">
        <v>316</v>
      </c>
      <c r="B55" s="9" t="s">
        <v>74</v>
      </c>
      <c r="C55" s="4" t="s">
        <v>75</v>
      </c>
      <c r="D55" s="44" t="n">
        <v>0.223602382900596</v>
      </c>
      <c r="E55" s="44" t="n">
        <v>0.062322692080673</v>
      </c>
      <c r="F55" s="44" t="n">
        <v>0.198355216588804</v>
      </c>
      <c r="G55" s="44" t="n">
        <v>0.179900603975151</v>
      </c>
      <c r="H55" s="44" t="n">
        <v>0.15747295836824</v>
      </c>
    </row>
    <row r="56" customFormat="false" ht="26.85" hidden="false" customHeight="false" outlineLevel="0" collapsed="false">
      <c r="A56" s="14" t="s">
        <v>316</v>
      </c>
      <c r="B56" s="9" t="s">
        <v>68</v>
      </c>
      <c r="C56" s="4" t="s">
        <v>69</v>
      </c>
      <c r="D56" s="44" t="n">
        <v>-0.192595635148909</v>
      </c>
      <c r="E56" s="44" t="n">
        <v>-0.0505238781309695</v>
      </c>
      <c r="F56" s="44" t="n">
        <v>-0.167618458404615</v>
      </c>
      <c r="G56" s="44" t="n">
        <v>-0.151676307419077</v>
      </c>
      <c r="H56" s="44" t="n">
        <v>-0.131879932469983</v>
      </c>
    </row>
    <row r="57" customFormat="false" ht="26.85" hidden="false" customHeight="false" outlineLevel="0" collapsed="false">
      <c r="A57" s="14" t="s">
        <v>316</v>
      </c>
      <c r="B57" s="9" t="s">
        <v>93</v>
      </c>
      <c r="C57" s="4" t="s">
        <v>94</v>
      </c>
      <c r="D57" s="44" t="n">
        <v>0.160670660667665</v>
      </c>
      <c r="E57" s="44" t="n">
        <v>-0.0052284853071213</v>
      </c>
      <c r="F57" s="44" t="n">
        <v>0.134153939038485</v>
      </c>
      <c r="G57" s="44" t="n">
        <v>0.121607728901932</v>
      </c>
      <c r="H57" s="44" t="n">
        <v>0.0840520425130106</v>
      </c>
    </row>
    <row r="58" customFormat="false" ht="26.85" hidden="false" customHeight="false" outlineLevel="0" collapsed="false">
      <c r="A58" s="14" t="s">
        <v>316</v>
      </c>
      <c r="B58" s="9" t="s">
        <v>78</v>
      </c>
      <c r="C58" s="4" t="s">
        <v>79</v>
      </c>
      <c r="D58" s="44" t="n">
        <v>0.100802326200582</v>
      </c>
      <c r="E58" s="44" t="n">
        <v>0.0503334665833666</v>
      </c>
      <c r="F58" s="44" t="n">
        <v>0.0897227669306917</v>
      </c>
      <c r="G58" s="44" t="n">
        <v>0.0823907935976984</v>
      </c>
      <c r="H58" s="44" t="n">
        <v>0.0720010245002561</v>
      </c>
    </row>
    <row r="59" customFormat="false" ht="26.85" hidden="false" customHeight="false" outlineLevel="0" collapsed="false">
      <c r="A59" s="14" t="s">
        <v>316</v>
      </c>
      <c r="B59" s="9" t="s">
        <v>84</v>
      </c>
      <c r="C59" s="4" t="s">
        <v>85</v>
      </c>
      <c r="D59" s="44" t="n">
        <v>-0.0119218664804666</v>
      </c>
      <c r="E59" s="44" t="n">
        <v>0.08338552034638</v>
      </c>
      <c r="F59" s="44" t="n">
        <v>-0.0125500906375226</v>
      </c>
      <c r="G59" s="44" t="n">
        <v>-0.014064416016104</v>
      </c>
      <c r="H59" s="44" t="n">
        <v>-0.016571908142977</v>
      </c>
    </row>
    <row r="60" customFormat="false" ht="26.85" hidden="false" customHeight="false" outlineLevel="0" collapsed="false">
      <c r="A60" s="14" t="s">
        <v>316</v>
      </c>
      <c r="B60" s="9" t="s">
        <v>196</v>
      </c>
      <c r="C60" s="4" t="s">
        <v>383</v>
      </c>
      <c r="D60" s="44" t="n">
        <v>0.0526026911506727</v>
      </c>
      <c r="E60" s="44" t="n">
        <v>-0.0259312939828234</v>
      </c>
      <c r="F60" s="44" t="n">
        <v>0.0764230526057631</v>
      </c>
      <c r="G60" s="44" t="n">
        <v>0.0726040831510207</v>
      </c>
      <c r="H60" s="44" t="n">
        <v>0.0426898531724632</v>
      </c>
    </row>
    <row r="61" customFormat="false" ht="26.85" hidden="false" customHeight="false" outlineLevel="0" collapsed="false">
      <c r="A61" s="14" t="s">
        <v>316</v>
      </c>
      <c r="B61" s="9" t="s">
        <v>97</v>
      </c>
      <c r="C61" s="4" t="s">
        <v>98</v>
      </c>
      <c r="D61" s="44" t="n">
        <v>-0.0468173097043274</v>
      </c>
      <c r="E61" s="44" t="n">
        <v>0.0032778533194633</v>
      </c>
      <c r="F61" s="44" t="n">
        <v>-0.0296607569151892</v>
      </c>
      <c r="G61" s="44" t="n">
        <v>-0.0211591207897801</v>
      </c>
      <c r="H61" s="44" t="n">
        <v>-0.0086283096570774</v>
      </c>
    </row>
    <row r="62" customFormat="false" ht="39.55" hidden="false" customHeight="false" outlineLevel="0" collapsed="false">
      <c r="A62" s="14" t="s">
        <v>316</v>
      </c>
      <c r="B62" s="9" t="s">
        <v>105</v>
      </c>
      <c r="C62" s="4" t="s">
        <v>106</v>
      </c>
      <c r="D62" s="44" t="n">
        <v>0.0067494556873639</v>
      </c>
      <c r="E62" s="44" t="n">
        <v>0.0156312474078118</v>
      </c>
      <c r="F62" s="44" t="n">
        <v>0.0053936773484193</v>
      </c>
      <c r="G62" s="44" t="n">
        <v>0.0076008304002076</v>
      </c>
      <c r="H62" s="44" t="n">
        <v>0.0053066398266599</v>
      </c>
    </row>
    <row r="63" customFormat="false" ht="15" hidden="false" customHeight="false" outlineLevel="0" collapsed="false">
      <c r="A63" s="5" t="s">
        <v>384</v>
      </c>
    </row>
    <row r="65" customFormat="false" ht="15" hidden="false" customHeight="false" outlineLevel="0" collapsed="false">
      <c r="A65" s="28" t="s">
        <v>385</v>
      </c>
    </row>
    <row r="66" customFormat="false" ht="50.7" hidden="false" customHeight="false" outlineLevel="0" collapsed="false">
      <c r="A66" s="7" t="s">
        <v>386</v>
      </c>
      <c r="B66" s="6" t="s">
        <v>387</v>
      </c>
      <c r="C66" s="7" t="s">
        <v>378</v>
      </c>
      <c r="D66" s="7" t="s">
        <v>379</v>
      </c>
      <c r="E66" s="7" t="s">
        <v>380</v>
      </c>
      <c r="F66" s="7" t="s">
        <v>381</v>
      </c>
      <c r="G66" s="7" t="s">
        <v>382</v>
      </c>
    </row>
    <row r="67" customFormat="false" ht="23.85" hidden="false" customHeight="false" outlineLevel="0" collapsed="false">
      <c r="A67" s="14" t="n">
        <v>1</v>
      </c>
      <c r="B67" s="19" t="n">
        <v>1.64992826812644E-005</v>
      </c>
      <c r="C67" s="19" t="n">
        <v>0.0004197742616497</v>
      </c>
      <c r="D67" s="19" t="n">
        <v>0.0008889406297638</v>
      </c>
      <c r="E67" s="19" t="n">
        <v>0.000570205866415</v>
      </c>
      <c r="F67" s="19" t="n">
        <v>0.0005890822709759</v>
      </c>
      <c r="G67" s="19" t="n">
        <v>0.0008507036451294</v>
      </c>
    </row>
    <row r="68" customFormat="false" ht="23.85" hidden="false" customHeight="false" outlineLevel="0" collapsed="false">
      <c r="A68" s="14" t="n">
        <v>2</v>
      </c>
      <c r="B68" s="19" t="n">
        <v>1.06246460461051E-006</v>
      </c>
      <c r="C68" s="19" t="n">
        <v>0.0001616955679071</v>
      </c>
      <c r="D68" s="19" t="n">
        <v>0.0008772746489777</v>
      </c>
      <c r="E68" s="19" t="n">
        <v>0.0002011212297624</v>
      </c>
      <c r="F68" s="19" t="n">
        <v>0.0002479691944834</v>
      </c>
      <c r="G68" s="19" t="n">
        <v>0.0006417295335991</v>
      </c>
    </row>
    <row r="69" customFormat="false" ht="23.85" hidden="false" customHeight="false" outlineLevel="0" collapsed="false">
      <c r="A69" s="14" t="n">
        <v>3</v>
      </c>
      <c r="B69" s="19" t="n">
        <v>8.15052815906617E-008</v>
      </c>
      <c r="C69" s="19" t="n">
        <v>5.91447110299336E-005</v>
      </c>
      <c r="D69" s="19" t="n">
        <v>0.0008675316154312</v>
      </c>
      <c r="E69" s="19" t="n">
        <v>6.72087301903609E-005</v>
      </c>
      <c r="F69" s="19" t="n">
        <v>0.0001062070174638</v>
      </c>
      <c r="G69" s="19" t="n">
        <v>0.000438141920026</v>
      </c>
    </row>
    <row r="70" customFormat="false" ht="23.85" hidden="false" customHeight="false" outlineLevel="0" collapsed="false">
      <c r="A70" s="14" t="n">
        <v>4</v>
      </c>
      <c r="B70" s="19" t="n">
        <v>7.26357751934569E-009</v>
      </c>
      <c r="C70" s="19" t="n">
        <v>2.07789996559653E-005</v>
      </c>
      <c r="D70" s="19" t="n">
        <v>0.0008579080711458</v>
      </c>
      <c r="E70" s="19" t="n">
        <v>2.17582841427754E-005</v>
      </c>
      <c r="F70" s="19" t="n">
        <v>4.86753758445567E-005</v>
      </c>
      <c r="G70" s="19" t="n">
        <v>0.0002949873205447</v>
      </c>
    </row>
    <row r="71" customFormat="false" ht="23.85" hidden="false" customHeight="false" outlineLevel="0" collapsed="false">
      <c r="A71" s="14" t="n">
        <v>5</v>
      </c>
      <c r="B71" s="19" t="n">
        <v>7.35227480980324E-010</v>
      </c>
      <c r="C71" s="19" t="n">
        <v>7.84911411877018E-006</v>
      </c>
      <c r="D71" s="19" t="n">
        <v>0.0008482933246615</v>
      </c>
      <c r="E71" s="19" t="n">
        <v>9.63062414561308E-006</v>
      </c>
      <c r="F71" s="19" t="n">
        <v>2.37792679480564E-005</v>
      </c>
      <c r="G71" s="19" t="n">
        <v>0.0001975013857189</v>
      </c>
    </row>
    <row r="72" customFormat="false" ht="23.85" hidden="false" customHeight="false" outlineLevel="0" collapsed="false">
      <c r="A72" s="14" t="n">
        <v>6</v>
      </c>
      <c r="B72" s="19" t="n">
        <v>8.31904015580665E-011</v>
      </c>
      <c r="C72" s="19" t="n">
        <v>4.12686183661284E-006</v>
      </c>
      <c r="D72" s="19" t="n">
        <v>0.0008386594955068</v>
      </c>
      <c r="E72" s="19" t="n">
        <v>4.96236593490578E-006</v>
      </c>
      <c r="F72" s="19" t="n">
        <v>1.22830165755199E-005</v>
      </c>
      <c r="G72" s="19" t="n">
        <v>0.0001324374428955</v>
      </c>
    </row>
    <row r="73" customFormat="false" ht="23.85" hidden="false" customHeight="false" outlineLevel="0" collapsed="false">
      <c r="A73" s="14" t="n">
        <v>7</v>
      </c>
      <c r="B73" s="19" t="n">
        <v>1.03584784527005E-011</v>
      </c>
      <c r="C73" s="19" t="n">
        <v>2.31096707724605E-006</v>
      </c>
      <c r="D73" s="19" t="n">
        <v>0.0008289539393736</v>
      </c>
      <c r="E73" s="19" t="n">
        <v>2.80928241480052E-006</v>
      </c>
      <c r="F73" s="19" t="n">
        <v>6.74019566359011E-006</v>
      </c>
      <c r="G73" s="19" t="n">
        <v>8.95004755444827E-005</v>
      </c>
    </row>
    <row r="74" customFormat="false" ht="23.85" hidden="false" customHeight="false" outlineLevel="0" collapsed="false">
      <c r="A74" s="14" t="n">
        <v>8</v>
      </c>
      <c r="B74" s="19" t="n">
        <v>1.35912001378291E-012</v>
      </c>
      <c r="C74" s="19" t="n">
        <v>1.40183392087193E-006</v>
      </c>
      <c r="D74" s="19" t="n">
        <v>0.0008191067090715</v>
      </c>
      <c r="E74" s="19" t="n">
        <v>1.67987212750757E-006</v>
      </c>
      <c r="F74" s="19" t="n">
        <v>3.92837648891838E-006</v>
      </c>
      <c r="G74" s="19" t="n">
        <v>6.11762533836362E-005</v>
      </c>
    </row>
    <row r="75" customFormat="false" ht="23.85" hidden="false" customHeight="false" outlineLevel="0" collapsed="false">
      <c r="A75" s="14" t="n">
        <v>9</v>
      </c>
      <c r="B75" s="19" t="n">
        <v>1E-012</v>
      </c>
      <c r="C75" s="19" t="n">
        <v>8.7754119458553E-007</v>
      </c>
      <c r="D75" s="19" t="n">
        <v>0.0008090463731503</v>
      </c>
      <c r="E75" s="19" t="n">
        <v>1.04158826142939E-006</v>
      </c>
      <c r="F75" s="19" t="n">
        <v>2.44820966188808E-006</v>
      </c>
      <c r="G75" s="19" t="n">
        <v>4.28620635783108E-005</v>
      </c>
    </row>
    <row r="76" customFormat="false" ht="23.85" hidden="false" customHeight="false" outlineLevel="0" collapsed="false">
      <c r="A76" s="14" t="n">
        <v>10</v>
      </c>
      <c r="B76" s="19" t="n">
        <v>1E-012</v>
      </c>
      <c r="C76" s="19" t="n">
        <v>5.7038452948129E-007</v>
      </c>
      <c r="D76" s="19" t="n">
        <v>0.0007986941256716</v>
      </c>
      <c r="E76" s="19" t="n">
        <v>6.75247335005994E-007</v>
      </c>
      <c r="F76" s="19" t="n">
        <v>1.6711680947707E-006</v>
      </c>
      <c r="G76" s="19" t="n">
        <v>3.08980020856878E-005</v>
      </c>
    </row>
    <row r="77" customFormat="false" ht="23.85" hidden="false" customHeight="false" outlineLevel="0" collapsed="false">
      <c r="A77" s="14" t="n">
        <v>11</v>
      </c>
      <c r="B77" s="19" t="n">
        <v>1E-012</v>
      </c>
      <c r="C77" s="19" t="n">
        <v>3.84947706307726E-007</v>
      </c>
      <c r="D77" s="19" t="n">
        <v>0.0007871487220508</v>
      </c>
      <c r="E77" s="19" t="n">
        <v>4.60812422662222E-007</v>
      </c>
      <c r="F77" s="19" t="n">
        <v>1.20389395405419E-006</v>
      </c>
      <c r="G77" s="19" t="n">
        <v>2.28844139554469E-005</v>
      </c>
    </row>
    <row r="78" customFormat="false" ht="23.85" hidden="false" customHeight="false" outlineLevel="0" collapsed="false">
      <c r="A78" s="14" t="n">
        <v>12</v>
      </c>
      <c r="B78" s="19" t="n">
        <v>1E-012</v>
      </c>
      <c r="C78" s="19" t="n">
        <v>2.66919211440749E-007</v>
      </c>
      <c r="D78" s="19" t="n">
        <v>0.0007737720067604</v>
      </c>
      <c r="E78" s="19" t="n">
        <v>3.25590051338107E-007</v>
      </c>
      <c r="F78" s="19" t="n">
        <v>9.34594821832631E-007</v>
      </c>
      <c r="G78" s="19" t="n">
        <v>1.7120106533308E-005</v>
      </c>
    </row>
    <row r="79" customFormat="false" ht="23.85" hidden="false" customHeight="false" outlineLevel="0" collapsed="false">
      <c r="A79" s="14" t="n">
        <v>13</v>
      </c>
      <c r="B79" s="19" t="n">
        <v>1E-012</v>
      </c>
      <c r="C79" s="19" t="n">
        <v>1.96688037025539E-007</v>
      </c>
      <c r="D79" s="19" t="n">
        <v>0.0007590237129804</v>
      </c>
      <c r="E79" s="19" t="n">
        <v>2.42753285592788E-007</v>
      </c>
      <c r="F79" s="19" t="n">
        <v>7.42050478261719E-007</v>
      </c>
      <c r="G79" s="19" t="n">
        <v>1.29405137143356E-005</v>
      </c>
    </row>
    <row r="80" customFormat="false" ht="23.85" hidden="false" customHeight="false" outlineLevel="0" collapsed="false">
      <c r="A80" s="14" t="n">
        <v>14</v>
      </c>
      <c r="B80" s="19" t="n">
        <v>1E-012</v>
      </c>
      <c r="C80" s="19" t="n">
        <v>1.46721198217261E-007</v>
      </c>
      <c r="D80" s="19" t="n">
        <v>0.0007431232361064</v>
      </c>
      <c r="E80" s="19" t="n">
        <v>1.99578067465279E-007</v>
      </c>
      <c r="F80" s="19" t="n">
        <v>6.06957767610081E-007</v>
      </c>
      <c r="G80" s="19" t="n">
        <v>9.88179973620992E-006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</cols>
  <sheetData>
    <row r="1" customFormat="false" ht="19.4" hidden="false" customHeight="false" outlineLevel="0" collapsed="false">
      <c r="A1" s="1" t="s">
        <v>388</v>
      </c>
    </row>
    <row r="2" customFormat="false" ht="15" hidden="false" customHeight="false" outlineLevel="0" collapsed="false">
      <c r="A2" s="5" t="s">
        <v>389</v>
      </c>
    </row>
    <row r="4" customFormat="false" ht="15" hidden="false" customHeight="false" outlineLevel="0" collapsed="false">
      <c r="A4" s="6" t="s">
        <v>31</v>
      </c>
      <c r="B4" s="6" t="s">
        <v>289</v>
      </c>
      <c r="C4" s="6" t="s">
        <v>157</v>
      </c>
      <c r="D4" s="7" t="s">
        <v>390</v>
      </c>
      <c r="E4" s="7" t="s">
        <v>391</v>
      </c>
      <c r="F4" s="6" t="s">
        <v>392</v>
      </c>
      <c r="G4" s="7" t="s">
        <v>393</v>
      </c>
      <c r="H4" s="7" t="s">
        <v>394</v>
      </c>
      <c r="I4" s="6" t="s">
        <v>392</v>
      </c>
      <c r="J4" s="7" t="s">
        <v>395</v>
      </c>
      <c r="K4" s="7" t="s">
        <v>396</v>
      </c>
      <c r="L4" s="6" t="s">
        <v>392</v>
      </c>
    </row>
    <row r="5" customFormat="false" ht="15" hidden="false" customHeight="false" outlineLevel="0" collapsed="false">
      <c r="A5" s="14" t="s">
        <v>306</v>
      </c>
      <c r="B5" s="14" t="s">
        <v>307</v>
      </c>
      <c r="C5" s="2" t="s">
        <v>308</v>
      </c>
      <c r="D5" s="19" t="n">
        <v>1.764E-005</v>
      </c>
      <c r="E5" s="38" t="n">
        <f aca="false">5_위험도!I5</f>
        <v>1.764E-005</v>
      </c>
      <c r="F5" s="45" t="n">
        <f aca="false">IF(MAX(ABS(D5),ABS(E5))=0,0,ABS(D5-E5)/MAX(ABS(D5),ABS(E5)))</f>
        <v>0</v>
      </c>
      <c r="G5" s="19" t="n">
        <v>8.82E-005</v>
      </c>
      <c r="H5" s="38" t="n">
        <f aca="false">5_위험도!J5</f>
        <v>8.82E-005</v>
      </c>
      <c r="I5" s="45" t="n">
        <f aca="false">IF(MAX(ABS(G5),ABS(H5))=0,0,ABS(G5-H5)/MAX(ABS(G5),ABS(H5)))</f>
        <v>0</v>
      </c>
      <c r="J5" s="19" t="n">
        <v>0</v>
      </c>
      <c r="K5" s="38" t="n">
        <f aca="false">5_위험도!N5</f>
        <v>0</v>
      </c>
      <c r="L5" s="45" t="n">
        <f aca="false">IF(MAX(ABS(J5),ABS(K5))=0,0,ABS(J5-K5)/MAX(ABS(J5),ABS(K5)))</f>
        <v>0</v>
      </c>
    </row>
    <row r="6" customFormat="false" ht="15" hidden="false" customHeight="false" outlineLevel="0" collapsed="false">
      <c r="A6" s="14" t="s">
        <v>306</v>
      </c>
      <c r="B6" s="14" t="s">
        <v>307</v>
      </c>
      <c r="C6" s="24" t="s">
        <v>311</v>
      </c>
      <c r="D6" s="19" t="n">
        <v>0.000437616</v>
      </c>
      <c r="E6" s="38" t="n">
        <f aca="false">5_위험도!I6</f>
        <v>0.000437616</v>
      </c>
      <c r="F6" s="45" t="n">
        <f aca="false">IF(MAX(ABS(D6),ABS(E6))=0,0,ABS(D6-E6)/MAX(ABS(D6),ABS(E6)))</f>
        <v>0</v>
      </c>
      <c r="G6" s="19" t="n">
        <v>0.00218808</v>
      </c>
      <c r="H6" s="38" t="n">
        <f aca="false">5_위험도!J6</f>
        <v>0.00218808</v>
      </c>
      <c r="I6" s="45" t="n">
        <f aca="false">IF(MAX(ABS(G6),ABS(H6))=0,0,ABS(G6-H6)/MAX(ABS(G6),ABS(H6)))</f>
        <v>0</v>
      </c>
      <c r="J6" s="19" t="n">
        <v>0</v>
      </c>
      <c r="K6" s="38" t="n">
        <f aca="false">5_위험도!N6</f>
        <v>0</v>
      </c>
      <c r="L6" s="45" t="n">
        <f aca="false">IF(MAX(ABS(J6),ABS(K6))=0,0,ABS(J6-K6)/MAX(ABS(J6),ABS(K6)))</f>
        <v>0</v>
      </c>
    </row>
    <row r="7" customFormat="false" ht="15" hidden="false" customHeight="false" outlineLevel="0" collapsed="false">
      <c r="A7" s="14" t="s">
        <v>306</v>
      </c>
      <c r="B7" s="14" t="s">
        <v>307</v>
      </c>
      <c r="C7" s="24" t="s">
        <v>312</v>
      </c>
      <c r="D7" s="19" t="n">
        <v>0.008355564</v>
      </c>
      <c r="E7" s="38" t="n">
        <f aca="false">5_위험도!I7</f>
        <v>0.008355564</v>
      </c>
      <c r="F7" s="45" t="n">
        <f aca="false">IF(MAX(ABS(D7),ABS(E7))=0,0,ABS(D7-E7)/MAX(ABS(D7),ABS(E7)))</f>
        <v>0</v>
      </c>
      <c r="G7" s="19" t="n">
        <v>0.04177782</v>
      </c>
      <c r="H7" s="38" t="n">
        <f aca="false">5_위험도!J7</f>
        <v>0.04177782</v>
      </c>
      <c r="I7" s="45" t="n">
        <f aca="false">IF(MAX(ABS(G7),ABS(H7))=0,0,ABS(G7-H7)/MAX(ABS(G7),ABS(H7)))</f>
        <v>0</v>
      </c>
      <c r="J7" s="19" t="n">
        <v>0.00063828</v>
      </c>
      <c r="K7" s="38" t="n">
        <f aca="false">5_위험도!N7</f>
        <v>0.00063828</v>
      </c>
      <c r="L7" s="45" t="n">
        <f aca="false">IF(MAX(ABS(J7),ABS(K7))=0,0,ABS(J7-K7)/MAX(ABS(J7),ABS(K7)))</f>
        <v>0</v>
      </c>
    </row>
    <row r="8" customFormat="false" ht="15" hidden="false" customHeight="false" outlineLevel="0" collapsed="false">
      <c r="A8" s="14" t="s">
        <v>306</v>
      </c>
      <c r="B8" s="14" t="s">
        <v>307</v>
      </c>
      <c r="C8" s="24" t="s">
        <v>313</v>
      </c>
      <c r="D8" s="19" t="n">
        <v>0.000647604</v>
      </c>
      <c r="E8" s="38" t="n">
        <f aca="false">5_위험도!I8</f>
        <v>0.000647604</v>
      </c>
      <c r="F8" s="45" t="n">
        <f aca="false">IF(MAX(ABS(D8),ABS(E8))=0,0,ABS(D8-E8)/MAX(ABS(D8),ABS(E8)))</f>
        <v>0</v>
      </c>
      <c r="G8" s="19" t="n">
        <v>0.00323802</v>
      </c>
      <c r="H8" s="38" t="n">
        <f aca="false">5_위험도!J8</f>
        <v>0.00323802</v>
      </c>
      <c r="I8" s="45" t="n">
        <f aca="false">IF(MAX(ABS(G8),ABS(H8))=0,0,ABS(G8-H8)/MAX(ABS(G8),ABS(H8)))</f>
        <v>0</v>
      </c>
      <c r="J8" s="19" t="n">
        <v>0</v>
      </c>
      <c r="K8" s="38" t="n">
        <f aca="false">5_위험도!N8</f>
        <v>0</v>
      </c>
      <c r="L8" s="45" t="n">
        <f aca="false">IF(MAX(ABS(J8),ABS(K8))=0,0,ABS(J8-K8)/MAX(ABS(J8),ABS(K8)))</f>
        <v>0</v>
      </c>
    </row>
    <row r="9" customFormat="false" ht="15" hidden="false" customHeight="false" outlineLevel="0" collapsed="false">
      <c r="A9" s="14" t="s">
        <v>306</v>
      </c>
      <c r="B9" s="14" t="s">
        <v>307</v>
      </c>
      <c r="C9" s="24" t="s">
        <v>314</v>
      </c>
      <c r="D9" s="19" t="n">
        <v>0.000647604</v>
      </c>
      <c r="E9" s="38" t="n">
        <f aca="false">5_위험도!I9</f>
        <v>0.000647604</v>
      </c>
      <c r="F9" s="45" t="n">
        <f aca="false">IF(MAX(ABS(D9),ABS(E9))=0,0,ABS(D9-E9)/MAX(ABS(D9),ABS(E9)))</f>
        <v>0</v>
      </c>
      <c r="G9" s="19" t="n">
        <v>0.00323802</v>
      </c>
      <c r="H9" s="38" t="n">
        <f aca="false">5_위험도!J9</f>
        <v>0.00323802</v>
      </c>
      <c r="I9" s="45" t="n">
        <f aca="false">IF(MAX(ABS(G9),ABS(H9))=0,0,ABS(G9-H9)/MAX(ABS(G9),ABS(H9)))</f>
        <v>0</v>
      </c>
      <c r="J9" s="19" t="n">
        <v>0</v>
      </c>
      <c r="K9" s="38" t="n">
        <f aca="false">5_위험도!N9</f>
        <v>0</v>
      </c>
      <c r="L9" s="45" t="n">
        <f aca="false">IF(MAX(ABS(J9),ABS(K9))=0,0,ABS(J9-K9)/MAX(ABS(J9),ABS(K9)))</f>
        <v>0</v>
      </c>
    </row>
    <row r="10" customFormat="false" ht="15" hidden="false" customHeight="false" outlineLevel="0" collapsed="false">
      <c r="A10" s="14" t="s">
        <v>306</v>
      </c>
      <c r="B10" s="14" t="s">
        <v>307</v>
      </c>
      <c r="C10" s="24" t="s">
        <v>315</v>
      </c>
      <c r="D10" s="19" t="n">
        <v>0.001781604</v>
      </c>
      <c r="E10" s="38" t="n">
        <f aca="false">5_위험도!I10</f>
        <v>0.001781604</v>
      </c>
      <c r="F10" s="45" t="n">
        <f aca="false">IF(MAX(ABS(D10),ABS(E10))=0,0,ABS(D10-E10)/MAX(ABS(D10),ABS(E10)))</f>
        <v>0</v>
      </c>
      <c r="G10" s="19" t="n">
        <v>0.00890802</v>
      </c>
      <c r="H10" s="38" t="n">
        <f aca="false">5_위험도!J10</f>
        <v>0.00890802</v>
      </c>
      <c r="I10" s="45" t="n">
        <f aca="false">IF(MAX(ABS(G10),ABS(H10))=0,0,ABS(G10-H10)/MAX(ABS(G10),ABS(H10)))</f>
        <v>0</v>
      </c>
      <c r="J10" s="19" t="n">
        <v>0.00063828</v>
      </c>
      <c r="K10" s="38" t="n">
        <f aca="false">5_위험도!N10</f>
        <v>0.00063828</v>
      </c>
      <c r="L10" s="45" t="n">
        <f aca="false">IF(MAX(ABS(J10),ABS(K10))=0,0,ABS(J10-K10)/MAX(ABS(J10),ABS(K10)))</f>
        <v>0</v>
      </c>
    </row>
    <row r="11" customFormat="false" ht="15" hidden="false" customHeight="false" outlineLevel="0" collapsed="false">
      <c r="A11" s="14" t="s">
        <v>306</v>
      </c>
      <c r="B11" s="14" t="s">
        <v>316</v>
      </c>
      <c r="C11" s="2" t="s">
        <v>308</v>
      </c>
      <c r="D11" s="19" t="n">
        <v>1.764E-005</v>
      </c>
      <c r="E11" s="38" t="n">
        <f aca="false">5_위험도!I11</f>
        <v>1.764E-005</v>
      </c>
      <c r="F11" s="45" t="n">
        <f aca="false">IF(MAX(ABS(D11),ABS(E11))=0,0,ABS(D11-E11)/MAX(ABS(D11),ABS(E11)))</f>
        <v>0</v>
      </c>
      <c r="G11" s="19" t="n">
        <v>8.82E-005</v>
      </c>
      <c r="H11" s="38" t="n">
        <f aca="false">5_위험도!J11</f>
        <v>8.82E-005</v>
      </c>
      <c r="I11" s="45" t="n">
        <f aca="false">IF(MAX(ABS(G11),ABS(H11))=0,0,ABS(G11-H11)/MAX(ABS(G11),ABS(H11)))</f>
        <v>0</v>
      </c>
      <c r="J11" s="19" t="n">
        <v>0</v>
      </c>
      <c r="K11" s="38" t="n">
        <f aca="false">5_위험도!N11</f>
        <v>0</v>
      </c>
      <c r="L11" s="45" t="n">
        <f aca="false">IF(MAX(ABS(J11),ABS(K11))=0,0,ABS(J11-K11)/MAX(ABS(J11),ABS(K11)))</f>
        <v>0</v>
      </c>
    </row>
    <row r="12" customFormat="false" ht="15" hidden="false" customHeight="false" outlineLevel="0" collapsed="false">
      <c r="A12" s="14" t="s">
        <v>306</v>
      </c>
      <c r="B12" s="14" t="s">
        <v>316</v>
      </c>
      <c r="C12" s="24" t="s">
        <v>311</v>
      </c>
      <c r="D12" s="19" t="n">
        <v>5.96376E-005</v>
      </c>
      <c r="E12" s="38" t="n">
        <f aca="false">5_위험도!I12</f>
        <v>5.96376E-005</v>
      </c>
      <c r="F12" s="45" t="n">
        <f aca="false">IF(MAX(ABS(D12),ABS(E12))=0,0,ABS(D12-E12)/MAX(ABS(D12),ABS(E12)))</f>
        <v>0</v>
      </c>
      <c r="G12" s="19" t="n">
        <v>0.000298188</v>
      </c>
      <c r="H12" s="38" t="n">
        <f aca="false">5_위험도!J12</f>
        <v>0.000298188</v>
      </c>
      <c r="I12" s="45" t="n">
        <f aca="false">IF(MAX(ABS(G12),ABS(H12))=0,0,ABS(G12-H12)/MAX(ABS(G12),ABS(H12)))</f>
        <v>0</v>
      </c>
      <c r="J12" s="19" t="n">
        <v>0</v>
      </c>
      <c r="K12" s="38" t="n">
        <f aca="false">5_위험도!N12</f>
        <v>0</v>
      </c>
      <c r="L12" s="45" t="n">
        <f aca="false">IF(MAX(ABS(J12),ABS(K12))=0,0,ABS(J12-K12)/MAX(ABS(J12),ABS(K12)))</f>
        <v>0</v>
      </c>
    </row>
    <row r="13" customFormat="false" ht="15" hidden="false" customHeight="false" outlineLevel="0" collapsed="false">
      <c r="A13" s="14" t="s">
        <v>306</v>
      </c>
      <c r="B13" s="14" t="s">
        <v>316</v>
      </c>
      <c r="C13" s="24" t="s">
        <v>312</v>
      </c>
      <c r="D13" s="19" t="n">
        <v>0.008355564</v>
      </c>
      <c r="E13" s="38" t="n">
        <f aca="false">5_위험도!I13</f>
        <v>0.008355564</v>
      </c>
      <c r="F13" s="45" t="n">
        <f aca="false">IF(MAX(ABS(D13),ABS(E13))=0,0,ABS(D13-E13)/MAX(ABS(D13),ABS(E13)))</f>
        <v>0</v>
      </c>
      <c r="G13" s="19" t="n">
        <v>0.04177782</v>
      </c>
      <c r="H13" s="38" t="n">
        <f aca="false">5_위험도!J13</f>
        <v>0.04177782</v>
      </c>
      <c r="I13" s="45" t="n">
        <f aca="false">IF(MAX(ABS(G13),ABS(H13))=0,0,ABS(G13-H13)/MAX(ABS(G13),ABS(H13)))</f>
        <v>0</v>
      </c>
      <c r="J13" s="19" t="n">
        <v>0.00063828</v>
      </c>
      <c r="K13" s="38" t="n">
        <f aca="false">5_위험도!N13</f>
        <v>0.00063828</v>
      </c>
      <c r="L13" s="45" t="n">
        <f aca="false">IF(MAX(ABS(J13),ABS(K13))=0,0,ABS(J13-K13)/MAX(ABS(J13),ABS(K13)))</f>
        <v>0</v>
      </c>
    </row>
    <row r="14" customFormat="false" ht="15" hidden="false" customHeight="false" outlineLevel="0" collapsed="false">
      <c r="A14" s="14" t="s">
        <v>306</v>
      </c>
      <c r="B14" s="14" t="s">
        <v>316</v>
      </c>
      <c r="C14" s="24" t="s">
        <v>313</v>
      </c>
      <c r="D14" s="19" t="n">
        <v>8.06364E-005</v>
      </c>
      <c r="E14" s="38" t="n">
        <f aca="false">5_위험도!I14</f>
        <v>8.06364E-005</v>
      </c>
      <c r="F14" s="45" t="n">
        <f aca="false">IF(MAX(ABS(D14),ABS(E14))=0,0,ABS(D14-E14)/MAX(ABS(D14),ABS(E14)))</f>
        <v>0</v>
      </c>
      <c r="G14" s="19" t="n">
        <v>0.000403182</v>
      </c>
      <c r="H14" s="38" t="n">
        <f aca="false">5_위험도!J14</f>
        <v>0.000403182</v>
      </c>
      <c r="I14" s="45" t="n">
        <f aca="false">IF(MAX(ABS(G14),ABS(H14))=0,0,ABS(G14-H14)/MAX(ABS(G14),ABS(H14)))</f>
        <v>0</v>
      </c>
      <c r="J14" s="19" t="n">
        <v>0</v>
      </c>
      <c r="K14" s="38" t="n">
        <f aca="false">5_위험도!N14</f>
        <v>0</v>
      </c>
      <c r="L14" s="45" t="n">
        <f aca="false">IF(MAX(ABS(J14),ABS(K14))=0,0,ABS(J14-K14)/MAX(ABS(J14),ABS(K14)))</f>
        <v>0</v>
      </c>
    </row>
    <row r="15" customFormat="false" ht="15" hidden="false" customHeight="false" outlineLevel="0" collapsed="false">
      <c r="A15" s="14" t="s">
        <v>306</v>
      </c>
      <c r="B15" s="14" t="s">
        <v>316</v>
      </c>
      <c r="C15" s="24" t="s">
        <v>314</v>
      </c>
      <c r="D15" s="19" t="n">
        <v>8.06364E-005</v>
      </c>
      <c r="E15" s="38" t="n">
        <f aca="false">5_위험도!I15</f>
        <v>8.06364E-005</v>
      </c>
      <c r="F15" s="45" t="n">
        <f aca="false">IF(MAX(ABS(D15),ABS(E15))=0,0,ABS(D15-E15)/MAX(ABS(D15),ABS(E15)))</f>
        <v>0</v>
      </c>
      <c r="G15" s="19" t="n">
        <v>0.000403182</v>
      </c>
      <c r="H15" s="38" t="n">
        <f aca="false">5_위험도!J15</f>
        <v>0.000403182</v>
      </c>
      <c r="I15" s="45" t="n">
        <f aca="false">IF(MAX(ABS(G15),ABS(H15))=0,0,ABS(G15-H15)/MAX(ABS(G15),ABS(H15)))</f>
        <v>0</v>
      </c>
      <c r="J15" s="19" t="n">
        <v>0</v>
      </c>
      <c r="K15" s="38" t="n">
        <f aca="false">5_위험도!N15</f>
        <v>0</v>
      </c>
      <c r="L15" s="45" t="n">
        <f aca="false">IF(MAX(ABS(J15),ABS(K15))=0,0,ABS(J15-K15)/MAX(ABS(J15),ABS(K15)))</f>
        <v>0</v>
      </c>
    </row>
    <row r="16" customFormat="false" ht="15" hidden="false" customHeight="false" outlineLevel="0" collapsed="false">
      <c r="A16" s="14" t="s">
        <v>306</v>
      </c>
      <c r="B16" s="14" t="s">
        <v>316</v>
      </c>
      <c r="C16" s="24" t="s">
        <v>315</v>
      </c>
      <c r="D16" s="19" t="n">
        <v>0.00010424628</v>
      </c>
      <c r="E16" s="38" t="n">
        <f aca="false">5_위험도!I16</f>
        <v>0.00010424628</v>
      </c>
      <c r="F16" s="45" t="n">
        <f aca="false">IF(MAX(ABS(D16),ABS(E16))=0,0,ABS(D16-E16)/MAX(ABS(D16),ABS(E16)))</f>
        <v>0</v>
      </c>
      <c r="G16" s="19" t="n">
        <v>0.0005212314</v>
      </c>
      <c r="H16" s="38" t="n">
        <f aca="false">5_위험도!J16</f>
        <v>0.0005212314</v>
      </c>
      <c r="I16" s="45" t="n">
        <f aca="false">IF(MAX(ABS(G16),ABS(H16))=0,0,ABS(G16-H16)/MAX(ABS(G16),ABS(H16)))</f>
        <v>0</v>
      </c>
      <c r="J16" s="19" t="n">
        <v>1.91484E-005</v>
      </c>
      <c r="K16" s="38" t="n">
        <f aca="false">5_위험도!N16</f>
        <v>1.91484E-005</v>
      </c>
      <c r="L16" s="45" t="n">
        <f aca="false">IF(MAX(ABS(J16),ABS(K16))=0,0,ABS(J16-K16)/MAX(ABS(J16),ABS(K16)))</f>
        <v>0</v>
      </c>
    </row>
    <row r="17" customFormat="false" ht="15" hidden="false" customHeight="false" outlineLevel="0" collapsed="false">
      <c r="A17" s="14" t="s">
        <v>317</v>
      </c>
      <c r="B17" s="14" t="s">
        <v>307</v>
      </c>
      <c r="C17" s="2" t="s">
        <v>308</v>
      </c>
      <c r="D17" s="19" t="n">
        <v>0.0001764</v>
      </c>
      <c r="E17" s="38" t="n">
        <f aca="false">5_위험도!I17</f>
        <v>0.0001764</v>
      </c>
      <c r="F17" s="45" t="n">
        <f aca="false">IF(MAX(ABS(D17),ABS(E17))=0,0,ABS(D17-E17)/MAX(ABS(D17),ABS(E17)))</f>
        <v>0</v>
      </c>
      <c r="G17" s="19" t="n">
        <v>0.0008819999999999</v>
      </c>
      <c r="H17" s="38" t="n">
        <f aca="false">5_위험도!J17</f>
        <v>0.000882</v>
      </c>
      <c r="I17" s="45" t="n">
        <f aca="false">IF(MAX(ABS(G17),ABS(H17))=0,0,ABS(G17-H17)/MAX(ABS(G17),ABS(H17)))</f>
        <v>1.13214308487432E-013</v>
      </c>
      <c r="J17" s="19" t="n">
        <v>0</v>
      </c>
      <c r="K17" s="38" t="n">
        <f aca="false">5_위험도!N17</f>
        <v>0</v>
      </c>
      <c r="L17" s="45" t="n">
        <f aca="false">IF(MAX(ABS(J17),ABS(K17))=0,0,ABS(J17-K17)/MAX(ABS(J17),ABS(K17)))</f>
        <v>0</v>
      </c>
    </row>
    <row r="18" customFormat="false" ht="15" hidden="false" customHeight="false" outlineLevel="0" collapsed="false">
      <c r="A18" s="14" t="s">
        <v>317</v>
      </c>
      <c r="B18" s="14" t="s">
        <v>307</v>
      </c>
      <c r="C18" s="24" t="s">
        <v>311</v>
      </c>
      <c r="D18" s="19" t="n">
        <v>0.00113616</v>
      </c>
      <c r="E18" s="38" t="n">
        <f aca="false">5_위험도!I18</f>
        <v>0.00113616</v>
      </c>
      <c r="F18" s="45" t="n">
        <f aca="false">IF(MAX(ABS(D18),ABS(E18))=0,0,ABS(D18-E18)/MAX(ABS(D18),ABS(E18)))</f>
        <v>0</v>
      </c>
      <c r="G18" s="19" t="n">
        <v>0.0056808</v>
      </c>
      <c r="H18" s="38" t="n">
        <f aca="false">5_위험도!J18</f>
        <v>0.0056808</v>
      </c>
      <c r="I18" s="45" t="n">
        <f aca="false">IF(MAX(ABS(G18),ABS(H18))=0,0,ABS(G18-H18)/MAX(ABS(G18),ABS(H18)))</f>
        <v>0</v>
      </c>
      <c r="J18" s="19" t="n">
        <v>0</v>
      </c>
      <c r="K18" s="38" t="n">
        <f aca="false">5_위험도!N18</f>
        <v>0</v>
      </c>
      <c r="L18" s="45" t="n">
        <f aca="false">IF(MAX(ABS(J18),ABS(K18))=0,0,ABS(J18-K18)/MAX(ABS(J18),ABS(K18)))</f>
        <v>0</v>
      </c>
    </row>
    <row r="19" customFormat="false" ht="15" hidden="false" customHeight="false" outlineLevel="0" collapsed="false">
      <c r="A19" s="14" t="s">
        <v>317</v>
      </c>
      <c r="B19" s="14" t="s">
        <v>307</v>
      </c>
      <c r="C19" s="24" t="s">
        <v>312</v>
      </c>
      <c r="D19" s="19" t="n">
        <v>0.0155156399999999</v>
      </c>
      <c r="E19" s="38" t="n">
        <f aca="false">5_위험도!I19</f>
        <v>0.01551564</v>
      </c>
      <c r="F19" s="45" t="n">
        <f aca="false">IF(MAX(ABS(D19),ABS(E19))=0,0,ABS(D19-E19)/MAX(ABS(D19),ABS(E19)))</f>
        <v>6.26107042021478E-015</v>
      </c>
      <c r="G19" s="19" t="n">
        <v>0.0775781999999999</v>
      </c>
      <c r="H19" s="38" t="n">
        <f aca="false">5_위험도!J19</f>
        <v>0.0775782</v>
      </c>
      <c r="I19" s="45" t="n">
        <f aca="false">IF(MAX(ABS(G19),ABS(H19))=0,0,ABS(G19-H19)/MAX(ABS(G19),ABS(H19)))</f>
        <v>0</v>
      </c>
      <c r="J19" s="19" t="n">
        <v>0.0015228</v>
      </c>
      <c r="K19" s="38" t="n">
        <f aca="false">5_위험도!N19</f>
        <v>0.0015228</v>
      </c>
      <c r="L19" s="45" t="n">
        <f aca="false">IF(MAX(ABS(J19),ABS(K19))=0,0,ABS(J19-K19)/MAX(ABS(J19),ABS(K19)))</f>
        <v>0</v>
      </c>
    </row>
    <row r="20" customFormat="false" ht="15" hidden="false" customHeight="false" outlineLevel="0" collapsed="false">
      <c r="A20" s="14" t="s">
        <v>317</v>
      </c>
      <c r="B20" s="14" t="s">
        <v>307</v>
      </c>
      <c r="C20" s="24" t="s">
        <v>313</v>
      </c>
      <c r="D20" s="19" t="n">
        <v>0.00161604</v>
      </c>
      <c r="E20" s="38" t="n">
        <f aca="false">5_위험도!I20</f>
        <v>0.00161604</v>
      </c>
      <c r="F20" s="45" t="n">
        <f aca="false">IF(MAX(ABS(D20),ABS(E20))=0,0,ABS(D20-E20)/MAX(ABS(D20),ABS(E20)))</f>
        <v>0</v>
      </c>
      <c r="G20" s="19" t="n">
        <v>0.0080802</v>
      </c>
      <c r="H20" s="38" t="n">
        <f aca="false">5_위험도!J20</f>
        <v>0.0080802</v>
      </c>
      <c r="I20" s="45" t="n">
        <f aca="false">IF(MAX(ABS(G20),ABS(H20))=0,0,ABS(G20-H20)/MAX(ABS(G20),ABS(H20)))</f>
        <v>0</v>
      </c>
      <c r="J20" s="19" t="n">
        <v>0</v>
      </c>
      <c r="K20" s="38" t="n">
        <f aca="false">5_위험도!N20</f>
        <v>0</v>
      </c>
      <c r="L20" s="45" t="n">
        <f aca="false">IF(MAX(ABS(J20),ABS(K20))=0,0,ABS(J20-K20)/MAX(ABS(J20),ABS(K20)))</f>
        <v>0</v>
      </c>
    </row>
    <row r="21" customFormat="false" ht="15" hidden="false" customHeight="false" outlineLevel="0" collapsed="false">
      <c r="A21" s="14" t="s">
        <v>317</v>
      </c>
      <c r="B21" s="14" t="s">
        <v>307</v>
      </c>
      <c r="C21" s="24" t="s">
        <v>314</v>
      </c>
      <c r="D21" s="19" t="n">
        <v>0.00161604</v>
      </c>
      <c r="E21" s="38" t="n">
        <f aca="false">5_위험도!I21</f>
        <v>0.00161604</v>
      </c>
      <c r="F21" s="45" t="n">
        <f aca="false">IF(MAX(ABS(D21),ABS(E21))=0,0,ABS(D21-E21)/MAX(ABS(D21),ABS(E21)))</f>
        <v>0</v>
      </c>
      <c r="G21" s="19" t="n">
        <v>0.0080802</v>
      </c>
      <c r="H21" s="38" t="n">
        <f aca="false">5_위험도!J21</f>
        <v>0.0080802</v>
      </c>
      <c r="I21" s="45" t="n">
        <f aca="false">IF(MAX(ABS(G21),ABS(H21))=0,0,ABS(G21-H21)/MAX(ABS(G21),ABS(H21)))</f>
        <v>0</v>
      </c>
      <c r="J21" s="19" t="n">
        <v>0</v>
      </c>
      <c r="K21" s="38" t="n">
        <f aca="false">5_위험도!N21</f>
        <v>0</v>
      </c>
      <c r="L21" s="45" t="n">
        <f aca="false">IF(MAX(ABS(J21),ABS(K21))=0,0,ABS(J21-K21)/MAX(ABS(J21),ABS(K21)))</f>
        <v>0</v>
      </c>
    </row>
    <row r="22" customFormat="false" ht="15" hidden="false" customHeight="false" outlineLevel="0" collapsed="false">
      <c r="A22" s="14" t="s">
        <v>317</v>
      </c>
      <c r="B22" s="14" t="s">
        <v>307</v>
      </c>
      <c r="C22" s="24" t="s">
        <v>315</v>
      </c>
      <c r="D22" s="19" t="n">
        <v>0.00445104</v>
      </c>
      <c r="E22" s="38" t="n">
        <f aca="false">5_위험도!I22</f>
        <v>0.00445104</v>
      </c>
      <c r="F22" s="45" t="n">
        <f aca="false">IF(MAX(ABS(D22),ABS(E22))=0,0,ABS(D22-E22)/MAX(ABS(D22),ABS(E22)))</f>
        <v>0</v>
      </c>
      <c r="G22" s="19" t="n">
        <v>0.0222552</v>
      </c>
      <c r="H22" s="38" t="n">
        <f aca="false">5_위험도!J22</f>
        <v>0.0222552</v>
      </c>
      <c r="I22" s="45" t="n">
        <f aca="false">IF(MAX(ABS(G22),ABS(H22))=0,0,ABS(G22-H22)/MAX(ABS(G22),ABS(H22)))</f>
        <v>0</v>
      </c>
      <c r="J22" s="19" t="n">
        <v>0.0015228</v>
      </c>
      <c r="K22" s="38" t="n">
        <f aca="false">5_위험도!N22</f>
        <v>0.0015228</v>
      </c>
      <c r="L22" s="45" t="n">
        <f aca="false">IF(MAX(ABS(J22),ABS(K22))=0,0,ABS(J22-K22)/MAX(ABS(J22),ABS(K22)))</f>
        <v>0</v>
      </c>
    </row>
    <row r="23" customFormat="false" ht="15" hidden="false" customHeight="false" outlineLevel="0" collapsed="false">
      <c r="A23" s="14" t="s">
        <v>317</v>
      </c>
      <c r="B23" s="14" t="s">
        <v>316</v>
      </c>
      <c r="C23" s="2" t="s">
        <v>308</v>
      </c>
      <c r="D23" s="19" t="n">
        <v>0.0001764</v>
      </c>
      <c r="E23" s="38" t="n">
        <f aca="false">5_위험도!I23</f>
        <v>0.0001764</v>
      </c>
      <c r="F23" s="45" t="n">
        <f aca="false">IF(MAX(ABS(D23),ABS(E23))=0,0,ABS(D23-E23)/MAX(ABS(D23),ABS(E23)))</f>
        <v>0</v>
      </c>
      <c r="G23" s="19" t="n">
        <v>0.0008819999999999</v>
      </c>
      <c r="H23" s="38" t="n">
        <f aca="false">5_위험도!J23</f>
        <v>0.000882</v>
      </c>
      <c r="I23" s="45" t="n">
        <f aca="false">IF(MAX(ABS(G23),ABS(H23))=0,0,ABS(G23-H23)/MAX(ABS(G23),ABS(H23)))</f>
        <v>1.13214308487432E-013</v>
      </c>
      <c r="J23" s="19" t="n">
        <v>0</v>
      </c>
      <c r="K23" s="38" t="n">
        <f aca="false">5_위험도!N23</f>
        <v>0</v>
      </c>
      <c r="L23" s="45" t="n">
        <f aca="false">IF(MAX(ABS(J23),ABS(K23))=0,0,ABS(J23-K23)/MAX(ABS(J23),ABS(K23)))</f>
        <v>0</v>
      </c>
    </row>
    <row r="24" customFormat="false" ht="15" hidden="false" customHeight="false" outlineLevel="0" collapsed="false">
      <c r="A24" s="14" t="s">
        <v>317</v>
      </c>
      <c r="B24" s="14" t="s">
        <v>316</v>
      </c>
      <c r="C24" s="24" t="s">
        <v>311</v>
      </c>
      <c r="D24" s="19" t="n">
        <v>0.0002723759999999</v>
      </c>
      <c r="E24" s="38" t="n">
        <f aca="false">5_위험도!I24</f>
        <v>0.000272376</v>
      </c>
      <c r="F24" s="45" t="n">
        <f aca="false">IF(MAX(ABS(D24),ABS(E24))=0,0,ABS(D24-E24)/MAX(ABS(D24),ABS(E24)))</f>
        <v>3.67005317293607E-013</v>
      </c>
      <c r="G24" s="19" t="n">
        <v>0.0013618799999999</v>
      </c>
      <c r="H24" s="38" t="n">
        <f aca="false">5_위험도!J24</f>
        <v>0.00136188</v>
      </c>
      <c r="I24" s="45" t="n">
        <f aca="false">IF(MAX(ABS(G24),ABS(H24))=0,0,ABS(G24-H24)/MAX(ABS(G24),ABS(H24)))</f>
        <v>7.32418420629324E-014</v>
      </c>
      <c r="J24" s="19" t="n">
        <v>0</v>
      </c>
      <c r="K24" s="38" t="n">
        <f aca="false">5_위험도!N24</f>
        <v>0</v>
      </c>
      <c r="L24" s="45" t="n">
        <f aca="false">IF(MAX(ABS(J24),ABS(K24))=0,0,ABS(J24-K24)/MAX(ABS(J24),ABS(K24)))</f>
        <v>0</v>
      </c>
    </row>
    <row r="25" customFormat="false" ht="15" hidden="false" customHeight="false" outlineLevel="0" collapsed="false">
      <c r="A25" s="14" t="s">
        <v>317</v>
      </c>
      <c r="B25" s="14" t="s">
        <v>316</v>
      </c>
      <c r="C25" s="24" t="s">
        <v>312</v>
      </c>
      <c r="D25" s="19" t="n">
        <v>0.0155156399999999</v>
      </c>
      <c r="E25" s="38" t="n">
        <f aca="false">5_위험도!I25</f>
        <v>0.01551564</v>
      </c>
      <c r="F25" s="45" t="n">
        <f aca="false">IF(MAX(ABS(D25),ABS(E25))=0,0,ABS(D25-E25)/MAX(ABS(D25),ABS(E25)))</f>
        <v>6.26107042021478E-015</v>
      </c>
      <c r="G25" s="19" t="n">
        <v>0.0775781999999999</v>
      </c>
      <c r="H25" s="38" t="n">
        <f aca="false">5_위험도!J25</f>
        <v>0.0775782</v>
      </c>
      <c r="I25" s="45" t="n">
        <f aca="false">IF(MAX(ABS(G25),ABS(H25))=0,0,ABS(G25-H25)/MAX(ABS(G25),ABS(H25)))</f>
        <v>0</v>
      </c>
      <c r="J25" s="19" t="n">
        <v>0.0015228</v>
      </c>
      <c r="K25" s="38" t="n">
        <f aca="false">5_위험도!N25</f>
        <v>0.0015228</v>
      </c>
      <c r="L25" s="45" t="n">
        <f aca="false">IF(MAX(ABS(J25),ABS(K25))=0,0,ABS(J25-K25)/MAX(ABS(J25),ABS(K25)))</f>
        <v>0</v>
      </c>
    </row>
    <row r="26" customFormat="false" ht="15" hidden="false" customHeight="false" outlineLevel="0" collapsed="false">
      <c r="A26" s="14" t="s">
        <v>317</v>
      </c>
      <c r="B26" s="14" t="s">
        <v>316</v>
      </c>
      <c r="C26" s="24" t="s">
        <v>313</v>
      </c>
      <c r="D26" s="19" t="n">
        <v>0.000320364</v>
      </c>
      <c r="E26" s="38" t="n">
        <f aca="false">5_위험도!I26</f>
        <v>0.000320364</v>
      </c>
      <c r="F26" s="45" t="n">
        <f aca="false">IF(MAX(ABS(D26),ABS(E26))=0,0,ABS(D26-E26)/MAX(ABS(D26),ABS(E26)))</f>
        <v>0</v>
      </c>
      <c r="G26" s="19" t="n">
        <v>0.00160182</v>
      </c>
      <c r="H26" s="38" t="n">
        <f aca="false">5_위험도!J26</f>
        <v>0.00160182</v>
      </c>
      <c r="I26" s="45" t="n">
        <f aca="false">IF(MAX(ABS(G26),ABS(H26))=0,0,ABS(G26-H26)/MAX(ABS(G26),ABS(H26)))</f>
        <v>0</v>
      </c>
      <c r="J26" s="19" t="n">
        <v>0</v>
      </c>
      <c r="K26" s="38" t="n">
        <f aca="false">5_위험도!N26</f>
        <v>0</v>
      </c>
      <c r="L26" s="45" t="n">
        <f aca="false">IF(MAX(ABS(J26),ABS(K26))=0,0,ABS(J26-K26)/MAX(ABS(J26),ABS(K26)))</f>
        <v>0</v>
      </c>
    </row>
    <row r="27" customFormat="false" ht="15" hidden="false" customHeight="false" outlineLevel="0" collapsed="false">
      <c r="A27" s="14" t="s">
        <v>317</v>
      </c>
      <c r="B27" s="14" t="s">
        <v>316</v>
      </c>
      <c r="C27" s="24" t="s">
        <v>314</v>
      </c>
      <c r="D27" s="19" t="n">
        <v>0.0003203639999999</v>
      </c>
      <c r="E27" s="38" t="n">
        <f aca="false">5_위험도!I27</f>
        <v>0.000320364</v>
      </c>
      <c r="F27" s="45" t="n">
        <f aca="false">IF(MAX(ABS(D27),ABS(E27))=0,0,ABS(D27-E27)/MAX(ABS(D27),ABS(E27)))</f>
        <v>3.12200030002709E-013</v>
      </c>
      <c r="G27" s="19" t="n">
        <v>0.00160182</v>
      </c>
      <c r="H27" s="38" t="n">
        <f aca="false">5_위험도!J27</f>
        <v>0.00160182</v>
      </c>
      <c r="I27" s="45" t="n">
        <f aca="false">IF(MAX(ABS(G27),ABS(H27))=0,0,ABS(G27-H27)/MAX(ABS(G27),ABS(H27)))</f>
        <v>0</v>
      </c>
      <c r="J27" s="19" t="n">
        <v>0</v>
      </c>
      <c r="K27" s="38" t="n">
        <f aca="false">5_위험도!N27</f>
        <v>0</v>
      </c>
      <c r="L27" s="45" t="n">
        <f aca="false">IF(MAX(ABS(J27),ABS(K27))=0,0,ABS(J27-K27)/MAX(ABS(J27),ABS(K27)))</f>
        <v>0</v>
      </c>
    </row>
    <row r="28" customFormat="false" ht="15" hidden="false" customHeight="false" outlineLevel="0" collapsed="false">
      <c r="A28" s="14" t="s">
        <v>317</v>
      </c>
      <c r="B28" s="14" t="s">
        <v>316</v>
      </c>
      <c r="C28" s="24" t="s">
        <v>315</v>
      </c>
      <c r="D28" s="19" t="n">
        <v>0.0003778578</v>
      </c>
      <c r="E28" s="38" t="n">
        <f aca="false">5_위험도!I28</f>
        <v>0.0003778578</v>
      </c>
      <c r="F28" s="45" t="n">
        <f aca="false">IF(MAX(ABS(D28),ABS(E28))=0,0,ABS(D28-E28)/MAX(ABS(D28),ABS(E28)))</f>
        <v>0</v>
      </c>
      <c r="G28" s="19" t="n">
        <v>0.0018892889999999</v>
      </c>
      <c r="H28" s="38" t="n">
        <f aca="false">5_위험도!J28</f>
        <v>0.001889289</v>
      </c>
      <c r="I28" s="45" t="n">
        <f aca="false">IF(MAX(ABS(G28),ABS(H28))=0,0,ABS(G28-H28)/MAX(ABS(G28),ABS(H28)))</f>
        <v>5.27958400587027E-014</v>
      </c>
      <c r="J28" s="19" t="n">
        <v>4.5684E-005</v>
      </c>
      <c r="K28" s="38" t="n">
        <f aca="false">5_위험도!N28</f>
        <v>4.5684E-005</v>
      </c>
      <c r="L28" s="45" t="n">
        <f aca="false">IF(MAX(ABS(J28),ABS(K28))=0,0,ABS(J28-K28)/MAX(ABS(J28),ABS(K28)))</f>
        <v>0</v>
      </c>
    </row>
    <row r="30" customFormat="false" ht="15" hidden="false" customHeight="false" outlineLevel="0" collapsed="false">
      <c r="C30" s="2" t="s">
        <v>397</v>
      </c>
      <c r="D30" s="46" t="n">
        <f aca="false">MAX(F5:F28,I5:I28,L5:L28)</f>
        <v>3.67005317293607E-013</v>
      </c>
      <c r="E30" s="42" t="str">
        <f aca="false">IF(D30&lt;0.000000001,"일치","불일치 — 입력 확인")</f>
        <v>일치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9.4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3" t="s">
        <v>399</v>
      </c>
    </row>
    <row r="4" customFormat="false" ht="15" hidden="false" customHeight="false" outlineLevel="0" collapsed="false">
      <c r="A4" s="6" t="s">
        <v>400</v>
      </c>
      <c r="B4" s="6" t="s">
        <v>401</v>
      </c>
      <c r="C4" s="6" t="s">
        <v>402</v>
      </c>
      <c r="D4" s="6" t="s">
        <v>403</v>
      </c>
      <c r="E4" s="6" t="s">
        <v>404</v>
      </c>
      <c r="F4" s="6" t="s">
        <v>405</v>
      </c>
    </row>
    <row r="5" customFormat="false" ht="15" hidden="false" customHeight="false" outlineLevel="0" collapsed="false">
      <c r="A5" s="2" t="s">
        <v>406</v>
      </c>
      <c r="B5" s="14" t="s">
        <v>407</v>
      </c>
      <c r="C5" s="4" t="s">
        <v>408</v>
      </c>
      <c r="D5" s="4" t="s">
        <v>409</v>
      </c>
      <c r="E5" s="47" t="s">
        <v>410</v>
      </c>
      <c r="F5" s="48"/>
    </row>
    <row r="6" customFormat="false" ht="26.85" hidden="false" customHeight="false" outlineLevel="0" collapsed="false">
      <c r="A6" s="2" t="s">
        <v>406</v>
      </c>
      <c r="B6" s="14" t="s">
        <v>411</v>
      </c>
      <c r="C6" s="4" t="s">
        <v>412</v>
      </c>
      <c r="D6" s="4" t="s">
        <v>413</v>
      </c>
      <c r="E6" s="47" t="s">
        <v>410</v>
      </c>
      <c r="F6" s="48"/>
    </row>
    <row r="7" customFormat="false" ht="15" hidden="false" customHeight="false" outlineLevel="0" collapsed="false">
      <c r="A7" s="2" t="s">
        <v>406</v>
      </c>
      <c r="B7" s="14" t="s">
        <v>414</v>
      </c>
      <c r="C7" s="4" t="s">
        <v>415</v>
      </c>
      <c r="D7" s="4" t="s">
        <v>416</v>
      </c>
      <c r="E7" s="47" t="s">
        <v>410</v>
      </c>
      <c r="F7" s="48"/>
    </row>
    <row r="8" customFormat="false" ht="15" hidden="false" customHeight="false" outlineLevel="0" collapsed="false">
      <c r="A8" s="2" t="s">
        <v>406</v>
      </c>
      <c r="B8" s="14" t="s">
        <v>417</v>
      </c>
      <c r="C8" s="4" t="s">
        <v>418</v>
      </c>
      <c r="D8" s="3" t="s">
        <v>419</v>
      </c>
      <c r="E8" s="47" t="s">
        <v>410</v>
      </c>
      <c r="F8" s="48"/>
    </row>
    <row r="9" customFormat="false" ht="15" hidden="false" customHeight="false" outlineLevel="0" collapsed="false">
      <c r="A9" s="2" t="s">
        <v>406</v>
      </c>
      <c r="B9" s="14" t="s">
        <v>420</v>
      </c>
      <c r="C9" s="4" t="s">
        <v>421</v>
      </c>
      <c r="D9" s="4" t="s">
        <v>422</v>
      </c>
      <c r="E9" s="47" t="s">
        <v>410</v>
      </c>
      <c r="F9" s="48"/>
    </row>
    <row r="10" customFormat="false" ht="15" hidden="false" customHeight="false" outlineLevel="0" collapsed="false">
      <c r="A10" s="2" t="s">
        <v>406</v>
      </c>
      <c r="B10" s="14" t="s">
        <v>423</v>
      </c>
      <c r="C10" s="4" t="s">
        <v>424</v>
      </c>
      <c r="D10" s="3" t="s">
        <v>425</v>
      </c>
      <c r="E10" s="47" t="s">
        <v>410</v>
      </c>
      <c r="F10" s="48"/>
    </row>
    <row r="11" customFormat="false" ht="15" hidden="false" customHeight="false" outlineLevel="0" collapsed="false">
      <c r="A11" s="2" t="s">
        <v>406</v>
      </c>
      <c r="B11" s="14" t="s">
        <v>426</v>
      </c>
      <c r="C11" s="4" t="s">
        <v>427</v>
      </c>
      <c r="D11" s="4" t="s">
        <v>428</v>
      </c>
      <c r="E11" s="47" t="s">
        <v>410</v>
      </c>
      <c r="F11" s="48"/>
    </row>
    <row r="12" customFormat="false" ht="15" hidden="false" customHeight="false" outlineLevel="0" collapsed="false">
      <c r="A12" s="2" t="s">
        <v>406</v>
      </c>
      <c r="B12" s="14" t="s">
        <v>429</v>
      </c>
      <c r="C12" s="4" t="s">
        <v>430</v>
      </c>
      <c r="D12" s="3" t="s">
        <v>431</v>
      </c>
      <c r="E12" s="47" t="s">
        <v>410</v>
      </c>
      <c r="F12" s="48"/>
    </row>
    <row r="13" customFormat="false" ht="15" hidden="false" customHeight="false" outlineLevel="0" collapsed="false">
      <c r="A13" s="2" t="s">
        <v>432</v>
      </c>
      <c r="B13" s="14" t="s">
        <v>433</v>
      </c>
      <c r="C13" s="4" t="s">
        <v>434</v>
      </c>
      <c r="D13" s="3" t="s">
        <v>435</v>
      </c>
      <c r="E13" s="47" t="s">
        <v>410</v>
      </c>
      <c r="F13" s="48"/>
    </row>
    <row r="14" customFormat="false" ht="15" hidden="false" customHeight="false" outlineLevel="0" collapsed="false">
      <c r="A14" s="2" t="s">
        <v>432</v>
      </c>
      <c r="B14" s="14" t="s">
        <v>436</v>
      </c>
      <c r="C14" s="4" t="s">
        <v>437</v>
      </c>
      <c r="D14" s="3" t="s">
        <v>438</v>
      </c>
      <c r="E14" s="47" t="s">
        <v>410</v>
      </c>
      <c r="F14" s="48"/>
    </row>
    <row r="15" customFormat="false" ht="15" hidden="false" customHeight="false" outlineLevel="0" collapsed="false">
      <c r="A15" s="2" t="s">
        <v>432</v>
      </c>
      <c r="B15" s="14" t="s">
        <v>439</v>
      </c>
      <c r="C15" s="4" t="s">
        <v>440</v>
      </c>
      <c r="D15" s="3" t="s">
        <v>441</v>
      </c>
      <c r="E15" s="47" t="s">
        <v>410</v>
      </c>
      <c r="F15" s="48"/>
    </row>
    <row r="16" customFormat="false" ht="15" hidden="false" customHeight="false" outlineLevel="0" collapsed="false">
      <c r="A16" s="2" t="s">
        <v>432</v>
      </c>
      <c r="B16" s="14" t="s">
        <v>442</v>
      </c>
      <c r="C16" s="4" t="s">
        <v>443</v>
      </c>
      <c r="D16" s="3" t="s">
        <v>444</v>
      </c>
      <c r="E16" s="47" t="s">
        <v>410</v>
      </c>
      <c r="F16" s="48"/>
    </row>
    <row r="17" customFormat="false" ht="15" hidden="false" customHeight="false" outlineLevel="0" collapsed="false">
      <c r="A17" s="2" t="s">
        <v>432</v>
      </c>
      <c r="B17" s="14" t="s">
        <v>445</v>
      </c>
      <c r="C17" s="4" t="s">
        <v>446</v>
      </c>
      <c r="D17" s="3" t="s">
        <v>447</v>
      </c>
      <c r="E17" s="47" t="s">
        <v>410</v>
      </c>
      <c r="F17" s="48"/>
    </row>
    <row r="18" customFormat="false" ht="15" hidden="false" customHeight="false" outlineLevel="0" collapsed="false">
      <c r="A18" s="2" t="s">
        <v>432</v>
      </c>
      <c r="B18" s="14" t="s">
        <v>448</v>
      </c>
      <c r="C18" s="4" t="s">
        <v>449</v>
      </c>
      <c r="D18" s="4" t="s">
        <v>450</v>
      </c>
      <c r="E18" s="47" t="s">
        <v>410</v>
      </c>
      <c r="F18" s="48"/>
    </row>
    <row r="19" customFormat="false" ht="15" hidden="false" customHeight="false" outlineLevel="0" collapsed="false">
      <c r="A19" s="2" t="s">
        <v>432</v>
      </c>
      <c r="B19" s="14" t="s">
        <v>451</v>
      </c>
      <c r="C19" s="4" t="s">
        <v>452</v>
      </c>
      <c r="D19" s="3" t="s">
        <v>453</v>
      </c>
      <c r="E19" s="47" t="s">
        <v>410</v>
      </c>
      <c r="F19" s="48"/>
    </row>
    <row r="20" customFormat="false" ht="15" hidden="false" customHeight="false" outlineLevel="0" collapsed="false">
      <c r="A20" s="2" t="s">
        <v>432</v>
      </c>
      <c r="B20" s="14" t="s">
        <v>454</v>
      </c>
      <c r="C20" s="4" t="s">
        <v>455</v>
      </c>
      <c r="D20" s="4" t="s">
        <v>456</v>
      </c>
      <c r="E20" s="47" t="s">
        <v>410</v>
      </c>
      <c r="F20" s="48"/>
    </row>
    <row r="21" customFormat="false" ht="15" hidden="false" customHeight="false" outlineLevel="0" collapsed="false">
      <c r="A21" s="2" t="s">
        <v>457</v>
      </c>
      <c r="B21" s="14" t="s">
        <v>458</v>
      </c>
      <c r="C21" s="4" t="s">
        <v>459</v>
      </c>
      <c r="D21" s="4" t="s">
        <v>460</v>
      </c>
      <c r="E21" s="47" t="s">
        <v>410</v>
      </c>
      <c r="F21" s="48"/>
    </row>
    <row r="22" customFormat="false" ht="15" hidden="false" customHeight="false" outlineLevel="0" collapsed="false">
      <c r="A22" s="2" t="s">
        <v>457</v>
      </c>
      <c r="B22" s="14" t="s">
        <v>461</v>
      </c>
      <c r="C22" s="4" t="s">
        <v>462</v>
      </c>
      <c r="D22" s="4" t="s">
        <v>460</v>
      </c>
      <c r="E22" s="47" t="s">
        <v>410</v>
      </c>
      <c r="F22" s="48"/>
    </row>
    <row r="23" customFormat="false" ht="15" hidden="false" customHeight="false" outlineLevel="0" collapsed="false">
      <c r="A23" s="2" t="s">
        <v>457</v>
      </c>
      <c r="B23" s="14" t="s">
        <v>463</v>
      </c>
      <c r="C23" s="4" t="s">
        <v>464</v>
      </c>
      <c r="D23" s="4" t="s">
        <v>460</v>
      </c>
      <c r="E23" s="47" t="s">
        <v>410</v>
      </c>
      <c r="F23" s="48"/>
    </row>
    <row r="24" customFormat="false" ht="15" hidden="false" customHeight="false" outlineLevel="0" collapsed="false">
      <c r="A24" s="2" t="s">
        <v>465</v>
      </c>
      <c r="B24" s="14" t="s">
        <v>466</v>
      </c>
      <c r="C24" s="4" t="s">
        <v>467</v>
      </c>
      <c r="D24" s="4" t="s">
        <v>468</v>
      </c>
      <c r="E24" s="47" t="s">
        <v>410</v>
      </c>
      <c r="F24" s="48"/>
    </row>
    <row r="25" customFormat="false" ht="15" hidden="false" customHeight="false" outlineLevel="0" collapsed="false">
      <c r="A25" s="2" t="s">
        <v>465</v>
      </c>
      <c r="B25" s="14" t="s">
        <v>469</v>
      </c>
      <c r="C25" s="4" t="s">
        <v>470</v>
      </c>
      <c r="D25" s="4" t="s">
        <v>468</v>
      </c>
      <c r="E25" s="47" t="s">
        <v>410</v>
      </c>
      <c r="F25" s="48"/>
    </row>
    <row r="26" customFormat="false" ht="15" hidden="false" customHeight="false" outlineLevel="0" collapsed="false">
      <c r="A26" s="2" t="s">
        <v>465</v>
      </c>
      <c r="B26" s="14" t="s">
        <v>471</v>
      </c>
      <c r="C26" s="4" t="s">
        <v>472</v>
      </c>
      <c r="D26" s="4" t="s">
        <v>428</v>
      </c>
      <c r="E26" s="47" t="s">
        <v>410</v>
      </c>
      <c r="F26" s="48"/>
    </row>
    <row r="27" customFormat="false" ht="15" hidden="false" customHeight="false" outlineLevel="0" collapsed="false">
      <c r="A27" s="2" t="s">
        <v>465</v>
      </c>
      <c r="B27" s="14" t="s">
        <v>473</v>
      </c>
      <c r="C27" s="4" t="s">
        <v>474</v>
      </c>
      <c r="D27" s="4" t="s">
        <v>450</v>
      </c>
      <c r="E27" s="47" t="s">
        <v>410</v>
      </c>
      <c r="F27" s="48"/>
    </row>
    <row r="28" customFormat="false" ht="15" hidden="false" customHeight="false" outlineLevel="0" collapsed="false">
      <c r="A28" s="2" t="s">
        <v>465</v>
      </c>
      <c r="B28" s="14" t="s">
        <v>475</v>
      </c>
      <c r="C28" s="4" t="s">
        <v>476</v>
      </c>
      <c r="D28" s="3" t="s">
        <v>453</v>
      </c>
      <c r="E28" s="47" t="s">
        <v>410</v>
      </c>
      <c r="F28" s="48"/>
    </row>
    <row r="29" customFormat="false" ht="15" hidden="false" customHeight="false" outlineLevel="0" collapsed="false">
      <c r="A29" s="2" t="s">
        <v>465</v>
      </c>
      <c r="B29" s="14" t="s">
        <v>477</v>
      </c>
      <c r="C29" s="4" t="s">
        <v>478</v>
      </c>
      <c r="D29" s="4" t="s">
        <v>479</v>
      </c>
      <c r="E29" s="47" t="s">
        <v>410</v>
      </c>
      <c r="F29" s="48"/>
    </row>
    <row r="30" customFormat="false" ht="15" hidden="false" customHeight="false" outlineLevel="0" collapsed="false">
      <c r="A30" s="2" t="s">
        <v>465</v>
      </c>
      <c r="B30" s="14" t="s">
        <v>480</v>
      </c>
      <c r="C30" s="4" t="s">
        <v>481</v>
      </c>
      <c r="D30" s="4" t="s">
        <v>460</v>
      </c>
      <c r="E30" s="47" t="s">
        <v>410</v>
      </c>
      <c r="F30" s="48"/>
    </row>
    <row r="31" customFormat="false" ht="15" hidden="false" customHeight="false" outlineLevel="0" collapsed="false">
      <c r="A31" s="2" t="s">
        <v>465</v>
      </c>
      <c r="B31" s="14" t="s">
        <v>482</v>
      </c>
      <c r="C31" s="4" t="s">
        <v>483</v>
      </c>
      <c r="D31" s="4" t="s">
        <v>460</v>
      </c>
      <c r="E31" s="47" t="s">
        <v>410</v>
      </c>
      <c r="F31" s="48"/>
    </row>
    <row r="32" customFormat="false" ht="15" hidden="false" customHeight="false" outlineLevel="0" collapsed="false">
      <c r="A32" s="2" t="s">
        <v>465</v>
      </c>
      <c r="B32" s="14" t="s">
        <v>484</v>
      </c>
      <c r="C32" s="4" t="s">
        <v>485</v>
      </c>
      <c r="D32" s="4" t="s">
        <v>460</v>
      </c>
      <c r="E32" s="47" t="s">
        <v>410</v>
      </c>
      <c r="F32" s="48"/>
    </row>
    <row r="34" customFormat="false" ht="15" hidden="false" customHeight="false" outlineLevel="0" collapsed="false">
      <c r="C34" s="2" t="s">
        <v>486</v>
      </c>
      <c r="D34" s="49" t="str">
        <f aca="false">COUNTIF(E5:E32,"완료")&amp;" / "&amp;COUNTA(C5:C32)</f>
        <v>0 / 28</v>
      </c>
    </row>
  </sheetData>
  <dataValidations count="1">
    <dataValidation allowBlank="true" errorStyle="stop" operator="between" showDropDown="false" showErrorMessage="false" showInputMessage="false" sqref="E5:E32" type="list">
      <formula1>"완료,작성 중,미작성,해당 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2026-10-23T06:32:18Z</dcterms:created>
  <dc:creator>openpyxl</dc:creator>
  <dc:description/>
  <dc:language>en-US</dc:language>
  <cp:lastModifiedBy/>
  <dcterms:modified xsi:type="dcterms:W3CDTF">2026-10-23T06:32:21Z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