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읽는 법" sheetId="1" state="visible" r:id="rId3"/>
    <sheet name="1_체계" sheetId="2" state="visible" r:id="rId4"/>
    <sheet name="2_L1_콘" sheetId="3" state="visible" r:id="rId5"/>
    <sheet name="3_L1_TGA" sheetId="4" state="visible" r:id="rId6"/>
    <sheet name="4_L1_FT-IR" sheetId="5" state="visible" r:id="rId7"/>
    <sheet name="5_L2_중규모" sheetId="6" state="visible" r:id="rId8"/>
    <sheet name="6_전이함수" sheetId="7" state="visible" r:id="rId9"/>
    <sheet name="7_통합(베이즈)" sheetId="8" state="visible" r:id="rId10"/>
    <sheet name="8_L3_시뮬레이션" sheetId="9" state="visible" r:id="rId11"/>
    <sheet name="9_L3_정보가치" sheetId="10" state="visible" r:id="rId12"/>
    <sheet name="10_위험도결과" sheetId="11" state="visible" r:id="rId13"/>
    <sheet name="11_EFFECT비교" sheetId="12" state="visible" r:id="rId14"/>
    <sheet name="12_시험계획" sheetId="13" state="visible" r:id="rId15"/>
    <sheet name="13_검증" sheetId="14" state="visible" r:id="rId16"/>
  </sheets>
  <definedNames>
    <definedName function="false" hidden="false" name="A_exp" vbProcedure="false">2_L1_콘!$C$5</definedName>
    <definedName function="false" hidden="false" name="crit_conf" vbProcedure="false">6_전이함수!$C$16</definedName>
    <definedName function="false" hidden="false" name="C_sys" vbProcedure="false">6_전이함수!$C$7</definedName>
    <definedName function="false" hidden="false" name="dur_lim" vbProcedure="false">2_L1_콘!$C$8</definedName>
    <definedName function="false" hidden="false" name="f_hi" vbProcedure="false">6_전이함수!$C$10</definedName>
    <definedName function="false" hidden="false" name="f_lo" vbProcedure="false">6_전이함수!$C$9</definedName>
    <definedName function="false" hidden="false" name="f_melt" vbProcedure="false">6_전이함수!$C$12</definedName>
    <definedName function="false" hidden="false" name="h_storey" vbProcedure="false">8_L3_시뮬레이션!$C$7</definedName>
    <definedName function="false" hidden="false" name="k_f" vbProcedure="false">2_L1_콘!$C$6</definedName>
    <definedName function="false" hidden="false" name="l2_B" vbProcedure="false">5_L2_중규모!$Q$5:$Q$17</definedName>
    <definedName function="false" hidden="false" name="l2_ln" vbProcedure="false">5_L2_중규모!$I$5:$I$17</definedName>
    <definedName function="false" hidden="false" name="l2_lnsq" vbProcedure="false">5_L2_중규모!$J$5:$J$17</definedName>
    <definedName function="false" hidden="false" name="l2_mat" vbProcedure="false">5_L2_중규모!$B$5:$B$17</definedName>
    <definedName function="false" hidden="false" name="l2_t600" vbProcedure="false">5_L2_중규모!$H$5:$H$17</definedName>
    <definedName function="false" hidden="false" name="l2_use" vbProcedure="false">5_L2_중규모!$E$5:$E$17</definedName>
    <definedName function="false" hidden="false" name="loo_key" vbProcedure="false">6_전이함수!$A$20:$A$22</definedName>
    <definedName function="false" hidden="false" name="loo_t600" vbProcedure="false">6_전이함수!$E$20:$E$22</definedName>
    <definedName function="false" hidden="false" name="n0" vbProcedure="false">6_전이함수!$C$11</definedName>
    <definedName function="false" hidden="false" name="sd_between" vbProcedure="false">6_전이함수!$C$29</definedName>
    <definedName function="false" hidden="false" name="sigma_rep" vbProcedure="false">6_전이함수!$C$26</definedName>
    <definedName function="false" hidden="false" name="s_hi" vbProcedure="false">6_전이함수!$C$15</definedName>
    <definedName function="false" hidden="false" name="s_lo" vbProcedure="false">6_전이함수!$C$14</definedName>
    <definedName function="false" hidden="false" name="t600_ref_cone" vbProcedure="false">2_L1_콘!$C$9</definedName>
    <definedName function="false" hidden="false" name="tau2_raw" vbProcedure="false">6_전이함수!$C$27</definedName>
    <definedName function="false" hidden="false" name="tau_min" vbProcedure="false">6_전이함수!$C$13</definedName>
    <definedName function="false" hidden="false" name="tau_tga" vbProcedure="false">6_전이함수!$C$28</definedName>
    <definedName function="false" hidden="false" name="tga_key" vbProcedure="false">3_L1_TGA!$A$5:$A$10</definedName>
    <definedName function="false" hidden="false" name="thr_lim" vbProcedure="false">2_L1_콘!$C$7</definedName>
    <definedName function="false" hidden="false" name="tol_peak" vbProcedure="false">8_L3_시뮬레이션!$C$6</definedName>
    <definedName function="false" hidden="false" name="tol_t600" vbProcedure="false">8_L3_시뮬레이션!$C$5</definedName>
    <definedName function="false" hidden="false" name="t_ig_sys" vbProcedure="false">6_전이함수!$C$6</definedName>
    <definedName function="false" hidden="false" name="t_ref" vbProcedure="false">6_전이함수!$C$8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<sst xmlns="http://schemas.openxmlformats.org/spreadsheetml/2006/main" count="1607" uniqueCount="725">
  <si>
    <r>
      <rPr>
        <b val="true"/>
        <sz val="14"/>
        <rFont val="WenQuanYi Zen Hei"/>
        <family val="2"/>
      </rPr>
      <t xml:space="preserve">외벽 화재위험성 다척도 평가 계산서 — 소형시료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콘</t>
    </r>
    <r>
      <rPr>
        <b val="true"/>
        <sz val="14"/>
        <rFont val="Arial"/>
        <family val="0"/>
        <charset val="1"/>
      </rPr>
      <t xml:space="preserve">·TGA–DSC·FT-IR) · </t>
    </r>
    <r>
      <rPr>
        <b val="true"/>
        <sz val="14"/>
        <rFont val="WenQuanYi Zen Hei"/>
        <family val="2"/>
      </rPr>
      <t xml:space="preserve">중규모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시뮬레이션 → 건물 위험도</t>
    </r>
  </si>
  <si>
    <t xml:space="preserve">목적</t>
  </si>
  <si>
    <r>
      <rPr>
        <sz val="10"/>
        <rFont val="WenQuanYi Zen Hei"/>
        <family val="2"/>
      </rPr>
      <t xml:space="preserve">소형시료 시험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중규모 성능시험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시뮬레이션이 각각 화재위험성평가 결과를 내고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같은 단위로 결합되도록 만든 계산서입니다</t>
    </r>
    <r>
      <rPr>
        <sz val="10"/>
        <rFont val="Arial"/>
        <family val="0"/>
        <charset val="1"/>
      </rPr>
      <t xml:space="preserve">. TGA–DSC</t>
    </r>
    <r>
      <rPr>
        <sz val="10"/>
        <rFont val="WenQuanYi Zen Hei"/>
        <family val="2"/>
      </rPr>
      <t xml:space="preserve">는 확산</t>
    </r>
    <r>
      <rPr>
        <sz val="10"/>
        <rFont val="Arial"/>
        <family val="0"/>
        <charset val="1"/>
      </rPr>
      <t xml:space="preserve">(r_max,air)·</t>
    </r>
    <r>
      <rPr>
        <sz val="10"/>
        <rFont val="WenQuanYi Zen Hei"/>
        <family val="2"/>
      </rPr>
      <t xml:space="preserve">지속</t>
    </r>
    <r>
      <rPr>
        <sz val="10"/>
        <rFont val="Arial"/>
        <family val="0"/>
        <charset val="1"/>
      </rPr>
      <t xml:space="preserve">(f400,air)·</t>
    </r>
    <r>
      <rPr>
        <sz val="10"/>
        <rFont val="WenQuanYi Zen Hei"/>
        <family val="2"/>
      </rPr>
      <t xml:space="preserve">급발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용융형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인자로 위험도에 정량 반영됩니다</t>
    </r>
    <r>
      <rPr>
        <sz val="10"/>
        <rFont val="Arial"/>
        <family val="0"/>
        <charset val="1"/>
      </rPr>
      <t xml:space="preserve">.</t>
    </r>
  </si>
  <si>
    <t xml:space="preserve">공통 단위</t>
  </si>
  <si>
    <r>
      <rPr>
        <sz val="10"/>
        <rFont val="WenQuanYi Zen Hei"/>
        <family val="2"/>
      </rPr>
      <t xml:space="preserve">모든 척도의 결과를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중규모 등가값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으로 바꿉니다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층당 확산시간 </t>
    </r>
    <r>
      <rPr>
        <sz val="10"/>
        <rFont val="Arial"/>
        <family val="0"/>
        <charset val="1"/>
      </rPr>
      <t xml:space="preserve">t600(3 m </t>
    </r>
    <r>
      <rPr>
        <sz val="10"/>
        <rFont val="WenQuanYi Zen Hei"/>
        <family val="2"/>
      </rPr>
      <t xml:space="preserve">중공층 시험의 </t>
    </r>
    <r>
      <rPr>
        <sz val="10"/>
        <rFont val="Arial"/>
        <family val="0"/>
        <charset val="1"/>
      </rPr>
      <t xml:space="preserve">3000 mm 600 K </t>
    </r>
    <r>
      <rPr>
        <sz val="10"/>
        <rFont val="WenQuanYi Zen Hei"/>
        <family val="2"/>
      </rPr>
      <t xml:space="preserve">도달시각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과 버너 소화 후 자립 연소 확률 </t>
    </r>
    <r>
      <rPr>
        <sz val="10"/>
        <rFont val="Arial"/>
        <family val="0"/>
        <charset val="1"/>
      </rPr>
      <t xml:space="preserve">p_B. </t>
    </r>
    <r>
      <rPr>
        <sz val="10"/>
        <rFont val="WenQuanYi Zen Hei"/>
        <family val="2"/>
      </rPr>
      <t xml:space="preserve">이 두 값이 건물 위험도 모델</t>
    </r>
    <r>
      <rPr>
        <sz val="10"/>
        <rFont val="Arial"/>
        <family val="0"/>
        <charset val="1"/>
      </rPr>
      <t xml:space="preserve">(facade_fra, NFPA 551 </t>
    </r>
    <r>
      <rPr>
        <sz val="10"/>
        <rFont val="WenQuanYi Zen Hei"/>
        <family val="2"/>
      </rPr>
      <t xml:space="preserve">정량법 </t>
    </r>
    <r>
      <rPr>
        <sz val="10"/>
        <rFont val="Arial"/>
        <family val="0"/>
        <charset val="1"/>
      </rPr>
      <t xml:space="preserve">R = Σ F·C)</t>
    </r>
    <r>
      <rPr>
        <sz val="10"/>
        <rFont val="WenQuanYi Zen Hei"/>
        <family val="2"/>
      </rPr>
      <t xml:space="preserve">의 재료 입력입니다</t>
    </r>
    <r>
      <rPr>
        <sz val="10"/>
        <rFont val="Arial"/>
        <family val="0"/>
        <charset val="1"/>
      </rPr>
      <t xml:space="preserve">.</t>
    </r>
  </si>
  <si>
    <t xml:space="preserve">척도</t>
  </si>
  <si>
    <r>
      <rPr>
        <sz val="10"/>
        <rFont val="Arial"/>
        <family val="0"/>
        <charset val="1"/>
      </rPr>
      <t xml:space="preserve">L1 </t>
    </r>
    <r>
      <rPr>
        <sz val="10"/>
        <rFont val="WenQuanYi Zen Hei"/>
        <family val="2"/>
      </rPr>
      <t xml:space="preserve">소형시료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콘칼로리미터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착화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발열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성장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국내 준불연 판정</t>
    </r>
    <r>
      <rPr>
        <sz val="10"/>
        <rFont val="Arial"/>
        <family val="0"/>
        <charset val="1"/>
      </rPr>
      <t xml:space="preserve">), TGA–DSC(</t>
    </r>
    <r>
      <rPr>
        <sz val="10"/>
        <rFont val="WenQuanYi Zen Hei"/>
        <family val="2"/>
      </rPr>
      <t xml:space="preserve">분해속도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탄화층 산화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용융형</t>
    </r>
    <r>
      <rPr>
        <sz val="10"/>
        <rFont val="Arial"/>
        <family val="0"/>
        <charset val="1"/>
      </rPr>
      <t xml:space="preserve">), FT-IR(</t>
    </r>
    <r>
      <rPr>
        <sz val="10"/>
        <rFont val="WenQuanYi Zen Hei"/>
        <family val="2"/>
      </rPr>
      <t xml:space="preserve">고분자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난연제 식별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유해가스</t>
    </r>
    <r>
      <rPr>
        <sz val="10"/>
        <rFont val="Arial"/>
        <family val="0"/>
        <charset val="1"/>
      </rPr>
      <t xml:space="preserve">) / L2 </t>
    </r>
    <r>
      <rPr>
        <sz val="10"/>
        <rFont val="WenQuanYi Zen Hei"/>
        <family val="2"/>
      </rPr>
      <t xml:space="preserve">중규모</t>
    </r>
    <r>
      <rPr>
        <sz val="10"/>
        <rFont val="Arial"/>
        <family val="0"/>
        <charset val="1"/>
      </rPr>
      <t xml:space="preserve">: 3 m </t>
    </r>
    <r>
      <rPr>
        <sz val="10"/>
        <rFont val="WenQuanYi Zen Hei"/>
        <family val="2"/>
      </rPr>
      <t xml:space="preserve">중공층 시험 </t>
    </r>
    <r>
      <rPr>
        <sz val="10"/>
        <rFont val="Arial"/>
        <family val="0"/>
        <charset val="1"/>
      </rPr>
      <t xml:space="preserve">/ L3 </t>
    </r>
    <r>
      <rPr>
        <sz val="10"/>
        <rFont val="WenQuanYi Zen Hei"/>
        <family val="2"/>
      </rPr>
      <t xml:space="preserve">시뮬레이션</t>
    </r>
    <r>
      <rPr>
        <sz val="10"/>
        <rFont val="Arial"/>
        <family val="0"/>
        <charset val="1"/>
      </rPr>
      <t xml:space="preserve">: FDS(PyroSim)</t>
    </r>
    <r>
      <rPr>
        <sz val="10"/>
        <rFont val="WenQuanYi Zen Hei"/>
        <family val="2"/>
      </rPr>
      <t xml:space="preserve">로 중규모 재현 → 건물 외벽 시나리오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시험→실물 비 </t>
    </r>
    <r>
      <rPr>
        <sz val="10"/>
        <rFont val="Arial"/>
        <family val="0"/>
        <charset val="1"/>
      </rPr>
      <t xml:space="preserve">s </t>
    </r>
    <r>
      <rPr>
        <sz val="10"/>
        <rFont val="WenQuanYi Zen Hei"/>
        <family val="2"/>
      </rPr>
      <t xml:space="preserve">확정 </t>
    </r>
    <r>
      <rPr>
        <sz val="10"/>
        <rFont val="Arial"/>
        <family val="0"/>
        <charset val="1"/>
      </rPr>
      <t xml:space="preserve">/ L4 </t>
    </r>
    <r>
      <rPr>
        <sz val="10"/>
        <rFont val="WenQuanYi Zen Hei"/>
        <family val="2"/>
      </rPr>
      <t xml:space="preserve">건물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사건수목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층간 확산 모델</t>
    </r>
    <r>
      <rPr>
        <sz val="10"/>
        <rFont val="Arial"/>
        <family val="0"/>
        <charset val="1"/>
      </rPr>
      <t xml:space="preserve">, 2</t>
    </r>
    <r>
      <rPr>
        <sz val="10"/>
        <rFont val="WenQuanYi Zen Hei"/>
        <family val="2"/>
      </rPr>
      <t xml:space="preserve">중 몬테카를로</t>
    </r>
  </si>
  <si>
    <t xml:space="preserve">게이트</t>
  </si>
  <si>
    <r>
      <rPr>
        <sz val="10"/>
        <rFont val="WenQuanYi Zen Hei"/>
        <family val="2"/>
      </rPr>
      <t xml:space="preserve">가연성 등급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콘 준불연 기준 미달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이면 </t>
    </r>
    <r>
      <rPr>
        <sz val="10"/>
        <rFont val="Arial"/>
        <family val="0"/>
        <charset val="1"/>
      </rPr>
      <t xml:space="preserve">TGA </t>
    </r>
    <r>
      <rPr>
        <sz val="10"/>
        <rFont val="WenQuanYi Zen Hei"/>
        <family val="2"/>
      </rPr>
      <t xml:space="preserve">전이함수를 쓰지 않습니다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가연성 </t>
    </r>
    <r>
      <rPr>
        <sz val="10"/>
        <rFont val="Arial"/>
        <family val="0"/>
        <charset val="1"/>
      </rPr>
      <t xml:space="preserve">PIR(PUR): TGA </t>
    </r>
    <r>
      <rPr>
        <sz val="10"/>
        <rFont val="WenQuanYi Zen Hei"/>
        <family val="2"/>
      </rPr>
      <t xml:space="preserve">예측 </t>
    </r>
    <r>
      <rPr>
        <sz val="10"/>
        <rFont val="Arial"/>
        <family val="0"/>
        <charset val="1"/>
      </rPr>
      <t xml:space="preserve">812 s, </t>
    </r>
    <r>
      <rPr>
        <sz val="10"/>
        <rFont val="WenQuanYi Zen Hei"/>
        <family val="2"/>
      </rPr>
      <t xml:space="preserve">시험 </t>
    </r>
    <r>
      <rPr>
        <sz val="10"/>
        <rFont val="Arial"/>
        <family val="0"/>
        <charset val="1"/>
      </rPr>
      <t xml:space="preserve">30 s). </t>
    </r>
    <r>
      <rPr>
        <sz val="10"/>
        <rFont val="WenQuanYi Zen Hei"/>
        <family val="2"/>
      </rPr>
      <t xml:space="preserve">용융형</t>
    </r>
    <r>
      <rPr>
        <sz val="10"/>
        <rFont val="Arial"/>
        <family val="0"/>
        <charset val="1"/>
      </rPr>
      <t xml:space="preserve">(f400,air &lt; 0.5, EPS)</t>
    </r>
    <r>
      <rPr>
        <sz val="10"/>
        <rFont val="WenQuanYi Zen Hei"/>
        <family val="2"/>
      </rPr>
      <t xml:space="preserve">이면 확산 전이함수를 쓰지 않습니다</t>
    </r>
    <r>
      <rPr>
        <sz val="10"/>
        <rFont val="Arial"/>
        <family val="0"/>
        <charset val="1"/>
      </rPr>
      <t xml:space="preserve">. FT-IR</t>
    </r>
    <r>
      <rPr>
        <sz val="10"/>
        <rFont val="WenQuanYi Zen Hei"/>
        <family val="2"/>
      </rPr>
      <t xml:space="preserve">은 고분자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난연제를 확인해 게이트를 검증합니다</t>
    </r>
    <r>
      <rPr>
        <sz val="10"/>
        <rFont val="Arial"/>
        <family val="0"/>
        <charset val="1"/>
      </rPr>
      <t xml:space="preserve">.</t>
    </r>
  </si>
  <si>
    <t xml:space="preserve">칸 색</t>
  </si>
  <si>
    <r>
      <rPr>
        <sz val="10"/>
        <rFont val="WenQuanYi Zen Hei"/>
        <family val="2"/>
      </rPr>
      <t xml:space="preserve">노란 바탕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입력할 칸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파란 글자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측정값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검은 글자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계산식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초록 글자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다른 시트에서 가져온 값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연두 바탕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주요 결과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회색 기울임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형식 예시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가상값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계산식 확인용 — 실측 아님</t>
    </r>
    <r>
      <rPr>
        <sz val="10"/>
        <rFont val="Arial"/>
        <family val="0"/>
        <charset val="1"/>
      </rPr>
      <t xml:space="preserve">)</t>
    </r>
  </si>
  <si>
    <t xml:space="preserve">시트</t>
  </si>
  <si>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체계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척도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위험차원</t>
    </r>
    <r>
      <rPr>
        <sz val="10"/>
        <rFont val="Arial"/>
        <family val="0"/>
        <charset val="1"/>
      </rPr>
      <t xml:space="preserve">) · 2 </t>
    </r>
    <r>
      <rPr>
        <sz val="10"/>
        <rFont val="WenQuanYi Zen Hei"/>
        <family val="2"/>
      </rPr>
      <t xml:space="preserve">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양식</t>
    </r>
    <r>
      <rPr>
        <sz val="10"/>
        <rFont val="Arial"/>
        <family val="0"/>
        <charset val="1"/>
      </rPr>
      <t xml:space="preserve">) · 3 TGA(</t>
    </r>
    <r>
      <rPr>
        <sz val="10"/>
        <rFont val="WenQuanYi Zen Hei"/>
        <family val="2"/>
      </rPr>
      <t xml:space="preserve">입력됨</t>
    </r>
    <r>
      <rPr>
        <sz val="10"/>
        <rFont val="Arial"/>
        <family val="0"/>
        <charset val="1"/>
      </rPr>
      <t xml:space="preserve">) · 4 FT-IR(</t>
    </r>
    <r>
      <rPr>
        <sz val="10"/>
        <rFont val="WenQuanYi Zen Hei"/>
        <family val="2"/>
      </rPr>
      <t xml:space="preserve">양식</t>
    </r>
    <r>
      <rPr>
        <sz val="10"/>
        <rFont val="Arial"/>
        <family val="0"/>
        <charset val="1"/>
      </rPr>
      <t xml:space="preserve">) · 5 </t>
    </r>
    <r>
      <rPr>
        <sz val="10"/>
        <rFont val="WenQuanYi Zen Hei"/>
        <family val="2"/>
      </rPr>
      <t xml:space="preserve">중규모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입력됨</t>
    </r>
    <r>
      <rPr>
        <sz val="10"/>
        <rFont val="Arial"/>
        <family val="0"/>
        <charset val="1"/>
      </rPr>
      <t xml:space="preserve">) · 6 </t>
    </r>
    <r>
      <rPr>
        <sz val="10"/>
        <rFont val="WenQuanYi Zen Hei"/>
        <family val="2"/>
      </rPr>
      <t xml:space="preserve">전이함수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상수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통계</t>
    </r>
    <r>
      <rPr>
        <sz val="10"/>
        <rFont val="Arial"/>
        <family val="0"/>
        <charset val="1"/>
      </rPr>
      <t xml:space="preserve">) · 7 </t>
    </r>
    <r>
      <rPr>
        <sz val="10"/>
        <rFont val="WenQuanYi Zen Hei"/>
        <family val="2"/>
      </rPr>
      <t xml:space="preserve">통합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베이즈 결합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정합성</t>
    </r>
    <r>
      <rPr>
        <sz val="10"/>
        <rFont val="Arial"/>
        <family val="0"/>
        <charset val="1"/>
      </rPr>
      <t xml:space="preserve">) · 8 </t>
    </r>
    <r>
      <rPr>
        <sz val="10"/>
        <rFont val="WenQuanYi Zen Hei"/>
        <family val="2"/>
      </rPr>
      <t xml:space="preserve">시뮬레이션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양식</t>
    </r>
    <r>
      <rPr>
        <sz val="10"/>
        <rFont val="Arial"/>
        <family val="0"/>
        <charset val="1"/>
      </rPr>
      <t xml:space="preserve">) · 9 </t>
    </r>
    <r>
      <rPr>
        <sz val="10"/>
        <rFont val="WenQuanYi Zen Hei"/>
        <family val="2"/>
      </rPr>
      <t xml:space="preserve">시뮬레이션 정보가치 </t>
    </r>
    <r>
      <rPr>
        <sz val="10"/>
        <rFont val="Arial"/>
        <family val="0"/>
        <charset val="1"/>
      </rPr>
      <t xml:space="preserve">· 10 </t>
    </r>
    <r>
      <rPr>
        <sz val="10"/>
        <rFont val="WenQuanYi Zen Hei"/>
        <family val="2"/>
      </rPr>
      <t xml:space="preserve">위험도 결과 </t>
    </r>
    <r>
      <rPr>
        <sz val="10"/>
        <rFont val="Arial"/>
        <family val="0"/>
        <charset val="1"/>
      </rPr>
      <t xml:space="preserve">· 11 EFFECT </t>
    </r>
    <r>
      <rPr>
        <sz val="10"/>
        <rFont val="WenQuanYi Zen Hei"/>
        <family val="2"/>
      </rPr>
      <t xml:space="preserve">비교 </t>
    </r>
    <r>
      <rPr>
        <sz val="10"/>
        <rFont val="Arial"/>
        <family val="0"/>
        <charset val="1"/>
      </rPr>
      <t xml:space="preserve">· 12 </t>
    </r>
    <r>
      <rPr>
        <sz val="10"/>
        <rFont val="WenQuanYi Zen Hei"/>
        <family val="2"/>
      </rPr>
      <t xml:space="preserve">시험계획 </t>
    </r>
    <r>
      <rPr>
        <sz val="10"/>
        <rFont val="Arial"/>
        <family val="0"/>
        <charset val="1"/>
      </rPr>
      <t xml:space="preserve">· 13 </t>
    </r>
    <r>
      <rPr>
        <sz val="10"/>
        <rFont val="WenQuanYi Zen Hei"/>
        <family val="2"/>
      </rPr>
      <t xml:space="preserve">검증</t>
    </r>
  </si>
  <si>
    <t xml:space="preserve">현재 자료</t>
  </si>
  <si>
    <r>
      <rPr>
        <sz val="10"/>
        <rFont val="WenQuanYi Zen Hei"/>
        <family val="2"/>
      </rPr>
      <t xml:space="preserve">있음</t>
    </r>
    <r>
      <rPr>
        <sz val="10"/>
        <rFont val="Arial"/>
        <family val="0"/>
        <charset val="1"/>
      </rPr>
      <t xml:space="preserve">: TGA–DSC 6</t>
    </r>
    <r>
      <rPr>
        <sz val="10"/>
        <rFont val="WenQuanYi Zen Hei"/>
        <family val="2"/>
      </rPr>
      <t xml:space="preserve">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공기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질소 각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중공층 시험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종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회</t>
    </r>
    <r>
      <rPr>
        <sz val="10"/>
        <rFont val="Arial"/>
        <family val="0"/>
        <charset val="1"/>
      </rPr>
      <t xml:space="preserve">(+ EPS </t>
    </r>
    <r>
      <rPr>
        <sz val="10"/>
        <rFont val="WenQuanYi Zen Hei"/>
        <family val="2"/>
      </rPr>
      <t xml:space="preserve">가연성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분 기록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없음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콘칼로리미터</t>
    </r>
    <r>
      <rPr>
        <sz val="10"/>
        <rFont val="Arial"/>
        <family val="0"/>
        <charset val="1"/>
      </rPr>
      <t xml:space="preserve">, FT-IR, FDS </t>
    </r>
    <r>
      <rPr>
        <sz val="10"/>
        <rFont val="WenQuanYi Zen Hei"/>
        <family val="2"/>
      </rPr>
      <t xml:space="preserve">결과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양식과 계산식만 제공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빈도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분기확률 등 건물 입력은 </t>
    </r>
    <r>
      <rPr>
        <sz val="10"/>
        <rFont val="Arial"/>
        <family val="0"/>
        <charset val="1"/>
      </rPr>
      <t xml:space="preserve">facade_fra </t>
    </r>
    <r>
      <rPr>
        <sz val="10"/>
        <rFont val="WenQuanYi Zen Hei"/>
        <family val="2"/>
      </rPr>
      <t xml:space="preserve">예시값입니다</t>
    </r>
    <r>
      <rPr>
        <sz val="10"/>
        <rFont val="Arial"/>
        <family val="0"/>
        <charset val="1"/>
      </rPr>
      <t xml:space="preserve">.</t>
    </r>
  </si>
  <si>
    <t xml:space="preserve">결과 요약</t>
  </si>
  <si>
    <r>
      <rPr>
        <sz val="10"/>
        <rFont val="Arial"/>
        <family val="0"/>
        <charset val="1"/>
      </rPr>
      <t xml:space="preserve">TGA </t>
    </r>
    <r>
      <rPr>
        <sz val="10"/>
        <rFont val="WenQuanYi Zen Hei"/>
        <family val="2"/>
      </rPr>
      <t xml:space="preserve">예측은 준불연 탄화형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종에서 시험과 정합</t>
    </r>
    <r>
      <rPr>
        <sz val="10"/>
        <rFont val="Arial"/>
        <family val="0"/>
        <charset val="1"/>
      </rPr>
      <t xml:space="preserve">(z −1.5 – 0.9), </t>
    </r>
    <r>
      <rPr>
        <sz val="10"/>
        <rFont val="WenQuanYi Zen Hei"/>
        <family val="2"/>
      </rPr>
      <t xml:space="preserve">가연성 </t>
    </r>
    <r>
      <rPr>
        <sz val="10"/>
        <rFont val="Arial"/>
        <family val="0"/>
        <charset val="1"/>
      </rPr>
      <t xml:space="preserve">PIR(PUR)</t>
    </r>
    <r>
      <rPr>
        <sz val="10"/>
        <rFont val="WenQuanYi Zen Hei"/>
        <family val="2"/>
      </rPr>
      <t xml:space="preserve">에서 크게 불일치</t>
    </r>
    <r>
      <rPr>
        <sz val="10"/>
        <rFont val="Arial"/>
        <family val="0"/>
        <charset val="1"/>
      </rPr>
      <t xml:space="preserve">(z ≈ −18.5) → </t>
    </r>
    <r>
      <rPr>
        <sz val="10"/>
        <rFont val="WenQuanYi Zen Hei"/>
        <family val="2"/>
      </rPr>
      <t xml:space="preserve">게이트가 필요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재료 평균 </t>
    </r>
    <r>
      <rPr>
        <sz val="10"/>
        <rFont val="Arial"/>
        <family val="0"/>
        <charset val="1"/>
      </rPr>
      <t xml:space="preserve">t600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90 % </t>
    </r>
    <r>
      <rPr>
        <sz val="10"/>
        <rFont val="WenQuanYi Zen Hei"/>
        <family val="2"/>
      </rPr>
      <t xml:space="preserve">구간 폭은 등급만 </t>
    </r>
    <r>
      <rPr>
        <sz val="10"/>
        <rFont val="Arial"/>
        <family val="0"/>
        <charset val="1"/>
      </rPr>
      <t xml:space="preserve">5.3</t>
    </r>
    <r>
      <rPr>
        <sz val="10"/>
        <rFont val="WenQuanYi Zen Hei"/>
        <family val="2"/>
      </rPr>
      <t xml:space="preserve">배 → </t>
    </r>
    <r>
      <rPr>
        <sz val="10"/>
        <rFont val="Arial"/>
        <family val="0"/>
        <charset val="1"/>
      </rPr>
      <t xml:space="preserve">TGA 1.7</t>
    </r>
    <r>
      <rPr>
        <sz val="10"/>
        <rFont val="WenQuanYi Zen Hei"/>
        <family val="2"/>
      </rPr>
      <t xml:space="preserve">배 → 중규모 </t>
    </r>
    <r>
      <rPr>
        <sz val="10"/>
        <rFont val="Arial"/>
        <family val="0"/>
        <charset val="1"/>
      </rPr>
      <t xml:space="preserve">1.24</t>
    </r>
    <r>
      <rPr>
        <sz val="10"/>
        <rFont val="WenQuanYi Zen Hei"/>
        <family val="2"/>
      </rPr>
      <t xml:space="preserve">배 → 통합 </t>
    </r>
    <r>
      <rPr>
        <sz val="10"/>
        <rFont val="Arial"/>
        <family val="0"/>
        <charset val="1"/>
      </rPr>
      <t xml:space="preserve">1.22</t>
    </r>
    <r>
      <rPr>
        <sz val="10"/>
        <rFont val="WenQuanYi Zen Hei"/>
        <family val="2"/>
      </rPr>
      <t xml:space="preserve">배로 줄어듭니다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건물 위험도 구간은 시험→실물 비 </t>
    </r>
    <r>
      <rPr>
        <sz val="10"/>
        <rFont val="Arial"/>
        <family val="0"/>
        <charset val="1"/>
      </rPr>
      <t xml:space="preserve">s</t>
    </r>
    <r>
      <rPr>
        <sz val="10"/>
        <rFont val="WenQuanYi Zen Hei"/>
        <family val="2"/>
      </rPr>
      <t xml:space="preserve">가 지배 → </t>
    </r>
    <r>
      <rPr>
        <sz val="10"/>
        <rFont val="Arial"/>
        <family val="0"/>
        <charset val="1"/>
      </rPr>
      <t xml:space="preserve">L3(</t>
    </r>
    <r>
      <rPr>
        <sz val="10"/>
        <rFont val="WenQuanYi Zen Hei"/>
        <family val="2"/>
      </rPr>
      <t xml:space="preserve">시뮬레이션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가 다음 단계입니다</t>
    </r>
    <r>
      <rPr>
        <sz val="10"/>
        <rFont val="Arial"/>
        <family val="0"/>
        <charset val="1"/>
      </rPr>
      <t xml:space="preserve">.</t>
    </r>
  </si>
  <si>
    <t xml:space="preserve">재현</t>
  </si>
  <si>
    <r>
      <rPr>
        <sz val="10"/>
        <rFont val="Arial"/>
        <family val="0"/>
        <charset val="1"/>
      </rPr>
      <t xml:space="preserve">python multiscale_fra/multiscale.py → python multiscale_fra/report/build_ms_xlsx.py → recalc. </t>
    </r>
    <r>
      <rPr>
        <sz val="10"/>
        <rFont val="WenQuanYi Zen Hei"/>
        <family val="2"/>
      </rPr>
      <t xml:space="preserve">엑셀 수식과 파이썬 값의 일치는 </t>
    </r>
    <r>
      <rPr>
        <sz val="10"/>
        <rFont val="Arial"/>
        <family val="0"/>
        <charset val="1"/>
      </rPr>
      <t xml:space="preserve">13_</t>
    </r>
    <r>
      <rPr>
        <sz val="10"/>
        <rFont val="WenQuanYi Zen Hei"/>
        <family val="2"/>
      </rPr>
      <t xml:space="preserve">검증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</si>
  <si>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① 다척도 평가 체계 — </t>
    </r>
    <r>
      <rPr>
        <b val="true"/>
        <sz val="14"/>
        <rFont val="Arial"/>
        <family val="0"/>
        <charset val="1"/>
      </rPr>
      <t xml:space="preserve">6</t>
    </r>
    <r>
      <rPr>
        <b val="true"/>
        <sz val="14"/>
        <rFont val="WenQuanYi Zen Hei"/>
        <family val="2"/>
      </rPr>
      <t xml:space="preserve">개 위험차원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척도별 지표와 자료 상태</t>
    </r>
  </si>
  <si>
    <r>
      <rPr>
        <sz val="9"/>
        <color rgb="FF4B5563"/>
        <rFont val="Arial"/>
        <family val="0"/>
        <charset val="1"/>
      </rPr>
      <t xml:space="preserve">[</t>
    </r>
    <r>
      <rPr>
        <sz val="9"/>
        <color rgb="FF4B5563"/>
        <rFont val="WenQuanYi Zen Hei"/>
        <family val="2"/>
      </rPr>
      <t xml:space="preserve">측정</t>
    </r>
    <r>
      <rPr>
        <sz val="9"/>
        <color rgb="FF4B5563"/>
        <rFont val="Arial"/>
        <family val="0"/>
        <charset val="1"/>
      </rPr>
      <t xml:space="preserve">] </t>
    </r>
    <r>
      <rPr>
        <sz val="9"/>
        <color rgb="FF4B5563"/>
        <rFont val="WenQuanYi Zen Hei"/>
        <family val="2"/>
      </rPr>
      <t xml:space="preserve">보유 </t>
    </r>
    <r>
      <rPr>
        <sz val="9"/>
        <color rgb="FF4B5563"/>
        <rFont val="Arial"/>
        <family val="0"/>
        <charset val="1"/>
      </rPr>
      <t xml:space="preserve">· [</t>
    </r>
    <r>
      <rPr>
        <sz val="9"/>
        <color rgb="FF4B5563"/>
        <rFont val="WenQuanYi Zen Hei"/>
        <family val="2"/>
      </rPr>
      <t xml:space="preserve">미측정</t>
    </r>
    <r>
      <rPr>
        <sz val="9"/>
        <color rgb="FF4B5563"/>
        <rFont val="Arial"/>
        <family val="0"/>
        <charset val="1"/>
      </rPr>
      <t xml:space="preserve">] </t>
    </r>
    <r>
      <rPr>
        <sz val="9"/>
        <color rgb="FF4B5563"/>
        <rFont val="WenQuanYi Zen Hei"/>
        <family val="2"/>
      </rPr>
      <t xml:space="preserve">시험 필요 </t>
    </r>
    <r>
      <rPr>
        <sz val="9"/>
        <color rgb="FF4B5563"/>
        <rFont val="Arial"/>
        <family val="0"/>
        <charset val="1"/>
      </rPr>
      <t xml:space="preserve">· [</t>
    </r>
    <r>
      <rPr>
        <sz val="9"/>
        <color rgb="FF4B5563"/>
        <rFont val="WenQuanYi Zen Hei"/>
        <family val="2"/>
      </rPr>
      <t xml:space="preserve">미수행</t>
    </r>
    <r>
      <rPr>
        <sz val="9"/>
        <color rgb="FF4B5563"/>
        <rFont val="Arial"/>
        <family val="0"/>
        <charset val="1"/>
      </rPr>
      <t xml:space="preserve">] </t>
    </r>
    <r>
      <rPr>
        <sz val="9"/>
        <color rgb="FF4B5563"/>
        <rFont val="WenQuanYi Zen Hei"/>
        <family val="2"/>
      </rPr>
      <t xml:space="preserve">해석 필요 </t>
    </r>
    <r>
      <rPr>
        <sz val="9"/>
        <color rgb="FF4B5563"/>
        <rFont val="Arial"/>
        <family val="0"/>
        <charset val="1"/>
      </rPr>
      <t xml:space="preserve">· [</t>
    </r>
    <r>
      <rPr>
        <sz val="9"/>
        <color rgb="FF4B5563"/>
        <rFont val="WenQuanYi Zen Hei"/>
        <family val="2"/>
      </rPr>
      <t xml:space="preserve">불가</t>
    </r>
    <r>
      <rPr>
        <sz val="9"/>
        <color rgb="FF4B5563"/>
        <rFont val="Arial"/>
        <family val="0"/>
        <charset val="1"/>
      </rPr>
      <t xml:space="preserve">] </t>
    </r>
    <r>
      <rPr>
        <sz val="9"/>
        <color rgb="FF4B5563"/>
        <rFont val="WenQuanYi Zen Hei"/>
        <family val="2"/>
      </rPr>
      <t xml:space="preserve">현 방법으로 얻을 수 없음</t>
    </r>
    <r>
      <rPr>
        <sz val="9"/>
        <color rgb="FF4B5563"/>
        <rFont val="Arial"/>
        <family val="0"/>
        <charset val="1"/>
      </rPr>
      <t xml:space="preserve">. </t>
    </r>
    <r>
      <rPr>
        <sz val="9"/>
        <color rgb="FF4B5563"/>
        <rFont val="WenQuanYi Zen Hei"/>
        <family val="2"/>
      </rPr>
      <t xml:space="preserve">마지막 열은 건물 위험도 모델에 들어가는 자리입니다</t>
    </r>
    <r>
      <rPr>
        <sz val="9"/>
        <color rgb="FF4B5563"/>
        <rFont val="Arial"/>
        <family val="0"/>
        <charset val="1"/>
      </rPr>
      <t xml:space="preserve">.</t>
    </r>
  </si>
  <si>
    <t xml:space="preserve">위험 차원</t>
  </si>
  <si>
    <r>
      <rPr>
        <b val="true"/>
        <sz val="10"/>
        <color rgb="FFFFFFFF"/>
        <rFont val="Arial"/>
        <family val="0"/>
        <charset val="1"/>
      </rPr>
      <t xml:space="preserve">L1 </t>
    </r>
    <r>
      <rPr>
        <b val="true"/>
        <sz val="10"/>
        <color rgb="FFFFFFFF"/>
        <rFont val="WenQuanYi Zen Hei"/>
        <family val="2"/>
      </rPr>
      <t xml:space="preserve">콘칼로리미터</t>
    </r>
  </si>
  <si>
    <t xml:space="preserve">L1 TGA–DSC</t>
  </si>
  <si>
    <t xml:space="preserve">L1 FT-IR</t>
  </si>
  <si>
    <r>
      <rPr>
        <b val="true"/>
        <sz val="10"/>
        <color rgb="FFFFFFFF"/>
        <rFont val="Arial"/>
        <family val="0"/>
        <charset val="1"/>
      </rPr>
      <t xml:space="preserve">L2 </t>
    </r>
    <r>
      <rPr>
        <b val="true"/>
        <sz val="10"/>
        <color rgb="FFFFFFFF"/>
        <rFont val="WenQuanYi Zen Hei"/>
        <family val="2"/>
      </rPr>
      <t xml:space="preserve">중규모</t>
    </r>
    <r>
      <rPr>
        <b val="true"/>
        <sz val="10"/>
        <color rgb="FFFFFFFF"/>
        <rFont val="Arial"/>
        <family val="0"/>
        <charset val="1"/>
      </rPr>
      <t xml:space="preserve">(3 m </t>
    </r>
    <r>
      <rPr>
        <b val="true"/>
        <sz val="10"/>
        <color rgb="FFFFFFFF"/>
        <rFont val="WenQuanYi Zen Hei"/>
        <family val="2"/>
      </rPr>
      <t xml:space="preserve">중공층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</si>
  <si>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L3 </t>
    </r>
    <r>
      <rPr>
        <b val="true"/>
        <sz val="10"/>
        <color rgb="FFFFFFFF"/>
        <rFont val="WenQuanYi Zen Hei"/>
        <family val="2"/>
      </rPr>
      <t xml:space="preserve">시뮬레이션</t>
    </r>
    <r>
      <rPr>
        <b val="true"/>
        <sz val="10"/>
        <color rgb="FFFFFFFF"/>
        <rFont val="Arial"/>
        <family val="0"/>
        <charset val="1"/>
      </rPr>
      <t xml:space="preserve">(FDS)</t>
    </r>
  </si>
  <si>
    <r>
      <rPr>
        <b val="true"/>
        <sz val="10"/>
        <color rgb="FFFFFFFF"/>
        <rFont val="Arial"/>
        <family val="0"/>
        <charset val="1"/>
      </rPr>
      <t xml:space="preserve">L4 </t>
    </r>
    <r>
      <rPr>
        <b val="true"/>
        <sz val="10"/>
        <color rgb="FFFFFFFF"/>
        <rFont val="WenQuanYi Zen Hei"/>
        <family val="2"/>
      </rPr>
      <t xml:space="preserve">건물 모델 입력</t>
    </r>
  </si>
  <si>
    <r>
      <rPr>
        <b val="true"/>
        <sz val="10"/>
        <rFont val="Arial"/>
        <family val="0"/>
        <charset val="1"/>
      </rPr>
      <t xml:space="preserve">D1 </t>
    </r>
    <r>
      <rPr>
        <b val="true"/>
        <sz val="10"/>
        <rFont val="WenQuanYi Zen Hei"/>
        <family val="2"/>
      </rPr>
      <t xml:space="preserve">착화성</t>
    </r>
  </si>
  <si>
    <r>
      <rPr>
        <sz val="10"/>
        <rFont val="Arial"/>
        <family val="0"/>
        <charset val="1"/>
      </rPr>
      <t xml:space="preserve">t_ig(50 kW/m²), TRP·CHF(</t>
    </r>
    <r>
      <rPr>
        <sz val="10"/>
        <rFont val="WenQuanYi Zen Hei"/>
        <family val="2"/>
      </rPr>
      <t xml:space="preserve">다열류속</t>
    </r>
    <r>
      <rPr>
        <sz val="10"/>
        <rFont val="Arial"/>
        <family val="0"/>
        <charset val="1"/>
      </rPr>
      <t xml:space="preserve">) [</t>
    </r>
    <r>
      <rPr>
        <sz val="10"/>
        <rFont val="WenQuanYi Zen Hei"/>
        <family val="2"/>
      </rPr>
      <t xml:space="preserve">미측정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</si>
  <si>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T_onset,air·T_5% [</t>
    </r>
    <r>
      <rPr>
        <sz val="10"/>
        <rFont val="WenQuanYi Zen Hei"/>
        <family val="2"/>
      </rPr>
      <t xml:space="preserve">측정</t>
    </r>
    <r>
      <rPr>
        <sz val="10"/>
        <rFont val="Arial"/>
        <family val="0"/>
        <charset val="1"/>
      </rPr>
      <t xml:space="preserve">] — </t>
    </r>
    <r>
      <rPr>
        <sz val="10"/>
        <rFont val="WenQuanYi Zen Hei"/>
        <family val="2"/>
      </rPr>
      <t xml:space="preserve">중규모 착화는 시스템 상수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준불연 </t>
    </r>
    <r>
      <rPr>
        <sz val="10"/>
        <rFont val="Arial"/>
        <family val="0"/>
        <charset val="1"/>
      </rPr>
      <t xml:space="preserve">188–288 s)</t>
    </r>
    <r>
      <rPr>
        <sz val="10"/>
        <rFont val="WenQuanYi Zen Hei"/>
        <family val="2"/>
      </rPr>
      <t xml:space="preserve">라 예측력 약함</t>
    </r>
  </si>
  <si>
    <r>
      <rPr>
        <sz val="10"/>
        <rFont val="WenQuanYi Zen Hei"/>
        <family val="2"/>
      </rPr>
      <t xml:space="preserve">난연제</t>
    </r>
    <r>
      <rPr>
        <sz val="10"/>
        <rFont val="Arial"/>
        <family val="0"/>
        <charset val="1"/>
      </rPr>
      <t xml:space="preserve">(P=O) </t>
    </r>
    <r>
      <rPr>
        <sz val="10"/>
        <rFont val="WenQuanYi Zen Hei"/>
        <family val="2"/>
      </rPr>
      <t xml:space="preserve">유무 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미측정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</si>
  <si>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t_ig(</t>
    </r>
    <r>
      <rPr>
        <sz val="10"/>
        <rFont val="WenQuanYi Zen Hei"/>
        <family val="2"/>
      </rPr>
      <t xml:space="preserve">시스템 착화</t>
    </r>
    <r>
      <rPr>
        <sz val="10"/>
        <rFont val="Arial"/>
        <family val="0"/>
        <charset val="1"/>
      </rPr>
      <t xml:space="preserve">) [</t>
    </r>
    <r>
      <rPr>
        <sz val="10"/>
        <rFont val="WenQuanYi Zen Hei"/>
        <family val="2"/>
      </rPr>
      <t xml:space="preserve">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</si>
  <si>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외벽 착화시각 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미수행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</si>
  <si>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t600 = t_ig + t_sp</t>
    </r>
    <r>
      <rPr>
        <sz val="10"/>
        <rFont val="WenQuanYi Zen Hei"/>
        <family val="2"/>
      </rPr>
      <t xml:space="preserve">에 포함</t>
    </r>
  </si>
  <si>
    <r>
      <rPr>
        <b val="true"/>
        <sz val="10"/>
        <rFont val="Arial"/>
        <family val="0"/>
        <charset val="1"/>
      </rPr>
      <t xml:space="preserve">D2 </t>
    </r>
    <r>
      <rPr>
        <b val="true"/>
        <sz val="10"/>
        <rFont val="WenQuanYi Zen Hei"/>
        <family val="2"/>
      </rPr>
      <t xml:space="preserve">확산성</t>
    </r>
  </si>
  <si>
    <r>
      <rPr>
        <sz val="10"/>
        <rFont val="Arial"/>
        <family val="0"/>
        <charset val="1"/>
      </rPr>
      <t xml:space="preserve">pHRR/t_pHRR, b = k_f·Q̇″ − 1 − t_b/t_ig, M = Q̇″^(1/3)/TRP [</t>
    </r>
    <r>
      <rPr>
        <sz val="10"/>
        <rFont val="WenQuanYi Zen Hei"/>
        <family val="2"/>
      </rPr>
      <t xml:space="preserve">미측정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</si>
  <si>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r_max,air → t̂_sp = C_sys/r_max (</t>
    </r>
    <r>
      <rPr>
        <sz val="10"/>
        <rFont val="WenQuanYi Zen Hei"/>
        <family val="2"/>
      </rPr>
      <t xml:space="preserve">준불연 탄화형</t>
    </r>
    <r>
      <rPr>
        <sz val="10"/>
        <rFont val="Arial"/>
        <family val="0"/>
        <charset val="1"/>
      </rPr>
      <t xml:space="preserve">) [</t>
    </r>
    <r>
      <rPr>
        <sz val="10"/>
        <rFont val="WenQuanYi Zen Hei"/>
        <family val="2"/>
      </rPr>
      <t xml:space="preserve">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</si>
  <si>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이소시아누레이트 지수</t>
    </r>
    <r>
      <rPr>
        <sz val="10"/>
        <rFont val="Arial"/>
        <family val="0"/>
        <charset val="1"/>
      </rPr>
      <t xml:space="preserve">(PIR) [</t>
    </r>
    <r>
      <rPr>
        <sz val="10"/>
        <rFont val="WenQuanYi Zen Hei"/>
        <family val="2"/>
      </rPr>
      <t xml:space="preserve">미측정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</si>
  <si>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t_sp, t600, FRI, P [</t>
    </r>
    <r>
      <rPr>
        <sz val="10"/>
        <rFont val="WenQuanYi Zen Hei"/>
        <family val="2"/>
      </rPr>
      <t xml:space="preserve">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</si>
  <si>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층별 도달시각 → </t>
    </r>
    <r>
      <rPr>
        <sz val="10"/>
        <rFont val="Arial"/>
        <family val="0"/>
        <charset val="1"/>
      </rPr>
      <t xml:space="preserve">s [</t>
    </r>
    <r>
      <rPr>
        <sz val="10"/>
        <rFont val="WenQuanYi Zen Hei"/>
        <family val="2"/>
      </rPr>
      <t xml:space="preserve">미수행</t>
    </r>
    <r>
      <rPr>
        <sz val="10"/>
        <rFont val="Arial"/>
        <family val="0"/>
        <charset val="1"/>
      </rPr>
      <t xml:space="preserve">]</t>
    </r>
  </si>
  <si>
    <t xml:space="preserve">τ_F = s·t600</t>
  </si>
  <si>
    <r>
      <rPr>
        <b val="true"/>
        <sz val="10"/>
        <rFont val="Arial"/>
        <family val="0"/>
        <charset val="1"/>
      </rPr>
      <t xml:space="preserve">D3 </t>
    </r>
    <r>
      <rPr>
        <b val="true"/>
        <sz val="10"/>
        <rFont val="WenQuanYi Zen Hei"/>
        <family val="2"/>
      </rPr>
      <t xml:space="preserve">발열성</t>
    </r>
  </si>
  <si>
    <r>
      <rPr>
        <sz val="10"/>
        <rFont val="Arial"/>
        <family val="0"/>
        <charset val="1"/>
      </rPr>
      <t xml:space="preserve">THR_600(</t>
    </r>
    <r>
      <rPr>
        <sz val="10"/>
        <rFont val="WenQuanYi Zen Hei"/>
        <family val="2"/>
      </rPr>
      <t xml:space="preserve">준불연 ≤ </t>
    </r>
    <r>
      <rPr>
        <sz val="10"/>
        <rFont val="Arial"/>
        <family val="0"/>
        <charset val="1"/>
      </rPr>
      <t xml:space="preserve">8 MJ/m²), pHRR, EHC [</t>
    </r>
    <r>
      <rPr>
        <sz val="10"/>
        <rFont val="WenQuanYi Zen Hei"/>
        <family val="2"/>
      </rPr>
      <t xml:space="preserve">미측정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</si>
  <si>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절대량 불가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초기 질량 없음</t>
    </r>
    <r>
      <rPr>
        <sz val="10"/>
        <rFont val="Arial"/>
        <family val="0"/>
        <charset val="1"/>
      </rPr>
      <t xml:space="preserve">), DSC </t>
    </r>
    <r>
      <rPr>
        <sz val="10"/>
        <rFont val="WenQuanYi Zen Hei"/>
        <family val="2"/>
      </rPr>
      <t xml:space="preserve">미보정 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불가</t>
    </r>
    <r>
      <rPr>
        <sz val="10"/>
        <rFont val="Arial"/>
        <family val="0"/>
        <charset val="1"/>
      </rPr>
      <t xml:space="preserve">]</t>
    </r>
  </si>
  <si>
    <t xml:space="preserve">—</t>
  </si>
  <si>
    <r>
      <rPr>
        <sz val="10"/>
        <rFont val="Arial"/>
        <family val="0"/>
        <charset val="1"/>
      </rPr>
      <t xml:space="preserve">H600(3000 mm </t>
    </r>
    <r>
      <rPr>
        <sz val="10"/>
        <rFont val="WenQuanYi Zen Hei"/>
        <family val="2"/>
      </rPr>
      <t xml:space="preserve">초과 열량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최고온도 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</si>
  <si>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외벽 </t>
    </r>
    <r>
      <rPr>
        <sz val="10"/>
        <rFont val="Arial"/>
        <family val="0"/>
        <charset val="1"/>
      </rPr>
      <t xml:space="preserve">HRR, </t>
    </r>
    <r>
      <rPr>
        <sz val="10"/>
        <rFont val="WenQuanYi Zen Hei"/>
        <family val="2"/>
      </rPr>
      <t xml:space="preserve">창 열류속 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미수행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</si>
  <si>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현 모델 미반영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확장 항목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</si>
  <si>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D4 </t>
    </r>
    <r>
      <rPr>
        <b val="true"/>
        <sz val="10"/>
        <rFont val="WenQuanYi Zen Hei"/>
        <family val="2"/>
      </rPr>
      <t xml:space="preserve">지속성</t>
    </r>
  </si>
  <si>
    <r>
      <rPr>
        <sz val="10"/>
        <rFont val="WenQuanYi Zen Hei"/>
        <family val="2"/>
      </rPr>
      <t xml:space="preserve">연소 종료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작열 시간 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미측정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</si>
  <si>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f400,air(</t>
    </r>
    <r>
      <rPr>
        <sz val="10"/>
        <rFont val="WenQuanYi Zen Hei"/>
        <family val="2"/>
      </rPr>
      <t xml:space="preserve">탄화층 산화 몫</t>
    </r>
    <r>
      <rPr>
        <sz val="10"/>
        <rFont val="Arial"/>
        <family val="0"/>
        <charset val="1"/>
      </rPr>
      <t xml:space="preserve">) → p̂_B [</t>
    </r>
    <r>
      <rPr>
        <sz val="10"/>
        <rFont val="WenQuanYi Zen Hei"/>
        <family val="2"/>
      </rPr>
      <t xml:space="preserve">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</si>
  <si>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플래그 </t>
    </r>
    <r>
      <rPr>
        <sz val="10"/>
        <rFont val="Arial"/>
        <family val="0"/>
        <charset val="1"/>
      </rPr>
      <t xml:space="preserve">B(</t>
    </r>
    <r>
      <rPr>
        <sz val="10"/>
        <rFont val="WenQuanYi Zen Hei"/>
        <family val="2"/>
      </rPr>
      <t xml:space="preserve">소화 후 </t>
    </r>
    <r>
      <rPr>
        <sz val="10"/>
        <rFont val="Arial"/>
        <family val="0"/>
        <charset val="1"/>
      </rPr>
      <t xml:space="preserve">ssr ≥ 1, 3/6 </t>
    </r>
    <r>
      <rPr>
        <sz val="10"/>
        <rFont val="WenQuanYi Zen Hei"/>
        <family val="2"/>
      </rPr>
      <t xml:space="preserve">높이</t>
    </r>
    <r>
      <rPr>
        <sz val="10"/>
        <rFont val="Arial"/>
        <family val="0"/>
        <charset val="1"/>
      </rPr>
      <t xml:space="preserve">) [</t>
    </r>
    <r>
      <rPr>
        <sz val="10"/>
        <rFont val="WenQuanYi Zen Hei"/>
        <family val="2"/>
      </rPr>
      <t xml:space="preserve">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</si>
  <si>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화원 소멸 후 연소 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미수행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</si>
  <si>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p_B (</t>
    </r>
    <r>
      <rPr>
        <sz val="10"/>
        <rFont val="WenQuanYi Zen Hei"/>
        <family val="2"/>
      </rPr>
      <t xml:space="preserve">자립이면 </t>
    </r>
    <r>
      <rPr>
        <sz val="10"/>
        <rFont val="Arial"/>
        <family val="0"/>
        <charset val="1"/>
      </rPr>
      <t xml:space="preserve">T_stop = ∞)</t>
    </r>
  </si>
  <si>
    <r>
      <rPr>
        <b val="true"/>
        <sz val="10"/>
        <rFont val="Arial"/>
        <family val="0"/>
        <charset val="1"/>
      </rPr>
      <t xml:space="preserve">D5 </t>
    </r>
    <r>
      <rPr>
        <b val="true"/>
        <sz val="10"/>
        <rFont val="WenQuanYi Zen Hei"/>
        <family val="2"/>
      </rPr>
      <t xml:space="preserve">급발성</t>
    </r>
  </si>
  <si>
    <r>
      <rPr>
        <sz val="10"/>
        <rFont val="WenQuanYi Zen Hei"/>
        <family val="2"/>
      </rPr>
      <t xml:space="preserve">용융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적하 관찰 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미측정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</si>
  <si>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용융형</t>
    </r>
    <r>
      <rPr>
        <sz val="10"/>
        <rFont val="Arial"/>
        <family val="0"/>
        <charset val="1"/>
      </rPr>
      <t xml:space="preserve">(f400,air &lt; 0.5) [</t>
    </r>
    <r>
      <rPr>
        <sz val="10"/>
        <rFont val="WenQuanYi Zen Hei"/>
        <family val="2"/>
      </rPr>
      <t xml:space="preserve">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</si>
  <si>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플래그 </t>
    </r>
    <r>
      <rPr>
        <sz val="10"/>
        <rFont val="Arial"/>
        <family val="0"/>
        <charset val="1"/>
      </rPr>
      <t xml:space="preserve">A(τ300→600 ≤ 30 s) [</t>
    </r>
    <r>
      <rPr>
        <sz val="10"/>
        <rFont val="WenQuanYi Zen Hei"/>
        <family val="2"/>
      </rPr>
      <t xml:space="preserve">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</si>
  <si>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용융 흐름은 모델 한계 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불가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</si>
  <si>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현 모델 미반영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표시 항목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</si>
  <si>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D6 </t>
    </r>
    <r>
      <rPr>
        <b val="true"/>
        <sz val="10"/>
        <rFont val="WenQuanYi Zen Hei"/>
        <family val="2"/>
      </rPr>
      <t xml:space="preserve">유해성</t>
    </r>
  </si>
  <si>
    <r>
      <rPr>
        <sz val="10"/>
        <rFont val="Arial"/>
        <family val="0"/>
        <charset val="1"/>
      </rPr>
      <t xml:space="preserve">CO </t>
    </r>
    <r>
      <rPr>
        <sz val="10"/>
        <rFont val="WenQuanYi Zen Hei"/>
        <family val="2"/>
      </rPr>
      <t xml:space="preserve">수율</t>
    </r>
    <r>
      <rPr>
        <sz val="10"/>
        <rFont val="Arial"/>
        <family val="0"/>
        <charset val="1"/>
      </rPr>
      <t xml:space="preserve">, TSP [</t>
    </r>
    <r>
      <rPr>
        <sz val="10"/>
        <rFont val="WenQuanYi Zen Hei"/>
        <family val="2"/>
      </rPr>
      <t xml:space="preserve">미측정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</si>
  <si>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TGA–FTIR: HCN·CO·NCO·HCl [</t>
    </r>
    <r>
      <rPr>
        <sz val="10"/>
        <rFont val="WenQuanYi Zen Hei"/>
        <family val="2"/>
      </rPr>
      <t xml:space="preserve">미측정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</si>
  <si>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가스 측정 없음 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미측정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</si>
  <si>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FED(</t>
    </r>
    <r>
      <rPr>
        <sz val="10"/>
        <rFont val="WenQuanYi Zen Hei"/>
        <family val="2"/>
      </rPr>
      <t xml:space="preserve">위층 세대</t>
    </r>
    <r>
      <rPr>
        <sz val="10"/>
        <rFont val="Arial"/>
        <family val="0"/>
        <charset val="1"/>
      </rPr>
      <t xml:space="preserve">) [</t>
    </r>
    <r>
      <rPr>
        <sz val="10"/>
        <rFont val="WenQuanYi Zen Hei"/>
        <family val="2"/>
      </rPr>
      <t xml:space="preserve">미수행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</si>
  <si>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확장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노출 인원 → 유해 노출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</si>
  <si>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WenQuanYi Zen Hei"/>
        <family val="2"/>
      </rPr>
      <t xml:space="preserve">조성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등급</t>
    </r>
  </si>
  <si>
    <r>
      <rPr>
        <sz val="10"/>
        <rFont val="WenQuanYi Zen Hei"/>
        <family val="2"/>
      </rPr>
      <t xml:space="preserve">국내 준불연 판정</t>
    </r>
    <r>
      <rPr>
        <sz val="10"/>
        <rFont val="Arial"/>
        <family val="0"/>
        <charset val="1"/>
      </rPr>
      <t xml:space="preserve">(THR_600 ≤ 8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) [</t>
    </r>
    <r>
      <rPr>
        <sz val="10"/>
        <rFont val="WenQuanYi Zen Hei"/>
        <family val="2"/>
      </rPr>
      <t xml:space="preserve">미측정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인증서 등급 사용 중</t>
    </r>
    <r>
      <rPr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</si>
  <si>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탄화형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용융형 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</si>
  <si>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고분자 식별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난연제 확인 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미측정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</si>
  <si>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가연성 </t>
    </r>
    <r>
      <rPr>
        <sz val="10"/>
        <rFont val="Arial"/>
        <family val="0"/>
        <charset val="1"/>
      </rPr>
      <t xml:space="preserve">PIR(PUR) 30 s </t>
    </r>
    <r>
      <rPr>
        <sz val="10"/>
        <rFont val="WenQuanYi Zen Hei"/>
        <family val="2"/>
      </rPr>
      <t xml:space="preserve">전면 착화 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측정</t>
    </r>
    <r>
      <rPr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</si>
  <si>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게이트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전이함수 적용 여부</t>
    </r>
  </si>
  <si>
    <r>
      <rPr>
        <sz val="9"/>
        <color rgb="FF4B5563"/>
        <rFont val="WenQuanYi Zen Hei"/>
        <family val="2"/>
      </rPr>
      <t xml:space="preserve">칸 색</t>
    </r>
    <r>
      <rPr>
        <sz val="9"/>
        <color rgb="FF4B5563"/>
        <rFont val="Arial"/>
        <family val="0"/>
        <charset val="1"/>
      </rPr>
      <t xml:space="preserve">: </t>
    </r>
    <r>
      <rPr>
        <sz val="9"/>
        <color rgb="FF4B5563"/>
        <rFont val="WenQuanYi Zen Hei"/>
        <family val="2"/>
      </rPr>
      <t xml:space="preserve">연두 </t>
    </r>
    <r>
      <rPr>
        <sz val="9"/>
        <color rgb="FF4B5563"/>
        <rFont val="Arial"/>
        <family val="0"/>
        <charset val="1"/>
      </rPr>
      <t xml:space="preserve">= </t>
    </r>
    <r>
      <rPr>
        <sz val="9"/>
        <color rgb="FF4B5563"/>
        <rFont val="WenQuanYi Zen Hei"/>
        <family val="2"/>
      </rPr>
      <t xml:space="preserve">자료 있음</t>
    </r>
    <r>
      <rPr>
        <sz val="9"/>
        <color rgb="FF4B5563"/>
        <rFont val="Arial"/>
        <family val="0"/>
        <charset val="1"/>
      </rPr>
      <t xml:space="preserve">, </t>
    </r>
    <r>
      <rPr>
        <sz val="9"/>
        <color rgb="FF4B5563"/>
        <rFont val="WenQuanYi Zen Hei"/>
        <family val="2"/>
      </rPr>
      <t xml:space="preserve">분홍 </t>
    </r>
    <r>
      <rPr>
        <sz val="9"/>
        <color rgb="FF4B5563"/>
        <rFont val="Arial"/>
        <family val="0"/>
        <charset val="1"/>
      </rPr>
      <t xml:space="preserve">= </t>
    </r>
    <r>
      <rPr>
        <sz val="9"/>
        <color rgb="FF4B5563"/>
        <rFont val="WenQuanYi Zen Hei"/>
        <family val="2"/>
      </rPr>
      <t xml:space="preserve">시험</t>
    </r>
    <r>
      <rPr>
        <sz val="9"/>
        <color rgb="FF4B5563"/>
        <rFont val="Arial"/>
        <family val="0"/>
        <charset val="1"/>
      </rPr>
      <t xml:space="preserve">·</t>
    </r>
    <r>
      <rPr>
        <sz val="9"/>
        <color rgb="FF4B5563"/>
        <rFont val="WenQuanYi Zen Hei"/>
        <family val="2"/>
      </rPr>
      <t xml:space="preserve">해석 필요</t>
    </r>
    <r>
      <rPr>
        <sz val="9"/>
        <color rgb="FF4B5563"/>
        <rFont val="Arial"/>
        <family val="0"/>
        <charset val="1"/>
      </rPr>
      <t xml:space="preserve">, </t>
    </r>
    <r>
      <rPr>
        <sz val="9"/>
        <color rgb="FF4B5563"/>
        <rFont val="WenQuanYi Zen Hei"/>
        <family val="2"/>
      </rPr>
      <t xml:space="preserve">회색 </t>
    </r>
    <r>
      <rPr>
        <sz val="9"/>
        <color rgb="FF4B5563"/>
        <rFont val="Arial"/>
        <family val="0"/>
        <charset val="1"/>
      </rPr>
      <t xml:space="preserve">= </t>
    </r>
    <r>
      <rPr>
        <sz val="9"/>
        <color rgb="FF4B5563"/>
        <rFont val="WenQuanYi Zen Hei"/>
        <family val="2"/>
      </rPr>
      <t xml:space="preserve">해당 없음</t>
    </r>
    <r>
      <rPr>
        <sz val="9"/>
        <color rgb="FF4B5563"/>
        <rFont val="Arial"/>
        <family val="0"/>
        <charset val="1"/>
      </rPr>
      <t xml:space="preserve">·</t>
    </r>
    <r>
      <rPr>
        <sz val="9"/>
        <color rgb="FF4B5563"/>
        <rFont val="WenQuanYi Zen Hei"/>
        <family val="2"/>
      </rPr>
      <t xml:space="preserve">불가</t>
    </r>
    <r>
      <rPr>
        <sz val="9"/>
        <color rgb="FF4B5563"/>
        <rFont val="Arial"/>
        <family val="0"/>
        <charset val="1"/>
      </rPr>
      <t xml:space="preserve">. </t>
    </r>
    <r>
      <rPr>
        <sz val="9"/>
        <color rgb="FF4B5563"/>
        <rFont val="WenQuanYi Zen Hei"/>
        <family val="2"/>
      </rPr>
      <t xml:space="preserve">지표는 모두 </t>
    </r>
    <r>
      <rPr>
        <sz val="9"/>
        <color rgb="FF4B5563"/>
        <rFont val="Arial"/>
        <family val="0"/>
        <charset val="1"/>
      </rPr>
      <t xml:space="preserve">'</t>
    </r>
    <r>
      <rPr>
        <sz val="9"/>
        <color rgb="FF4B5563"/>
        <rFont val="WenQuanYi Zen Hei"/>
        <family val="2"/>
      </rPr>
      <t xml:space="preserve">중규모 등가값</t>
    </r>
    <r>
      <rPr>
        <sz val="9"/>
        <color rgb="FF4B5563"/>
        <rFont val="Arial"/>
        <family val="0"/>
        <charset val="1"/>
      </rPr>
      <t xml:space="preserve">'(t600, p_B)</t>
    </r>
    <r>
      <rPr>
        <sz val="9"/>
        <color rgb="FF4B5563"/>
        <rFont val="WenQuanYi Zen Hei"/>
        <family val="2"/>
      </rPr>
      <t xml:space="preserve">으로 바꿔 비교합니다</t>
    </r>
    <r>
      <rPr>
        <sz val="9"/>
        <color rgb="FF4B5563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</si>
  <si>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② L1 </t>
    </r>
    <r>
      <rPr>
        <b val="true"/>
        <sz val="14"/>
        <rFont val="WenQuanYi Zen Hei"/>
        <family val="2"/>
      </rPr>
      <t xml:space="preserve">콘칼로리미터 </t>
    </r>
    <r>
      <rPr>
        <b val="true"/>
        <sz val="14"/>
        <rFont val="Arial"/>
        <family val="0"/>
        <charset val="1"/>
      </rPr>
      <t xml:space="preserve">(ISO 5660-1) — </t>
    </r>
    <r>
      <rPr>
        <b val="true"/>
        <sz val="14"/>
        <rFont val="WenQuanYi Zen Hei"/>
        <family val="2"/>
      </rPr>
      <t xml:space="preserve">입력 양식과 지표 계산</t>
    </r>
  </si>
  <si>
    <r>
      <rPr>
        <sz val="9"/>
        <color rgb="FF4B5563"/>
        <rFont val="Arial"/>
        <family val="0"/>
        <charset val="1"/>
      </rPr>
      <t xml:space="preserve">50 kW/m² 10</t>
    </r>
    <r>
      <rPr>
        <sz val="9"/>
        <color rgb="FF4B5563"/>
        <rFont val="WenQuanYi Zen Hei"/>
        <family val="2"/>
      </rPr>
      <t xml:space="preserve">분 결과로 국내 준불연 판정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게이트</t>
    </r>
    <r>
      <rPr>
        <sz val="9"/>
        <color rgb="FF4B5563"/>
        <rFont val="Arial"/>
        <family val="0"/>
        <charset val="1"/>
      </rPr>
      <t xml:space="preserve">)</t>
    </r>
    <r>
      <rPr>
        <sz val="9"/>
        <color rgb="FF4B5563"/>
        <rFont val="WenQuanYi Zen Hei"/>
        <family val="2"/>
      </rPr>
      <t xml:space="preserve">을</t>
    </r>
    <r>
      <rPr>
        <sz val="9"/>
        <color rgb="FF4B5563"/>
        <rFont val="Arial"/>
        <family val="0"/>
        <charset val="1"/>
      </rPr>
      <t xml:space="preserve">, 25·35·50·65 kW/m² </t>
    </r>
    <r>
      <rPr>
        <sz val="9"/>
        <color rgb="FF4B5563"/>
        <rFont val="WenQuanYi Zen Hei"/>
        <family val="2"/>
      </rPr>
      <t xml:space="preserve">착화시간으로 </t>
    </r>
    <r>
      <rPr>
        <sz val="9"/>
        <color rgb="FF4B5563"/>
        <rFont val="Arial"/>
        <family val="0"/>
        <charset val="1"/>
      </rPr>
      <t xml:space="preserve">TRP·CHF</t>
    </r>
    <r>
      <rPr>
        <sz val="9"/>
        <color rgb="FF4B5563"/>
        <rFont val="WenQuanYi Zen Hei"/>
        <family val="2"/>
      </rPr>
      <t xml:space="preserve">를 구합니다</t>
    </r>
    <r>
      <rPr>
        <sz val="9"/>
        <color rgb="FF4B5563"/>
        <rFont val="Arial"/>
        <family val="0"/>
        <charset val="1"/>
      </rPr>
      <t xml:space="preserve">. </t>
    </r>
    <r>
      <rPr>
        <sz val="9"/>
        <color rgb="FF4B5563"/>
        <rFont val="WenQuanYi Zen Hei"/>
        <family val="2"/>
      </rPr>
      <t xml:space="preserve">회색 기울임 행은 형식 예시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가상값</t>
    </r>
    <r>
      <rPr>
        <sz val="9"/>
        <color rgb="FF4B5563"/>
        <rFont val="Arial"/>
        <family val="0"/>
        <charset val="1"/>
      </rPr>
      <t xml:space="preserve">)</t>
    </r>
    <r>
      <rPr>
        <sz val="9"/>
        <color rgb="FF4B5563"/>
        <rFont val="WenQuanYi Zen Hei"/>
        <family val="2"/>
      </rPr>
      <t xml:space="preserve">입니다</t>
    </r>
    <r>
      <rPr>
        <sz val="9"/>
        <color rgb="FF4B5563"/>
        <rFont val="Arial"/>
        <family val="0"/>
        <charset val="1"/>
      </rPr>
      <t xml:space="preserve">.</t>
    </r>
  </si>
  <si>
    <t xml:space="preserve">변수</t>
  </si>
  <si>
    <t xml:space="preserve">A_exp</t>
  </si>
  <si>
    <r>
      <rPr>
        <sz val="10"/>
        <rFont val="WenQuanYi Zen Hei"/>
        <family val="2"/>
      </rPr>
      <t xml:space="preserve">노출 면적 </t>
    </r>
    <r>
      <rPr>
        <sz val="10"/>
        <rFont val="Arial"/>
        <family val="0"/>
        <charset val="1"/>
      </rPr>
      <t xml:space="preserve">(ISO 5660-1, </t>
    </r>
    <r>
      <rPr>
        <sz val="10"/>
        <rFont val="WenQuanYi Zen Hei"/>
        <family val="2"/>
      </rPr>
      <t xml:space="preserve">받침틀 사용</t>
    </r>
    <r>
      <rPr>
        <sz val="10"/>
        <rFont val="Arial"/>
        <family val="0"/>
        <charset val="1"/>
      </rPr>
      <t xml:space="preserve">)</t>
    </r>
  </si>
  <si>
    <t xml:space="preserve">m²</t>
  </si>
  <si>
    <t xml:space="preserve">k_f</t>
  </si>
  <si>
    <r>
      <rPr>
        <sz val="10"/>
        <rFont val="WenQuanYi Zen Hei"/>
        <family val="2"/>
      </rPr>
      <t xml:space="preserve">벽면 화염 길이 계수 </t>
    </r>
    <r>
      <rPr>
        <sz val="10"/>
        <rFont val="Arial"/>
        <family val="0"/>
        <charset val="1"/>
      </rPr>
      <t xml:space="preserve">(Quintiere)</t>
    </r>
  </si>
  <si>
    <t xml:space="preserve">m²/kW</t>
  </si>
  <si>
    <t xml:space="preserve">thr_lim</t>
  </si>
  <si>
    <r>
      <rPr>
        <sz val="10"/>
        <rFont val="WenQuanYi Zen Hei"/>
        <family val="2"/>
      </rPr>
      <t xml:space="preserve">준불연</t>
    </r>
    <r>
      <rPr>
        <sz val="10"/>
        <rFont val="Arial"/>
        <family val="0"/>
        <charset val="1"/>
      </rPr>
      <t xml:space="preserve">: 10</t>
    </r>
    <r>
      <rPr>
        <sz val="10"/>
        <rFont val="WenQuanYi Zen Hei"/>
        <family val="2"/>
      </rPr>
      <t xml:space="preserve">분 총방출열량 상한</t>
    </r>
  </si>
  <si>
    <t xml:space="preserve">MJ/m²</t>
  </si>
  <si>
    <t xml:space="preserve">dur_lim</t>
  </si>
  <si>
    <r>
      <rPr>
        <sz val="10"/>
        <rFont val="WenQuanYi Zen Hei"/>
        <family val="2"/>
      </rPr>
      <t xml:space="preserve">준불연</t>
    </r>
    <r>
      <rPr>
        <sz val="10"/>
        <rFont val="Arial"/>
        <family val="0"/>
        <charset val="1"/>
      </rPr>
      <t xml:space="preserve">: 200 kW/m² </t>
    </r>
    <r>
      <rPr>
        <sz val="10"/>
        <rFont val="WenQuanYi Zen Hei"/>
        <family val="2"/>
      </rPr>
      <t xml:space="preserve">초과 연속시간 상한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미만</t>
    </r>
    <r>
      <rPr>
        <sz val="10"/>
        <rFont val="Arial"/>
        <family val="0"/>
        <charset val="1"/>
      </rPr>
      <t xml:space="preserve">)</t>
    </r>
  </si>
  <si>
    <t xml:space="preserve">s</t>
  </si>
  <si>
    <t xml:space="preserve">t600_ref_cone</t>
  </si>
  <si>
    <r>
      <rPr>
        <sz val="10"/>
        <rFont val="WenQuanYi Zen Hei"/>
        <family val="2"/>
      </rPr>
      <t xml:space="preserve">콘 상대식 기준 </t>
    </r>
    <r>
      <rPr>
        <sz val="10"/>
        <rFont val="Arial"/>
        <family val="0"/>
        <charset val="1"/>
      </rPr>
      <t xml:space="preserve">t600 (PIR(PUR) </t>
    </r>
    <r>
      <rPr>
        <sz val="10"/>
        <rFont val="WenQuanYi Zen Hei"/>
        <family val="2"/>
      </rPr>
      <t xml:space="preserve">준불연 기하평균</t>
    </r>
    <r>
      <rPr>
        <sz val="10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</si>
  <si>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시편별 기록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반복 </t>
    </r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회 권장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WenQuanYi Zen Hei"/>
        <family val="2"/>
      </rPr>
      <t xml:space="preserve">면재 포함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WenQuanYi Zen Hei"/>
        <family val="2"/>
      </rPr>
      <t xml:space="preserve">심재 각각</t>
    </r>
    <r>
      <rPr>
        <b val="true"/>
        <sz val="11"/>
        <rFont val="Arial"/>
        <family val="0"/>
        <charset val="1"/>
      </rPr>
      <t xml:space="preserve">)</t>
    </r>
  </si>
  <si>
    <t xml:space="preserve">재료</t>
  </si>
  <si>
    <t xml:space="preserve">시편</t>
  </si>
  <si>
    <r>
      <rPr>
        <b val="true"/>
        <sz val="10"/>
        <color rgb="FFFFFFFF"/>
        <rFont val="WenQuanYi Zen Hei"/>
        <family val="2"/>
      </rPr>
      <t xml:space="preserve">열류속 </t>
    </r>
    <r>
      <rPr>
        <b val="true"/>
        <sz val="10"/>
        <color rgb="FFFFFFFF"/>
        <rFont val="Arial"/>
        <family val="0"/>
        <charset val="1"/>
      </rPr>
      <t xml:space="preserve">q″ (kW/m²)</t>
    </r>
  </si>
  <si>
    <r>
      <rPr>
        <b val="true"/>
        <sz val="10"/>
        <color rgb="FFFFFFFF"/>
        <rFont val="WenQuanYi Zen Hei"/>
        <family val="2"/>
      </rPr>
      <t xml:space="preserve">두께 </t>
    </r>
    <r>
      <rPr>
        <b val="true"/>
        <sz val="10"/>
        <color rgb="FFFFFFFF"/>
        <rFont val="Arial"/>
        <family val="0"/>
        <charset val="1"/>
      </rPr>
      <t xml:space="preserve">(mm)</t>
    </r>
  </si>
  <si>
    <t xml:space="preserve">면재</t>
  </si>
  <si>
    <t xml:space="preserve">t_ig (s)</t>
  </si>
  <si>
    <t xml:space="preserve">pHRR (kW/m²)</t>
  </si>
  <si>
    <t xml:space="preserve">t_pHRR (s)</t>
  </si>
  <si>
    <t xml:space="preserve">THR_600 (MJ/m²)</t>
  </si>
  <si>
    <t xml:space="preserve">THR_total (MJ/m²)</t>
  </si>
  <si>
    <r>
      <rPr>
        <b val="true"/>
        <sz val="10"/>
        <color rgb="FFFFFFFF"/>
        <rFont val="WenQuanYi Zen Hei"/>
        <family val="2"/>
      </rPr>
      <t xml:space="preserve">질량감소 </t>
    </r>
    <r>
      <rPr>
        <b val="true"/>
        <sz val="10"/>
        <color rgb="FFFFFFFF"/>
        <rFont val="Arial"/>
        <family val="0"/>
        <charset val="1"/>
      </rPr>
      <t xml:space="preserve">Δm (g)</t>
    </r>
  </si>
  <si>
    <r>
      <rPr>
        <b val="true"/>
        <sz val="10"/>
        <color rgb="FFFFFFFF"/>
        <rFont val="Arial"/>
        <family val="0"/>
        <charset val="1"/>
      </rPr>
      <t xml:space="preserve">200 kW/m² </t>
    </r>
    <r>
      <rPr>
        <b val="true"/>
        <sz val="10"/>
        <color rgb="FFFFFFFF"/>
        <rFont val="WenQuanYi Zen Hei"/>
        <family val="2"/>
      </rPr>
      <t xml:space="preserve">초과 최대 연속시간 </t>
    </r>
    <r>
      <rPr>
        <b val="true"/>
        <sz val="10"/>
        <color rgb="FFFFFFFF"/>
        <rFont val="Arial"/>
        <family val="0"/>
        <charset val="1"/>
      </rPr>
      <t xml:space="preserve">(s)</t>
    </r>
  </si>
  <si>
    <r>
      <rPr>
        <b val="true"/>
        <sz val="10"/>
        <color rgb="FFFFFFFF"/>
        <rFont val="WenQuanYi Zen Hei"/>
        <family val="2"/>
      </rPr>
      <t xml:space="preserve">관통 균열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구멍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용융 </t>
    </r>
    <r>
      <rPr>
        <b val="true"/>
        <sz val="10"/>
        <color rgb="FFFFFFFF"/>
        <rFont val="Arial"/>
        <family val="0"/>
        <charset val="1"/>
      </rPr>
      <t xml:space="preserve">(Y/N)</t>
    </r>
  </si>
  <si>
    <t xml:space="preserve">TSP (m²)</t>
  </si>
  <si>
    <r>
      <rPr>
        <b val="true"/>
        <sz val="10"/>
        <color rgb="FFFFFFFF"/>
        <rFont val="Arial"/>
        <family val="0"/>
        <charset val="1"/>
      </rPr>
      <t xml:space="preserve">CO </t>
    </r>
    <r>
      <rPr>
        <b val="true"/>
        <sz val="10"/>
        <color rgb="FFFFFFFF"/>
        <rFont val="WenQuanYi Zen Hei"/>
        <family val="2"/>
      </rPr>
      <t xml:space="preserve">수율 </t>
    </r>
    <r>
      <rPr>
        <b val="true"/>
        <sz val="10"/>
        <color rgb="FFFFFFFF"/>
        <rFont val="Arial"/>
        <family val="0"/>
        <charset val="1"/>
      </rPr>
      <t xml:space="preserve">(kg/kg)</t>
    </r>
  </si>
  <si>
    <r>
      <rPr>
        <b val="true"/>
        <sz val="10"/>
        <color rgb="FFFFFFFF"/>
        <rFont val="Arial"/>
        <family val="0"/>
        <charset val="1"/>
      </rPr>
      <t xml:space="preserve">FIGRA_</t>
    </r>
    <r>
      <rPr>
        <b val="true"/>
        <sz val="10"/>
        <color rgb="FFFFFFFF"/>
        <rFont val="WenQuanYi Zen Hei"/>
        <family val="2"/>
      </rPr>
      <t xml:space="preserve">콘 </t>
    </r>
    <r>
      <rPr>
        <b val="true"/>
        <sz val="10"/>
        <color rgb="FFFFFFFF"/>
        <rFont val="Arial"/>
        <family val="0"/>
        <charset val="1"/>
      </rPr>
      <t xml:space="preserve">= pHRR/t_pHRR</t>
    </r>
  </si>
  <si>
    <t xml:space="preserve">t_ig/pHRR (Petrella)</t>
  </si>
  <si>
    <t xml:space="preserve">EHC (MJ/kg)</t>
  </si>
  <si>
    <t xml:space="preserve">t_b = THR/pHRR (s)</t>
  </si>
  <si>
    <t xml:space="preserve">b (Quintiere)</t>
  </si>
  <si>
    <r>
      <rPr>
        <b val="true"/>
        <sz val="10"/>
        <color rgb="FFFFFFFF"/>
        <rFont val="WenQuanYi Zen Hei"/>
        <family val="2"/>
      </rPr>
      <t xml:space="preserve">준불연 판정 </t>
    </r>
    <r>
      <rPr>
        <b val="true"/>
        <sz val="10"/>
        <color rgb="FFFFFFFF"/>
        <rFont val="Arial"/>
        <family val="0"/>
        <charset val="1"/>
      </rPr>
      <t xml:space="preserve">(50 kW/m²)</t>
    </r>
  </si>
  <si>
    <t xml:space="preserve">1/√t_ig</t>
  </si>
  <si>
    <r>
      <rPr>
        <i val="true"/>
        <sz val="10"/>
        <color rgb="FF6B7280"/>
        <rFont val="WenQuanYi Zen Hei"/>
        <family val="2"/>
      </rPr>
      <t xml:space="preserve">예시</t>
    </r>
    <r>
      <rPr>
        <i val="true"/>
        <sz val="10"/>
        <color rgb="FF6B7280"/>
        <rFont val="Arial"/>
        <family val="0"/>
        <charset val="1"/>
      </rPr>
      <t xml:space="preserve">(</t>
    </r>
    <r>
      <rPr>
        <i val="true"/>
        <sz val="10"/>
        <color rgb="FF6B7280"/>
        <rFont val="WenQuanYi Zen Hei"/>
        <family val="2"/>
      </rPr>
      <t xml:space="preserve">가상값</t>
    </r>
    <r>
      <rPr>
        <i val="true"/>
        <sz val="10"/>
        <color rgb="FF6B7280"/>
        <rFont val="Arial"/>
        <family val="0"/>
        <charset val="1"/>
      </rPr>
      <t xml:space="preserve">)</t>
    </r>
  </si>
  <si>
    <t xml:space="preserve">E-1</t>
  </si>
  <si>
    <t xml:space="preserve">유</t>
  </si>
  <si>
    <t xml:space="preserve">N</t>
  </si>
  <si>
    <r>
      <rPr>
        <sz val="9"/>
        <color rgb="FF4B5563"/>
        <rFont val="Arial"/>
        <family val="0"/>
        <charset val="1"/>
      </rPr>
      <t xml:space="preserve">FIGRA_</t>
    </r>
    <r>
      <rPr>
        <sz val="9"/>
        <color rgb="FF4B5563"/>
        <rFont val="WenQuanYi Zen Hei"/>
        <family val="2"/>
      </rPr>
      <t xml:space="preserve">콘</t>
    </r>
    <r>
      <rPr>
        <sz val="9"/>
        <color rgb="FF4B5563"/>
        <rFont val="Arial"/>
        <family val="0"/>
        <charset val="1"/>
      </rPr>
      <t xml:space="preserve">·t_ig/pHRR: Schartel &amp; Hull (2007), Petrella (1994) · b &gt; 0</t>
    </r>
    <r>
      <rPr>
        <sz val="9"/>
        <color rgb="FF4B5563"/>
        <rFont val="WenQuanYi Zen Hei"/>
        <family val="2"/>
      </rPr>
      <t xml:space="preserve">이면 상향 확산 가속</t>
    </r>
    <r>
      <rPr>
        <sz val="9"/>
        <color rgb="FF4B5563"/>
        <rFont val="Arial"/>
        <family val="0"/>
        <charset val="1"/>
      </rPr>
      <t xml:space="preserve">(Quintiere 2006, k_f ≈ 0.01 m²/kW) · </t>
    </r>
    <r>
      <rPr>
        <sz val="9"/>
        <color rgb="FF4B5563"/>
        <rFont val="WenQuanYi Zen Hei"/>
        <family val="2"/>
      </rPr>
      <t xml:space="preserve">준불연</t>
    </r>
    <r>
      <rPr>
        <sz val="9"/>
        <color rgb="FF4B5563"/>
        <rFont val="Arial"/>
        <family val="0"/>
        <charset val="1"/>
      </rPr>
      <t xml:space="preserve">: </t>
    </r>
    <r>
      <rPr>
        <sz val="9"/>
        <color rgb="FF4B5563"/>
        <rFont val="WenQuanYi Zen Hei"/>
        <family val="2"/>
      </rPr>
      <t xml:space="preserve">국토교통부 고시 「건축자재등 품질인정 및 관리기준」</t>
    </r>
    <r>
      <rPr>
        <sz val="9"/>
        <color rgb="FF4B5563"/>
        <rFont val="Arial"/>
        <family val="0"/>
        <charset val="1"/>
      </rPr>
      <t xml:space="preserve">(10</t>
    </r>
    <r>
      <rPr>
        <sz val="9"/>
        <color rgb="FF4B5563"/>
        <rFont val="WenQuanYi Zen Hei"/>
        <family val="2"/>
      </rPr>
      <t xml:space="preserve">분 </t>
    </r>
    <r>
      <rPr>
        <sz val="9"/>
        <color rgb="FF4B5563"/>
        <rFont val="Arial"/>
        <family val="0"/>
        <charset val="1"/>
      </rPr>
      <t xml:space="preserve">THR ≤ 8 MJ/m², 200 kW/m² </t>
    </r>
    <r>
      <rPr>
        <sz val="9"/>
        <color rgb="FF4B5563"/>
        <rFont val="WenQuanYi Zen Hei"/>
        <family val="2"/>
      </rPr>
      <t xml:space="preserve">초과 </t>
    </r>
    <r>
      <rPr>
        <sz val="9"/>
        <color rgb="FF4B5563"/>
        <rFont val="Arial"/>
        <family val="0"/>
        <charset val="1"/>
      </rPr>
      <t xml:space="preserve">10</t>
    </r>
    <r>
      <rPr>
        <sz val="9"/>
        <color rgb="FF4B5563"/>
        <rFont val="WenQuanYi Zen Hei"/>
        <family val="2"/>
      </rPr>
      <t xml:space="preserve">초 이상 연속 금지</t>
    </r>
    <r>
      <rPr>
        <sz val="9"/>
        <color rgb="FF4B5563"/>
        <rFont val="Arial"/>
        <family val="0"/>
        <charset val="1"/>
      </rPr>
      <t xml:space="preserve">, </t>
    </r>
    <r>
      <rPr>
        <sz val="9"/>
        <color rgb="FF4B5563"/>
        <rFont val="WenQuanYi Zen Hei"/>
        <family val="2"/>
      </rPr>
      <t xml:space="preserve">관통 균열</t>
    </r>
    <r>
      <rPr>
        <sz val="9"/>
        <color rgb="FF4B5563"/>
        <rFont val="Arial"/>
        <family val="0"/>
        <charset val="1"/>
      </rPr>
      <t xml:space="preserve">·</t>
    </r>
    <r>
      <rPr>
        <sz val="9"/>
        <color rgb="FF4B5563"/>
        <rFont val="WenQuanYi Zen Hei"/>
        <family val="2"/>
      </rPr>
      <t xml:space="preserve">구멍</t>
    </r>
    <r>
      <rPr>
        <sz val="9"/>
        <color rgb="FF4B5563"/>
        <rFont val="Arial"/>
        <family val="0"/>
        <charset val="1"/>
      </rPr>
      <t xml:space="preserve">·</t>
    </r>
    <r>
      <rPr>
        <sz val="9"/>
        <color rgb="FF4B5563"/>
        <rFont val="WenQuanYi Zen Hei"/>
        <family val="2"/>
      </rPr>
      <t xml:space="preserve">용융 없음</t>
    </r>
    <r>
      <rPr>
        <sz val="9"/>
        <color rgb="FF4B5563"/>
        <rFont val="Arial"/>
        <family val="0"/>
        <charset val="1"/>
      </rPr>
      <t xml:space="preserve">; </t>
    </r>
    <r>
      <rPr>
        <sz val="9"/>
        <color rgb="FF4B5563"/>
        <rFont val="WenQuanYi Zen Hei"/>
        <family val="2"/>
      </rPr>
      <t xml:space="preserve">가스유해성 별도</t>
    </r>
    <r>
      <rPr>
        <sz val="9"/>
        <color rgb="FF4B5563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</si>
  <si>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다열류속 착화시간 → </t>
    </r>
    <r>
      <rPr>
        <b val="true"/>
        <sz val="11"/>
        <rFont val="Arial"/>
        <family val="0"/>
        <charset val="1"/>
      </rPr>
      <t xml:space="preserve">TRP·CHF (1/√t_ig = (q″ − CHF)/TRP, </t>
    </r>
    <r>
      <rPr>
        <b val="true"/>
        <sz val="11"/>
        <rFont val="WenQuanYi Zen Hei"/>
        <family val="2"/>
      </rPr>
      <t xml:space="preserve">열적으로 두꺼운 시편</t>
    </r>
    <r>
      <rPr>
        <b val="true"/>
        <sz val="11"/>
        <rFont val="Arial"/>
        <family val="0"/>
        <charset val="1"/>
      </rPr>
      <t xml:space="preserve">)</t>
    </r>
  </si>
  <si>
    <t xml:space="preserve">q″ (kW/m²)</t>
  </si>
  <si>
    <r>
      <rPr>
        <b val="true"/>
        <sz val="10"/>
        <color rgb="FFFFFFFF"/>
        <rFont val="WenQuanYi Zen Hei"/>
        <family val="2"/>
      </rPr>
      <t xml:space="preserve">평균 </t>
    </r>
    <r>
      <rPr>
        <b val="true"/>
        <sz val="10"/>
        <color rgb="FFFFFFFF"/>
        <rFont val="Arial"/>
        <family val="0"/>
        <charset val="1"/>
      </rPr>
      <t xml:space="preserve">t_ig (s)</t>
    </r>
  </si>
  <si>
    <t xml:space="preserve">TRP (kW·s½/m²)</t>
  </si>
  <si>
    <t xml:space="preserve">CHF (kW/m²)</t>
  </si>
  <si>
    <r>
      <rPr>
        <b val="true"/>
        <sz val="10"/>
        <rFont val="Arial"/>
        <family val="0"/>
        <charset val="1"/>
      </rPr>
      <t xml:space="preserve">EPS </t>
    </r>
    <r>
      <rPr>
        <b val="true"/>
        <sz val="10"/>
        <rFont val="WenQuanYi Zen Hei"/>
        <family val="2"/>
      </rPr>
      <t xml:space="preserve">가연성</t>
    </r>
  </si>
  <si>
    <r>
      <rPr>
        <b val="true"/>
        <sz val="10"/>
        <rFont val="Arial"/>
        <family val="0"/>
        <charset val="1"/>
      </rPr>
      <t xml:space="preserve">EPS </t>
    </r>
    <r>
      <rPr>
        <b val="true"/>
        <sz val="10"/>
        <rFont val="WenQuanYi Zen Hei"/>
        <family val="2"/>
      </rPr>
      <t xml:space="preserve">준불연</t>
    </r>
  </si>
  <si>
    <r>
      <rPr>
        <b val="true"/>
        <sz val="10"/>
        <rFont val="Arial"/>
        <family val="0"/>
        <charset val="1"/>
      </rPr>
      <t xml:space="preserve">PIR(PUR) </t>
    </r>
    <r>
      <rPr>
        <b val="true"/>
        <sz val="10"/>
        <rFont val="WenQuanYi Zen Hei"/>
        <family val="2"/>
      </rPr>
      <t xml:space="preserve">가연성</t>
    </r>
  </si>
  <si>
    <r>
      <rPr>
        <b val="true"/>
        <sz val="10"/>
        <rFont val="Arial"/>
        <family val="0"/>
        <charset val="1"/>
      </rPr>
      <t xml:space="preserve">PIR(PUR) </t>
    </r>
    <r>
      <rPr>
        <b val="true"/>
        <sz val="10"/>
        <rFont val="WenQuanYi Zen Hei"/>
        <family val="2"/>
      </rPr>
      <t xml:space="preserve">준불연</t>
    </r>
  </si>
  <si>
    <r>
      <rPr>
        <b val="true"/>
        <sz val="10"/>
        <rFont val="Arial"/>
        <family val="0"/>
        <charset val="1"/>
      </rPr>
      <t xml:space="preserve">PF </t>
    </r>
    <r>
      <rPr>
        <b val="true"/>
        <sz val="10"/>
        <rFont val="WenQuanYi Zen Hei"/>
        <family val="2"/>
      </rPr>
      <t xml:space="preserve">준불연 외부용</t>
    </r>
  </si>
  <si>
    <r>
      <rPr>
        <b val="true"/>
        <sz val="10"/>
        <rFont val="Arial"/>
        <family val="0"/>
        <charset val="1"/>
      </rPr>
      <t xml:space="preserve">PF </t>
    </r>
    <r>
      <rPr>
        <b val="true"/>
        <sz val="10"/>
        <rFont val="WenQuanYi Zen Hei"/>
        <family val="2"/>
      </rPr>
      <t xml:space="preserve">준불연 내부용</t>
    </r>
  </si>
  <si>
    <r>
      <rPr>
        <b val="true"/>
        <sz val="11"/>
        <rFont val="Arial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재료별 요약 → 게이트와 중규모 등가 예측 </t>
    </r>
    <r>
      <rPr>
        <b val="true"/>
        <sz val="11"/>
        <rFont val="Arial"/>
        <family val="0"/>
        <charset val="1"/>
      </rPr>
      <t xml:space="preserve">(50 kW/m², </t>
    </r>
    <r>
      <rPr>
        <b val="true"/>
        <sz val="11"/>
        <rFont val="WenQuanYi Zen Hei"/>
        <family val="2"/>
      </rPr>
      <t xml:space="preserve">예시 행 제외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</si>
  <si>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시편 수</t>
    </r>
    <r>
      <rPr>
        <b val="true"/>
        <sz val="10"/>
        <color rgb="FFFFFFFF"/>
        <rFont val="Arial"/>
        <family val="0"/>
        <charset val="1"/>
      </rPr>
      <t xml:space="preserve">(50)</t>
    </r>
  </si>
  <si>
    <t xml:space="preserve">b</t>
  </si>
  <si>
    <r>
      <rPr>
        <b val="true"/>
        <sz val="10"/>
        <color rgb="FFFFFFFF"/>
        <rFont val="WenQuanYi Zen Hei"/>
        <family val="2"/>
      </rPr>
      <t xml:space="preserve">준불연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전 시편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</si>
  <si>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TRP</t>
  </si>
  <si>
    <t xml:space="preserve">M = Q̇″^(1/3)/TRP</t>
  </si>
  <si>
    <r>
      <rPr>
        <b val="true"/>
        <sz val="10"/>
        <color rgb="FFFFFFFF"/>
        <rFont val="Arial"/>
        <family val="0"/>
        <charset val="1"/>
      </rPr>
      <t xml:space="preserve">t̂600_</t>
    </r>
    <r>
      <rPr>
        <b val="true"/>
        <sz val="10"/>
        <color rgb="FFFFFFFF"/>
        <rFont val="WenQuanYi Zen Hei"/>
        <family val="2"/>
      </rPr>
      <t xml:space="preserve">콘 </t>
    </r>
    <r>
      <rPr>
        <b val="true"/>
        <sz val="10"/>
        <color rgb="FFFFFFFF"/>
        <rFont val="Arial"/>
        <family val="0"/>
        <charset val="1"/>
      </rPr>
      <t xml:space="preserve">(s)</t>
    </r>
  </si>
  <si>
    <r>
      <rPr>
        <sz val="9"/>
        <color rgb="FF4B5563"/>
        <rFont val="Arial"/>
        <family val="0"/>
        <charset val="1"/>
      </rPr>
      <t xml:space="preserve">t̂600_</t>
    </r>
    <r>
      <rPr>
        <sz val="9"/>
        <color rgb="FF4B5563"/>
        <rFont val="WenQuanYi Zen Hei"/>
        <family val="2"/>
      </rPr>
      <t xml:space="preserve">콘 </t>
    </r>
    <r>
      <rPr>
        <sz val="9"/>
        <color rgb="FF4B5563"/>
        <rFont val="Arial"/>
        <family val="0"/>
        <charset val="1"/>
      </rPr>
      <t xml:space="preserve">= 1079 s × (M_PIR(PUR) </t>
    </r>
    <r>
      <rPr>
        <sz val="9"/>
        <color rgb="FF4B5563"/>
        <rFont val="WenQuanYi Zen Hei"/>
        <family val="2"/>
      </rPr>
      <t xml:space="preserve">준불연 </t>
    </r>
    <r>
      <rPr>
        <sz val="9"/>
        <color rgb="FF4B5563"/>
        <rFont val="Arial"/>
        <family val="0"/>
        <charset val="1"/>
      </rPr>
      <t xml:space="preserve">/ M)²: cavity_fire_index/RISK_MODEL.md</t>
    </r>
    <r>
      <rPr>
        <sz val="9"/>
        <color rgb="FF4B5563"/>
        <rFont val="WenQuanYi Zen Hei"/>
        <family val="2"/>
      </rPr>
      <t xml:space="preserve">의 상대식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잠정</t>
    </r>
    <r>
      <rPr>
        <sz val="9"/>
        <color rgb="FF4B5563"/>
        <rFont val="Arial"/>
        <family val="0"/>
        <charset val="1"/>
      </rPr>
      <t xml:space="preserve">). </t>
    </r>
    <r>
      <rPr>
        <sz val="9"/>
        <color rgb="FF4B5563"/>
        <rFont val="WenQuanYi Zen Hei"/>
        <family val="2"/>
      </rPr>
      <t xml:space="preserve">콘 자료가 생기면 중규모 </t>
    </r>
    <r>
      <rPr>
        <sz val="9"/>
        <color rgb="FF4B5563"/>
        <rFont val="Arial"/>
        <family val="0"/>
        <charset val="1"/>
      </rPr>
      <t xml:space="preserve">t600</t>
    </r>
    <r>
      <rPr>
        <sz val="9"/>
        <color rgb="FF4B5563"/>
        <rFont val="WenQuanYi Zen Hei"/>
        <family val="2"/>
      </rPr>
      <t xml:space="preserve">과 비교해 보정합니다</t>
    </r>
    <r>
      <rPr>
        <sz val="9"/>
        <color rgb="FF4B5563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</si>
  <si>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③ L1 TGA–DSC (5 °C/min, </t>
    </r>
    <r>
      <rPr>
        <b val="true"/>
        <sz val="14"/>
        <rFont val="WenQuanYi Zen Hei"/>
        <family val="2"/>
      </rPr>
      <t xml:space="preserve">공기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질소 각 </t>
    </r>
    <r>
      <rPr>
        <b val="true"/>
        <sz val="14"/>
        <rFont val="Arial"/>
        <family val="0"/>
        <charset val="1"/>
      </rPr>
      <t xml:space="preserve">2</t>
    </r>
    <r>
      <rPr>
        <b val="true"/>
        <sz val="14"/>
        <rFont val="WenQuanYi Zen Hei"/>
        <family val="2"/>
      </rPr>
      <t xml:space="preserve">회 평균</t>
    </r>
    <r>
      <rPr>
        <b val="true"/>
        <sz val="14"/>
        <rFont val="Arial"/>
        <family val="0"/>
        <charset val="1"/>
      </rPr>
      <t xml:space="preserve">) → </t>
    </r>
    <r>
      <rPr>
        <b val="true"/>
        <sz val="14"/>
        <rFont val="WenQuanYi Zen Hei"/>
        <family val="2"/>
      </rPr>
      <t xml:space="preserve">재료 인자와 중규모 등가 예측</t>
    </r>
  </si>
  <si>
    <r>
      <rPr>
        <sz val="9"/>
        <color rgb="FF4B5563"/>
        <rFont val="Arial"/>
        <family val="0"/>
        <charset val="1"/>
      </rPr>
      <t xml:space="preserve">TGA </t>
    </r>
    <r>
      <rPr>
        <sz val="9"/>
        <color rgb="FF4B5563"/>
        <rFont val="WenQuanYi Zen Hei"/>
        <family val="2"/>
      </rPr>
      <t xml:space="preserve">값은 </t>
    </r>
    <r>
      <rPr>
        <sz val="9"/>
        <color rgb="FF4B5563"/>
        <rFont val="Arial"/>
        <family val="0"/>
        <charset val="1"/>
      </rPr>
      <t xml:space="preserve">tga_dsc/results/tga_summary.csv. </t>
    </r>
    <r>
      <rPr>
        <sz val="9"/>
        <color rgb="FF4B5563"/>
        <rFont val="WenQuanYi Zen Hei"/>
        <family val="2"/>
      </rPr>
      <t xml:space="preserve">등급은 인증서 등급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콘 자료가 생기면 </t>
    </r>
    <r>
      <rPr>
        <sz val="9"/>
        <color rgb="FF4B5563"/>
        <rFont val="Arial"/>
        <family val="0"/>
        <charset val="1"/>
      </rPr>
      <t xml:space="preserve">2_L1_</t>
    </r>
    <r>
      <rPr>
        <sz val="9"/>
        <color rgb="FF4B5563"/>
        <rFont val="WenQuanYi Zen Hei"/>
        <family val="2"/>
      </rPr>
      <t xml:space="preserve">콘의 판정으로 교체</t>
    </r>
    <r>
      <rPr>
        <sz val="9"/>
        <color rgb="FF4B5563"/>
        <rFont val="Arial"/>
        <family val="0"/>
        <charset val="1"/>
      </rPr>
      <t xml:space="preserve">). </t>
    </r>
    <r>
      <rPr>
        <sz val="9"/>
        <color rgb="FF4B5563"/>
        <rFont val="WenQuanYi Zen Hei"/>
        <family val="2"/>
      </rPr>
      <t xml:space="preserve">전이함수 상수는 </t>
    </r>
    <r>
      <rPr>
        <sz val="9"/>
        <color rgb="FF4B5563"/>
        <rFont val="Arial"/>
        <family val="0"/>
        <charset val="1"/>
      </rPr>
      <t xml:space="preserve">6_</t>
    </r>
    <r>
      <rPr>
        <sz val="9"/>
        <color rgb="FF4B5563"/>
        <rFont val="WenQuanYi Zen Hei"/>
        <family val="2"/>
      </rPr>
      <t xml:space="preserve">전이함수</t>
    </r>
    <r>
      <rPr>
        <sz val="9"/>
        <color rgb="FF4B5563"/>
        <rFont val="Arial"/>
        <family val="0"/>
        <charset val="1"/>
      </rPr>
      <t xml:space="preserve">.</t>
    </r>
  </si>
  <si>
    <t xml:space="preserve">재료명</t>
  </si>
  <si>
    <t xml:space="preserve">등급</t>
  </si>
  <si>
    <t xml:space="preserve">T_onset,air (°C)</t>
  </si>
  <si>
    <t xml:space="preserve">T_5%,air (°C)</t>
  </si>
  <si>
    <t xml:space="preserve">r_max,air (%/°C)</t>
  </si>
  <si>
    <r>
      <rPr>
        <b val="true"/>
        <sz val="10"/>
        <color rgb="FFFFFFFF"/>
        <rFont val="Arial"/>
        <family val="0"/>
        <charset val="1"/>
      </rPr>
      <t xml:space="preserve">± </t>
    </r>
    <r>
      <rPr>
        <b val="true"/>
        <sz val="10"/>
        <color rgb="FFFFFFFF"/>
        <rFont val="WenQuanYi Zen Hei"/>
        <family val="2"/>
      </rPr>
      <t xml:space="preserve">반폭</t>
    </r>
  </si>
  <si>
    <t xml:space="preserve">f400,air</t>
  </si>
  <si>
    <t xml:space="preserve">r_max,N₂</t>
  </si>
  <si>
    <t xml:space="preserve">f400,N₂</t>
  </si>
  <si>
    <t xml:space="preserve">공기 자료 판정</t>
  </si>
  <si>
    <t xml:space="preserve">재료형</t>
  </si>
  <si>
    <r>
      <rPr>
        <b val="true"/>
        <sz val="10"/>
        <color rgb="FFFFFFFF"/>
        <rFont val="Arial"/>
        <family val="0"/>
        <charset val="1"/>
      </rPr>
      <t xml:space="preserve">t̂600 </t>
    </r>
    <r>
      <rPr>
        <b val="true"/>
        <sz val="10"/>
        <color rgb="FFFFFFFF"/>
        <rFont val="WenQuanYi Zen Hei"/>
        <family val="2"/>
      </rPr>
      <t xml:space="preserve">전체 보정 </t>
    </r>
    <r>
      <rPr>
        <b val="true"/>
        <sz val="10"/>
        <color rgb="FFFFFFFF"/>
        <rFont val="Arial"/>
        <family val="0"/>
        <charset val="1"/>
      </rPr>
      <t xml:space="preserve">(s)</t>
    </r>
  </si>
  <si>
    <r>
      <rPr>
        <b val="true"/>
        <sz val="10"/>
        <color rgb="FFFFFFFF"/>
        <rFont val="Arial"/>
        <family val="0"/>
        <charset val="1"/>
      </rPr>
      <t xml:space="preserve">t̂600 </t>
    </r>
    <r>
      <rPr>
        <b val="true"/>
        <sz val="10"/>
        <color rgb="FFFFFFFF"/>
        <rFont val="WenQuanYi Zen Hei"/>
        <family val="2"/>
      </rPr>
      <t xml:space="preserve">사용값 </t>
    </r>
    <r>
      <rPr>
        <b val="true"/>
        <sz val="10"/>
        <color rgb="FFFFFFFF"/>
        <rFont val="Arial"/>
        <family val="0"/>
        <charset val="1"/>
      </rPr>
      <t xml:space="preserve">(s)</t>
    </r>
  </si>
  <si>
    <t xml:space="preserve">FRI^ = 900/t̂600</t>
  </si>
  <si>
    <t xml:space="preserve">P̂</t>
  </si>
  <si>
    <r>
      <rPr>
        <b val="true"/>
        <sz val="10"/>
        <color rgb="FFFFFFFF"/>
        <rFont val="Arial"/>
        <family val="0"/>
        <charset val="1"/>
      </rPr>
      <t xml:space="preserve">m (</t>
    </r>
    <r>
      <rPr>
        <b val="true"/>
        <sz val="10"/>
        <color rgb="FFFFFFFF"/>
        <rFont val="WenQuanYi Zen Hei"/>
        <family val="2"/>
      </rPr>
      <t xml:space="preserve">램프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</si>
  <si>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a₀ = n₀m</t>
  </si>
  <si>
    <t xml:space="preserve">b₀ = n₀(1−m)</t>
  </si>
  <si>
    <r>
      <rPr>
        <b val="true"/>
        <sz val="10"/>
        <color rgb="FFFFFFFF"/>
        <rFont val="Arial"/>
        <family val="0"/>
        <charset val="1"/>
      </rPr>
      <t xml:space="preserve">p̂_B </t>
    </r>
    <r>
      <rPr>
        <b val="true"/>
        <sz val="10"/>
        <color rgb="FFFFFFFF"/>
        <rFont val="WenQuanYi Zen Hei"/>
        <family val="2"/>
      </rPr>
      <t xml:space="preserve">사전평균</t>
    </r>
  </si>
  <si>
    <t xml:space="preserve">급발 예상</t>
  </si>
  <si>
    <t xml:space="preserve">EPS_C</t>
  </si>
  <si>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가연성</t>
    </r>
  </si>
  <si>
    <t xml:space="preserve">c</t>
  </si>
  <si>
    <t xml:space="preserve">재측정</t>
  </si>
  <si>
    <t xml:space="preserve">EPS_SC</t>
  </si>
  <si>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준불연</t>
    </r>
  </si>
  <si>
    <t xml:space="preserve">sc</t>
  </si>
  <si>
    <t xml:space="preserve">종점 의존</t>
  </si>
  <si>
    <t xml:space="preserve">PIR_C</t>
  </si>
  <si>
    <r>
      <rPr>
        <sz val="10"/>
        <rFont val="Arial"/>
        <family val="0"/>
        <charset val="1"/>
      </rPr>
      <t xml:space="preserve">PIR(PUR) </t>
    </r>
    <r>
      <rPr>
        <sz val="10"/>
        <rFont val="WenQuanYi Zen Hei"/>
        <family val="2"/>
      </rPr>
      <t xml:space="preserve">가연성</t>
    </r>
  </si>
  <si>
    <t xml:space="preserve">신뢰</t>
  </si>
  <si>
    <t xml:space="preserve">PIR_SC</t>
  </si>
  <si>
    <r>
      <rPr>
        <sz val="10"/>
        <rFont val="Arial"/>
        <family val="0"/>
        <charset val="1"/>
      </rPr>
      <t xml:space="preserve">PIR(PUR) </t>
    </r>
    <r>
      <rPr>
        <sz val="10"/>
        <rFont val="WenQuanYi Zen Hei"/>
        <family val="2"/>
      </rPr>
      <t xml:space="preserve">준불연</t>
    </r>
  </si>
  <si>
    <t xml:space="preserve">조건부</t>
  </si>
  <si>
    <t xml:space="preserve">PF_out</t>
  </si>
  <si>
    <r>
      <rPr>
        <sz val="10"/>
        <rFont val="Arial"/>
        <family val="0"/>
        <charset val="1"/>
      </rPr>
      <t xml:space="preserve">PF </t>
    </r>
    <r>
      <rPr>
        <sz val="10"/>
        <rFont val="WenQuanYi Zen Hei"/>
        <family val="2"/>
      </rPr>
      <t xml:space="preserve">준불연 외부용</t>
    </r>
  </si>
  <si>
    <t xml:space="preserve">PF_in</t>
  </si>
  <si>
    <r>
      <rPr>
        <sz val="10"/>
        <rFont val="Arial"/>
        <family val="0"/>
        <charset val="1"/>
      </rPr>
      <t xml:space="preserve">PF </t>
    </r>
    <r>
      <rPr>
        <sz val="10"/>
        <rFont val="WenQuanYi Zen Hei"/>
        <family val="2"/>
      </rPr>
      <t xml:space="preserve">준불연 내부용</t>
    </r>
  </si>
  <si>
    <r>
      <rPr>
        <sz val="9"/>
        <color rgb="FF4B5563"/>
        <rFont val="Arial"/>
        <family val="0"/>
        <charset val="1"/>
      </rPr>
      <t xml:space="preserve">t̂600 </t>
    </r>
    <r>
      <rPr>
        <sz val="9"/>
        <color rgb="FF4B5563"/>
        <rFont val="WenQuanYi Zen Hei"/>
        <family val="2"/>
      </rPr>
      <t xml:space="preserve">사용값</t>
    </r>
    <r>
      <rPr>
        <sz val="9"/>
        <color rgb="FF4B5563"/>
        <rFont val="Arial"/>
        <family val="0"/>
        <charset val="1"/>
      </rPr>
      <t xml:space="preserve">: </t>
    </r>
    <r>
      <rPr>
        <sz val="9"/>
        <color rgb="FF4B5563"/>
        <rFont val="WenQuanYi Zen Hei"/>
        <family val="2"/>
      </rPr>
      <t xml:space="preserve">준불연 탄화형 </t>
    </r>
    <r>
      <rPr>
        <sz val="9"/>
        <color rgb="FF4B5563"/>
        <rFont val="Arial"/>
        <family val="0"/>
        <charset val="1"/>
      </rPr>
      <t xml:space="preserve">3</t>
    </r>
    <r>
      <rPr>
        <sz val="9"/>
        <color rgb="FF4B5563"/>
        <rFont val="WenQuanYi Zen Hei"/>
        <family val="2"/>
      </rPr>
      <t xml:space="preserve">종은 해당 제품을 빼고 보정한 상수</t>
    </r>
    <r>
      <rPr>
        <sz val="9"/>
        <color rgb="FF4B5563"/>
        <rFont val="Arial"/>
        <family val="0"/>
        <charset val="1"/>
      </rPr>
      <t xml:space="preserve">(6_</t>
    </r>
    <r>
      <rPr>
        <sz val="9"/>
        <color rgb="FF4B5563"/>
        <rFont val="WenQuanYi Zen Hei"/>
        <family val="2"/>
      </rPr>
      <t xml:space="preserve">전이함수의 </t>
    </r>
    <r>
      <rPr>
        <sz val="9"/>
        <color rgb="FF4B5563"/>
        <rFont val="Arial"/>
        <family val="0"/>
        <charset val="1"/>
      </rPr>
      <t xml:space="preserve">LOO), </t>
    </r>
    <r>
      <rPr>
        <sz val="9"/>
        <color rgb="FF4B5563"/>
        <rFont val="WenQuanYi Zen Hei"/>
        <family val="2"/>
      </rPr>
      <t xml:space="preserve">나머지는 전체 보정 상수</t>
    </r>
    <r>
      <rPr>
        <sz val="9"/>
        <color rgb="FF4B5563"/>
        <rFont val="Arial"/>
        <family val="0"/>
        <charset val="1"/>
      </rPr>
      <t xml:space="preserve">. P̂ </t>
    </r>
    <r>
      <rPr>
        <sz val="9"/>
        <color rgb="FF4B5563"/>
        <rFont val="WenQuanYi Zen Hei"/>
        <family val="2"/>
      </rPr>
      <t xml:space="preserve">경계</t>
    </r>
    <r>
      <rPr>
        <sz val="9"/>
        <color rgb="FF4B5563"/>
        <rFont val="Arial"/>
        <family val="0"/>
        <charset val="1"/>
      </rPr>
      <t xml:space="preserve">: FRI 0.5·1·2 (7.5·15·30</t>
    </r>
    <r>
      <rPr>
        <sz val="9"/>
        <color rgb="FF4B5563"/>
        <rFont val="WenQuanYi Zen Hei"/>
        <family val="2"/>
      </rPr>
      <t xml:space="preserve">분</t>
    </r>
    <r>
      <rPr>
        <sz val="9"/>
        <color rgb="FF4B5563"/>
        <rFont val="Arial"/>
        <family val="0"/>
        <charset val="1"/>
      </rPr>
      <t xml:space="preserve">).</t>
    </r>
  </si>
  <si>
    <r>
      <rPr>
        <sz val="9"/>
        <color rgb="FF4B5563"/>
        <rFont val="Arial"/>
        <family val="0"/>
        <charset val="1"/>
      </rPr>
      <t xml:space="preserve">p̂_B </t>
    </r>
    <r>
      <rPr>
        <sz val="9"/>
        <color rgb="FF4B5563"/>
        <rFont val="WenQuanYi Zen Hei"/>
        <family val="2"/>
      </rPr>
      <t xml:space="preserve">사전분포</t>
    </r>
    <r>
      <rPr>
        <sz val="9"/>
        <color rgb="FF4B5563"/>
        <rFont val="Arial"/>
        <family val="0"/>
        <charset val="1"/>
      </rPr>
      <t xml:space="preserve">: f400,air</t>
    </r>
    <r>
      <rPr>
        <sz val="9"/>
        <color rgb="FF4B5563"/>
        <rFont val="WenQuanYi Zen Hei"/>
        <family val="2"/>
      </rPr>
      <t xml:space="preserve">가 </t>
    </r>
    <r>
      <rPr>
        <sz val="9"/>
        <color rgb="FF4B5563"/>
        <rFont val="Arial"/>
        <family val="0"/>
        <charset val="1"/>
      </rPr>
      <t xml:space="preserve">0.60 → 0.70</t>
    </r>
    <r>
      <rPr>
        <sz val="9"/>
        <color rgb="FF4B5563"/>
        <rFont val="WenQuanYi Zen Hei"/>
        <family val="2"/>
      </rPr>
      <t xml:space="preserve">으로 갈 때 </t>
    </r>
    <r>
      <rPr>
        <sz val="9"/>
        <color rgb="FF4B5563"/>
        <rFont val="Arial"/>
        <family val="0"/>
        <charset val="1"/>
      </rPr>
      <t xml:space="preserve">0.05 → 0.95</t>
    </r>
    <r>
      <rPr>
        <sz val="9"/>
        <color rgb="FF4B5563"/>
        <rFont val="WenQuanYi Zen Hei"/>
        <family val="2"/>
      </rPr>
      <t xml:space="preserve">로 오르는 램프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경계 </t>
    </r>
    <r>
      <rPr>
        <sz val="9"/>
        <color rgb="FF4B5563"/>
        <rFont val="Arial"/>
        <family val="0"/>
        <charset val="1"/>
      </rPr>
      <t xml:space="preserve">0.65 = </t>
    </r>
    <r>
      <rPr>
        <sz val="9"/>
        <color rgb="FF4B5563"/>
        <rFont val="WenQuanYi Zen Hei"/>
        <family val="2"/>
      </rPr>
      <t xml:space="preserve">통합 모델의 </t>
    </r>
    <r>
      <rPr>
        <sz val="9"/>
        <color rgb="FF4B5563"/>
        <rFont val="Arial"/>
        <family val="0"/>
        <charset val="1"/>
      </rPr>
      <t xml:space="preserve">B̂ </t>
    </r>
    <r>
      <rPr>
        <sz val="9"/>
        <color rgb="FF4B5563"/>
        <rFont val="WenQuanYi Zen Hei"/>
        <family val="2"/>
      </rPr>
      <t xml:space="preserve">기준</t>
    </r>
    <r>
      <rPr>
        <sz val="9"/>
        <color rgb="FF4B5563"/>
        <rFont val="Arial"/>
        <family val="0"/>
        <charset val="1"/>
      </rPr>
      <t xml:space="preserve">), </t>
    </r>
    <r>
      <rPr>
        <sz val="9"/>
        <color rgb="FF4B5563"/>
        <rFont val="WenQuanYi Zen Hei"/>
        <family val="2"/>
      </rPr>
      <t xml:space="preserve">무게 </t>
    </r>
    <r>
      <rPr>
        <sz val="9"/>
        <color rgb="FF4B5563"/>
        <rFont val="Arial"/>
        <family val="0"/>
        <charset val="1"/>
      </rPr>
      <t xml:space="preserve">n₀ = 2</t>
    </r>
    <r>
      <rPr>
        <sz val="9"/>
        <color rgb="FF4B5563"/>
        <rFont val="WenQuanYi Zen Hei"/>
        <family val="2"/>
      </rPr>
      <t xml:space="preserve">회 시험분</t>
    </r>
    <r>
      <rPr>
        <sz val="9"/>
        <color rgb="FF4B5563"/>
        <rFont val="Arial"/>
        <family val="0"/>
        <charset val="1"/>
      </rPr>
      <t xml:space="preserve">. </t>
    </r>
    <r>
      <rPr>
        <sz val="9"/>
        <color rgb="FF4B5563"/>
        <rFont val="WenQuanYi Zen Hei"/>
        <family val="2"/>
      </rPr>
      <t xml:space="preserve">잠정값입니다</t>
    </r>
    <r>
      <rPr>
        <sz val="9"/>
        <color rgb="FF4B5563"/>
        <rFont val="Arial"/>
        <family val="0"/>
        <charset val="1"/>
      </rPr>
      <t xml:space="preserve">.</t>
    </r>
  </si>
  <si>
    <r>
      <rPr>
        <sz val="9"/>
        <color rgb="FF4B5563"/>
        <rFont val="Arial"/>
        <family val="0"/>
        <charset val="1"/>
      </rPr>
      <t xml:space="preserve">TGA</t>
    </r>
    <r>
      <rPr>
        <sz val="9"/>
        <color rgb="FF4B5563"/>
        <rFont val="WenQuanYi Zen Hei"/>
        <family val="2"/>
      </rPr>
      <t xml:space="preserve">로 못 보는 것</t>
    </r>
    <r>
      <rPr>
        <sz val="9"/>
        <color rgb="FF4B5563"/>
        <rFont val="Arial"/>
        <family val="0"/>
        <charset val="1"/>
      </rPr>
      <t xml:space="preserve">: </t>
    </r>
    <r>
      <rPr>
        <sz val="9"/>
        <color rgb="FF4B5563"/>
        <rFont val="WenQuanYi Zen Hei"/>
        <family val="2"/>
      </rPr>
      <t xml:space="preserve">기상 난연 효과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가연</t>
    </r>
    <r>
      <rPr>
        <sz val="9"/>
        <color rgb="FF4B5563"/>
        <rFont val="Arial"/>
        <family val="0"/>
        <charset val="1"/>
      </rPr>
      <t xml:space="preserve">/</t>
    </r>
    <r>
      <rPr>
        <sz val="9"/>
        <color rgb="FF4B5563"/>
        <rFont val="WenQuanYi Zen Hei"/>
        <family val="2"/>
      </rPr>
      <t xml:space="preserve">준불연 차이</t>
    </r>
    <r>
      <rPr>
        <sz val="9"/>
        <color rgb="FF4B5563"/>
        <rFont val="Arial"/>
        <family val="0"/>
        <charset val="1"/>
      </rPr>
      <t xml:space="preserve">), </t>
    </r>
    <r>
      <rPr>
        <sz val="9"/>
        <color rgb="FF4B5563"/>
        <rFont val="WenQuanYi Zen Hei"/>
        <family val="2"/>
      </rPr>
      <t xml:space="preserve">발열 절대량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초기 질량 미기록</t>
    </r>
    <r>
      <rPr>
        <sz val="9"/>
        <color rgb="FF4B5563"/>
        <rFont val="Arial"/>
        <family val="0"/>
        <charset val="1"/>
      </rPr>
      <t xml:space="preserve">), DSC </t>
    </r>
    <r>
      <rPr>
        <sz val="9"/>
        <color rgb="FF4B5563"/>
        <rFont val="WenQuanYi Zen Hei"/>
        <family val="2"/>
      </rPr>
      <t xml:space="preserve">열량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미보정</t>
    </r>
    <r>
      <rPr>
        <sz val="9"/>
        <color rgb="FF4B5563"/>
        <rFont val="Arial"/>
        <family val="0"/>
        <charset val="1"/>
      </rPr>
      <t xml:space="preserve">) → </t>
    </r>
    <r>
      <rPr>
        <sz val="9"/>
        <color rgb="FF4B5563"/>
        <rFont val="WenQuanYi Zen Hei"/>
        <family val="2"/>
      </rPr>
      <t xml:space="preserve">콘</t>
    </r>
    <r>
      <rPr>
        <sz val="9"/>
        <color rgb="FF4B5563"/>
        <rFont val="Arial"/>
        <family val="0"/>
        <charset val="1"/>
      </rPr>
      <t xml:space="preserve">·FT-IR·</t>
    </r>
    <r>
      <rPr>
        <sz val="9"/>
        <color rgb="FF4B5563"/>
        <rFont val="WenQuanYi Zen Hei"/>
        <family val="2"/>
      </rPr>
      <t xml:space="preserve">보정 </t>
    </r>
    <r>
      <rPr>
        <sz val="9"/>
        <color rgb="FF4B5563"/>
        <rFont val="Arial"/>
        <family val="0"/>
        <charset val="1"/>
      </rPr>
      <t xml:space="preserve">DSC</t>
    </r>
    <r>
      <rPr>
        <sz val="9"/>
        <color rgb="FF4B5563"/>
        <rFont val="WenQuanYi Zen Hei"/>
        <family val="2"/>
      </rPr>
      <t xml:space="preserve">가 보완합니다</t>
    </r>
    <r>
      <rPr>
        <sz val="9"/>
        <color rgb="FF4B5563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</si>
  <si>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④ L1 FT-IR — </t>
    </r>
    <r>
      <rPr>
        <b val="true"/>
        <sz val="14"/>
        <rFont val="WenQuanYi Zen Hei"/>
        <family val="2"/>
      </rPr>
      <t xml:space="preserve">고분자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난연제 식별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게이트 검증</t>
    </r>
    <r>
      <rPr>
        <b val="true"/>
        <sz val="14"/>
        <rFont val="Arial"/>
        <family val="0"/>
        <charset val="1"/>
      </rPr>
      <t xml:space="preserve">)</t>
    </r>
    <r>
      <rPr>
        <b val="true"/>
        <sz val="14"/>
        <rFont val="WenQuanYi Zen Hei"/>
        <family val="2"/>
      </rPr>
      <t xml:space="preserve">과 유해가스</t>
    </r>
    <r>
      <rPr>
        <b val="true"/>
        <sz val="14"/>
        <rFont val="Arial"/>
        <family val="0"/>
        <charset val="1"/>
      </rPr>
      <t xml:space="preserve">(TGA–FTIR) </t>
    </r>
    <r>
      <rPr>
        <b val="true"/>
        <sz val="14"/>
        <rFont val="WenQuanYi Zen Hei"/>
        <family val="2"/>
      </rPr>
      <t xml:space="preserve">입력 양식</t>
    </r>
  </si>
  <si>
    <r>
      <rPr>
        <sz val="9"/>
        <color rgb="FF4B5563"/>
        <rFont val="WenQuanYi Zen Hei"/>
        <family val="2"/>
      </rPr>
      <t xml:space="preserve">대표 흡수대는 문헌값입니다</t>
    </r>
    <r>
      <rPr>
        <sz val="9"/>
        <color rgb="FF4B5563"/>
        <rFont val="Arial"/>
        <family val="0"/>
        <charset val="1"/>
      </rPr>
      <t xml:space="preserve">. </t>
    </r>
    <r>
      <rPr>
        <sz val="9"/>
        <color rgb="FF4B5563"/>
        <rFont val="WenQuanYi Zen Hei"/>
        <family val="2"/>
      </rPr>
      <t xml:space="preserve">실험실 기준 스펙트럼으로 확인한 뒤 쓰십시오</t>
    </r>
    <r>
      <rPr>
        <sz val="9"/>
        <color rgb="FF4B5563"/>
        <rFont val="Arial"/>
        <family val="0"/>
        <charset val="1"/>
      </rPr>
      <t xml:space="preserve">. </t>
    </r>
    <r>
      <rPr>
        <sz val="9"/>
        <color rgb="FF4B5563"/>
        <rFont val="WenQuanYi Zen Hei"/>
        <family val="2"/>
      </rPr>
      <t xml:space="preserve">회색 기울임 행은 형식 예시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가상값</t>
    </r>
    <r>
      <rPr>
        <sz val="9"/>
        <color rgb="FF4B5563"/>
        <rFont val="Arial"/>
        <family val="0"/>
        <charset val="1"/>
      </rPr>
      <t xml:space="preserve">)</t>
    </r>
    <r>
      <rPr>
        <sz val="9"/>
        <color rgb="FF4B5563"/>
        <rFont val="WenQuanYi Zen Hei"/>
        <family val="2"/>
      </rPr>
      <t xml:space="preserve">입니다</t>
    </r>
    <r>
      <rPr>
        <sz val="9"/>
        <color rgb="FF4B5563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</si>
  <si>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A. ATR </t>
    </r>
    <r>
      <rPr>
        <b val="true"/>
        <sz val="11"/>
        <rFont val="WenQuanYi Zen Hei"/>
        <family val="2"/>
      </rPr>
      <t xml:space="preserve">식별 대역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고체</t>
    </r>
    <r>
      <rPr>
        <b val="true"/>
        <sz val="11"/>
        <rFont val="Arial"/>
        <family val="0"/>
        <charset val="1"/>
      </rPr>
      <t xml:space="preserve">: </t>
    </r>
    <r>
      <rPr>
        <b val="true"/>
        <sz val="11"/>
        <rFont val="WenQuanYi Zen Hei"/>
        <family val="2"/>
      </rPr>
      <t xml:space="preserve">심재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WenQuanYi Zen Hei"/>
        <family val="2"/>
      </rPr>
      <t xml:space="preserve">면재</t>
    </r>
    <r>
      <rPr>
        <b val="true"/>
        <sz val="11"/>
        <rFont val="Arial"/>
        <family val="0"/>
        <charset val="1"/>
      </rPr>
      <t xml:space="preserve">)</t>
    </r>
  </si>
  <si>
    <t xml:space="preserve">대상</t>
  </si>
  <si>
    <r>
      <rPr>
        <b val="true"/>
        <sz val="10"/>
        <color rgb="FFFFFFFF"/>
        <rFont val="WenQuanYi Zen Hei"/>
        <family val="2"/>
      </rPr>
      <t xml:space="preserve">대역 </t>
    </r>
    <r>
      <rPr>
        <b val="true"/>
        <sz val="10"/>
        <color rgb="FFFFFFFF"/>
        <rFont val="Arial"/>
        <family val="0"/>
        <charset val="1"/>
      </rPr>
      <t xml:space="preserve">(cm⁻¹)</t>
    </r>
  </si>
  <si>
    <t xml:space="preserve">귀속</t>
  </si>
  <si>
    <t xml:space="preserve">용도</t>
  </si>
  <si>
    <r>
      <rPr>
        <b val="true"/>
        <sz val="10"/>
        <rFont val="WenQuanYi Zen Hei"/>
        <family val="2"/>
      </rPr>
      <t xml:space="preserve">폴리스티렌 </t>
    </r>
    <r>
      <rPr>
        <b val="true"/>
        <sz val="10"/>
        <rFont val="Arial"/>
        <family val="0"/>
        <charset val="1"/>
      </rPr>
      <t xml:space="preserve">(EPS)</t>
    </r>
  </si>
  <si>
    <t xml:space="preserve">3060 · 3026</t>
  </si>
  <si>
    <r>
      <rPr>
        <sz val="10"/>
        <rFont val="WenQuanYi Zen Hei"/>
        <family val="2"/>
      </rPr>
      <t xml:space="preserve">방향족 </t>
    </r>
    <r>
      <rPr>
        <sz val="10"/>
        <rFont val="Arial"/>
        <family val="0"/>
        <charset val="1"/>
      </rPr>
      <t xml:space="preserve">C–H </t>
    </r>
    <r>
      <rPr>
        <sz val="10"/>
        <rFont val="WenQuanYi Zen Hei"/>
        <family val="2"/>
      </rPr>
      <t xml:space="preserve">신축</t>
    </r>
  </si>
  <si>
    <t xml:space="preserve">식별</t>
  </si>
  <si>
    <t xml:space="preserve">1601 · 1493 · 1452</t>
  </si>
  <si>
    <t xml:space="preserve">방향족 고리</t>
  </si>
  <si>
    <t xml:space="preserve">756 · 698</t>
  </si>
  <si>
    <r>
      <rPr>
        <sz val="10"/>
        <rFont val="WenQuanYi Zen Hei"/>
        <family val="2"/>
      </rPr>
      <t xml:space="preserve">일치환 벤젠 </t>
    </r>
    <r>
      <rPr>
        <sz val="10"/>
        <rFont val="Arial"/>
        <family val="0"/>
        <charset val="1"/>
      </rPr>
      <t xml:space="preserve">C–H </t>
    </r>
    <r>
      <rPr>
        <sz val="10"/>
        <rFont val="WenQuanYi Zen Hei"/>
        <family val="2"/>
      </rPr>
      <t xml:space="preserve">면외굽힘</t>
    </r>
  </si>
  <si>
    <r>
      <rPr>
        <sz val="10"/>
        <rFont val="WenQuanYi Zen Hei"/>
        <family val="2"/>
      </rPr>
      <t xml:space="preserve">식별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강함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</si>
  <si>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PIR/PUR (MDI</t>
    </r>
    <r>
      <rPr>
        <b val="true"/>
        <sz val="10"/>
        <rFont val="WenQuanYi Zen Hei"/>
        <family val="2"/>
      </rPr>
      <t xml:space="preserve">계</t>
    </r>
    <r>
      <rPr>
        <b val="true"/>
        <sz val="10"/>
        <rFont val="Arial"/>
        <family val="0"/>
        <charset val="1"/>
      </rPr>
      <t xml:space="preserve">)</t>
    </r>
  </si>
  <si>
    <t xml:space="preserve">3300</t>
  </si>
  <si>
    <r>
      <rPr>
        <sz val="10"/>
        <rFont val="Arial"/>
        <family val="0"/>
        <charset val="1"/>
      </rPr>
      <t xml:space="preserve">N–H </t>
    </r>
    <r>
      <rPr>
        <sz val="10"/>
        <rFont val="WenQuanYi Zen Hei"/>
        <family val="2"/>
      </rPr>
      <t xml:space="preserve">신축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우레탄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</si>
  <si>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PUR </t>
    </r>
    <r>
      <rPr>
        <sz val="10"/>
        <rFont val="WenQuanYi Zen Hei"/>
        <family val="2"/>
      </rPr>
      <t xml:space="preserve">성분</t>
    </r>
  </si>
  <si>
    <t xml:space="preserve">2270</t>
  </si>
  <si>
    <r>
      <rPr>
        <sz val="10"/>
        <rFont val="WenQuanYi Zen Hei"/>
        <family val="2"/>
      </rPr>
      <t xml:space="preserve">잔류 –</t>
    </r>
    <r>
      <rPr>
        <sz val="10"/>
        <rFont val="Arial"/>
        <family val="0"/>
        <charset val="1"/>
      </rPr>
      <t xml:space="preserve">N=C=O</t>
    </r>
  </si>
  <si>
    <t xml:space="preserve">미반응 이소시아네이트</t>
  </si>
  <si>
    <t xml:space="preserve">1710 – 1730</t>
  </si>
  <si>
    <r>
      <rPr>
        <sz val="10"/>
        <rFont val="Arial"/>
        <family val="0"/>
        <charset val="1"/>
      </rPr>
      <t xml:space="preserve">C=O (</t>
    </r>
    <r>
      <rPr>
        <sz val="10"/>
        <rFont val="WenQuanYi Zen Hei"/>
        <family val="2"/>
      </rPr>
      <t xml:space="preserve">우레탄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이소시아누레이트</t>
    </r>
    <r>
      <rPr>
        <sz val="10"/>
        <rFont val="Arial"/>
        <family val="0"/>
        <charset val="1"/>
      </rPr>
      <t xml:space="preserve">)</t>
    </r>
  </si>
  <si>
    <t xml:space="preserve">1595</t>
  </si>
  <si>
    <r>
      <rPr>
        <sz val="10"/>
        <rFont val="WenQuanYi Zen Hei"/>
        <family val="2"/>
      </rPr>
      <t xml:space="preserve">방향족 </t>
    </r>
    <r>
      <rPr>
        <sz val="10"/>
        <rFont val="Arial"/>
        <family val="0"/>
        <charset val="1"/>
      </rPr>
      <t xml:space="preserve">C=C (</t>
    </r>
    <r>
      <rPr>
        <sz val="10"/>
        <rFont val="WenQuanYi Zen Hei"/>
        <family val="2"/>
      </rPr>
      <t xml:space="preserve">내부 기준 대역</t>
    </r>
    <r>
      <rPr>
        <sz val="10"/>
        <rFont val="Arial"/>
        <family val="0"/>
        <charset val="1"/>
      </rPr>
      <t xml:space="preserve">)</t>
    </r>
  </si>
  <si>
    <t xml:space="preserve">지수의 분모</t>
  </si>
  <si>
    <t xml:space="preserve">1510 – 1530</t>
  </si>
  <si>
    <r>
      <rPr>
        <sz val="10"/>
        <rFont val="WenQuanYi Zen Hei"/>
        <family val="2"/>
      </rPr>
      <t xml:space="preserve">아마이드 </t>
    </r>
    <r>
      <rPr>
        <sz val="10"/>
        <rFont val="Arial"/>
        <family val="0"/>
        <charset val="1"/>
      </rPr>
      <t xml:space="preserve">II (N–H </t>
    </r>
    <r>
      <rPr>
        <sz val="10"/>
        <rFont val="WenQuanYi Zen Hei"/>
        <family val="2"/>
      </rPr>
      <t xml:space="preserve">굽힘 </t>
    </r>
    <r>
      <rPr>
        <sz val="10"/>
        <rFont val="Arial"/>
        <family val="0"/>
        <charset val="1"/>
      </rPr>
      <t xml:space="preserve">+ C–N)</t>
    </r>
  </si>
  <si>
    <t xml:space="preserve">우레탄 성분</t>
  </si>
  <si>
    <t xml:space="preserve">1410</t>
  </si>
  <si>
    <r>
      <rPr>
        <sz val="10"/>
        <rFont val="WenQuanYi Zen Hei"/>
        <family val="2"/>
      </rPr>
      <t xml:space="preserve">이소시아누레이트 고리 </t>
    </r>
    <r>
      <rPr>
        <sz val="10"/>
        <rFont val="Arial"/>
        <family val="0"/>
        <charset val="1"/>
      </rPr>
      <t xml:space="preserve">C–N</t>
    </r>
  </si>
  <si>
    <r>
      <rPr>
        <sz val="10"/>
        <rFont val="WenQuanYi Zen Hei"/>
        <family val="2"/>
      </rPr>
      <t xml:space="preserve">이소시아누레이트 지수 </t>
    </r>
    <r>
      <rPr>
        <sz val="10"/>
        <rFont val="Arial"/>
        <family val="0"/>
        <charset val="1"/>
      </rPr>
      <t xml:space="preserve">A₁₄₁₀/A₁₅₉₅</t>
    </r>
  </si>
  <si>
    <r>
      <rPr>
        <b val="true"/>
        <sz val="10"/>
        <rFont val="WenQuanYi Zen Hei"/>
        <family val="2"/>
      </rPr>
      <t xml:space="preserve">페놀 </t>
    </r>
    <r>
      <rPr>
        <b val="true"/>
        <sz val="10"/>
        <rFont val="Arial"/>
        <family val="0"/>
        <charset val="1"/>
      </rPr>
      <t xml:space="preserve">(PF)</t>
    </r>
  </si>
  <si>
    <r>
      <rPr>
        <sz val="10"/>
        <rFont val="Arial"/>
        <family val="0"/>
        <charset val="1"/>
      </rPr>
      <t xml:space="preserve">3300 (</t>
    </r>
    <r>
      <rPr>
        <sz val="10"/>
        <rFont val="WenQuanYi Zen Hei"/>
        <family val="2"/>
      </rPr>
      <t xml:space="preserve">넓음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</si>
  <si>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O–H </t>
    </r>
    <r>
      <rPr>
        <sz val="10"/>
        <rFont val="WenQuanYi Zen Hei"/>
        <family val="2"/>
      </rPr>
      <t xml:space="preserve">신축</t>
    </r>
  </si>
  <si>
    <t xml:space="preserve">1600 · 1500</t>
  </si>
  <si>
    <t xml:space="preserve">기준 대역</t>
  </si>
  <si>
    <t xml:space="preserve">1475 · 1440</t>
  </si>
  <si>
    <r>
      <rPr>
        <sz val="10"/>
        <rFont val="WenQuanYi Zen Hei"/>
        <family val="2"/>
      </rPr>
      <t xml:space="preserve">메틸렌 가교 </t>
    </r>
    <r>
      <rPr>
        <sz val="10"/>
        <rFont val="Arial"/>
        <family val="0"/>
        <charset val="1"/>
      </rPr>
      <t xml:space="preserve">CH₂</t>
    </r>
  </si>
  <si>
    <t xml:space="preserve">경화 정도</t>
  </si>
  <si>
    <t xml:space="preserve">1230 · 1010</t>
  </si>
  <si>
    <r>
      <rPr>
        <sz val="10"/>
        <rFont val="WenQuanYi Zen Hei"/>
        <family val="2"/>
      </rPr>
      <t xml:space="preserve">페놀 </t>
    </r>
    <r>
      <rPr>
        <sz val="10"/>
        <rFont val="Arial"/>
        <family val="0"/>
        <charset val="1"/>
      </rPr>
      <t xml:space="preserve">C–O · </t>
    </r>
    <r>
      <rPr>
        <sz val="10"/>
        <rFont val="WenQuanYi Zen Hei"/>
        <family val="2"/>
      </rPr>
      <t xml:space="preserve">메틸올 </t>
    </r>
    <r>
      <rPr>
        <sz val="10"/>
        <rFont val="Arial"/>
        <family val="0"/>
        <charset val="1"/>
      </rPr>
      <t xml:space="preserve">C–O</t>
    </r>
  </si>
  <si>
    <r>
      <rPr>
        <b val="true"/>
        <sz val="10"/>
        <rFont val="WenQuanYi Zen Hei"/>
        <family val="2"/>
      </rPr>
      <t xml:space="preserve">인계 난연제 </t>
    </r>
    <r>
      <rPr>
        <b val="true"/>
        <sz val="10"/>
        <rFont val="Arial"/>
        <family val="0"/>
        <charset val="1"/>
      </rPr>
      <t xml:space="preserve">(TCPP </t>
    </r>
    <r>
      <rPr>
        <b val="true"/>
        <sz val="10"/>
        <rFont val="WenQuanYi Zen Hei"/>
        <family val="2"/>
      </rPr>
      <t xml:space="preserve">등</t>
    </r>
    <r>
      <rPr>
        <b val="true"/>
        <sz val="10"/>
        <rFont val="Arial"/>
        <family val="0"/>
        <charset val="1"/>
      </rPr>
      <t xml:space="preserve">)</t>
    </r>
  </si>
  <si>
    <t xml:space="preserve">1270 – 1290</t>
  </si>
  <si>
    <r>
      <rPr>
        <sz val="10"/>
        <rFont val="Arial"/>
        <family val="0"/>
        <charset val="1"/>
      </rPr>
      <t xml:space="preserve">P=O </t>
    </r>
    <r>
      <rPr>
        <sz val="10"/>
        <rFont val="WenQuanYi Zen Hei"/>
        <family val="2"/>
      </rPr>
      <t xml:space="preserve">신축</t>
    </r>
  </si>
  <si>
    <r>
      <rPr>
        <sz val="10"/>
        <rFont val="WenQuanYi Zen Hei"/>
        <family val="2"/>
      </rPr>
      <t xml:space="preserve">난연 지수 </t>
    </r>
    <r>
      <rPr>
        <sz val="10"/>
        <rFont val="Arial"/>
        <family val="0"/>
        <charset val="1"/>
      </rPr>
      <t xml:space="preserve">A_P=O/A_</t>
    </r>
    <r>
      <rPr>
        <sz val="10"/>
        <rFont val="WenQuanYi Zen Hei"/>
        <family val="2"/>
      </rPr>
      <t xml:space="preserve">기준</t>
    </r>
  </si>
  <si>
    <t xml:space="preserve">1030 – 1050 · 980</t>
  </si>
  <si>
    <t xml:space="preserve">P–O–C</t>
  </si>
  <si>
    <t xml:space="preserve">난연제 확인</t>
  </si>
  <si>
    <t xml:space="preserve">760 – 680</t>
  </si>
  <si>
    <t xml:space="preserve">C–Cl</t>
  </si>
  <si>
    <t xml:space="preserve">염소 함유 확인</t>
  </si>
  <si>
    <r>
      <rPr>
        <b val="true"/>
        <sz val="10"/>
        <rFont val="WenQuanYi Zen Hei"/>
        <family val="2"/>
      </rPr>
      <t xml:space="preserve">수산화알루미늄 </t>
    </r>
    <r>
      <rPr>
        <b val="true"/>
        <sz val="10"/>
        <rFont val="Arial"/>
        <family val="0"/>
        <charset val="1"/>
      </rPr>
      <t xml:space="preserve">(ATH)</t>
    </r>
  </si>
  <si>
    <t xml:space="preserve">3620 · 3523 · 3450 · 3380</t>
  </si>
  <si>
    <t xml:space="preserve">무기 충전재 지수</t>
  </si>
  <si>
    <t xml:space="preserve">수산화마그네슘</t>
  </si>
  <si>
    <r>
      <rPr>
        <sz val="10"/>
        <rFont val="Arial"/>
        <family val="0"/>
        <charset val="1"/>
      </rPr>
      <t xml:space="preserve">3698 (</t>
    </r>
    <r>
      <rPr>
        <sz val="10"/>
        <rFont val="WenQuanYi Zen Hei"/>
        <family val="2"/>
      </rPr>
      <t xml:space="preserve">예리</t>
    </r>
    <r>
      <rPr>
        <sz val="10"/>
        <rFont val="Arial"/>
        <family val="0"/>
        <charset val="1"/>
      </rPr>
      <t xml:space="preserve">)</t>
    </r>
  </si>
  <si>
    <t xml:space="preserve">무기 충전재</t>
  </si>
  <si>
    <t xml:space="preserve">브롬계 난연제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</si>
  <si>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적외선 감도 낮음</t>
    </r>
    <r>
      <rPr>
        <sz val="10"/>
        <rFont val="Arial"/>
        <family val="0"/>
        <charset val="1"/>
      </rPr>
      <t xml:space="preserve">)</t>
    </r>
  </si>
  <si>
    <t xml:space="preserve">C–Br</t>
  </si>
  <si>
    <r>
      <rPr>
        <sz val="10"/>
        <rFont val="Arial"/>
        <family val="0"/>
        <charset val="1"/>
      </rPr>
      <t xml:space="preserve">XRF·SEM/EDS</t>
    </r>
    <r>
      <rPr>
        <sz val="10"/>
        <rFont val="WenQuanYi Zen Hei"/>
        <family val="2"/>
      </rPr>
      <t xml:space="preserve">로 </t>
    </r>
    <r>
      <rPr>
        <sz val="10"/>
        <rFont val="Arial"/>
        <family val="0"/>
        <charset val="1"/>
      </rPr>
      <t xml:space="preserve">Br </t>
    </r>
    <r>
      <rPr>
        <sz val="10"/>
        <rFont val="WenQuanYi Zen Hei"/>
        <family val="2"/>
      </rPr>
      <t xml:space="preserve">확인</t>
    </r>
  </si>
  <si>
    <r>
      <rPr>
        <b val="true"/>
        <sz val="11"/>
        <rFont val="Arial"/>
        <family val="0"/>
        <charset val="1"/>
      </rPr>
      <t xml:space="preserve">B. ATR </t>
    </r>
    <r>
      <rPr>
        <b val="true"/>
        <sz val="11"/>
        <rFont val="WenQuanYi Zen Hei"/>
        <family val="2"/>
      </rPr>
      <t xml:space="preserve">측정 기록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흡광도</t>
    </r>
    <r>
      <rPr>
        <b val="true"/>
        <sz val="11"/>
        <rFont val="Arial"/>
        <family val="0"/>
        <charset val="1"/>
      </rPr>
      <t xml:space="preserve">: </t>
    </r>
    <r>
      <rPr>
        <b val="true"/>
        <sz val="11"/>
        <rFont val="WenQuanYi Zen Hei"/>
        <family val="2"/>
      </rPr>
      <t xml:space="preserve">기준선 보정 후 피크 높이</t>
    </r>
    <r>
      <rPr>
        <b val="true"/>
        <sz val="11"/>
        <rFont val="Arial"/>
        <family val="0"/>
        <charset val="1"/>
      </rPr>
      <t xml:space="preserve">) → </t>
    </r>
    <r>
      <rPr>
        <b val="true"/>
        <sz val="11"/>
        <rFont val="WenQuanYi Zen Hei"/>
        <family val="2"/>
      </rPr>
      <t xml:space="preserve">지수</t>
    </r>
  </si>
  <si>
    <t xml:space="preserve">부위</t>
  </si>
  <si>
    <t xml:space="preserve">위치</t>
  </si>
  <si>
    <t xml:space="preserve">선언 고분자</t>
  </si>
  <si>
    <t xml:space="preserve">판정 고분자</t>
  </si>
  <si>
    <t xml:space="preserve">A₁₄₁₀</t>
  </si>
  <si>
    <t xml:space="preserve">A₁₅₉₅</t>
  </si>
  <si>
    <t xml:space="preserve">A₂₂₇₀</t>
  </si>
  <si>
    <t xml:space="preserve">A_P=O (1270–1290)</t>
  </si>
  <si>
    <r>
      <rPr>
        <b val="true"/>
        <sz val="10"/>
        <color rgb="FFFFFFFF"/>
        <rFont val="Arial"/>
        <family val="0"/>
        <charset val="1"/>
      </rPr>
      <t xml:space="preserve">A_</t>
    </r>
    <r>
      <rPr>
        <b val="true"/>
        <sz val="10"/>
        <color rgb="FFFFFFFF"/>
        <rFont val="WenQuanYi Zen Hei"/>
        <family val="2"/>
      </rPr>
      <t xml:space="preserve">기준</t>
    </r>
  </si>
  <si>
    <t xml:space="preserve">A_OH (3620)</t>
  </si>
  <si>
    <t xml:space="preserve">이소시아누레이트 지수</t>
  </si>
  <si>
    <r>
      <rPr>
        <b val="true"/>
        <sz val="10"/>
        <color rgb="FFFFFFFF"/>
        <rFont val="WenQuanYi Zen Hei"/>
        <family val="2"/>
      </rPr>
      <t xml:space="preserve">잔류 </t>
    </r>
    <r>
      <rPr>
        <b val="true"/>
        <sz val="10"/>
        <color rgb="FFFFFFFF"/>
        <rFont val="Arial"/>
        <family val="0"/>
        <charset val="1"/>
      </rPr>
      <t xml:space="preserve">NCO </t>
    </r>
    <r>
      <rPr>
        <b val="true"/>
        <sz val="10"/>
        <color rgb="FFFFFFFF"/>
        <rFont val="WenQuanYi Zen Hei"/>
        <family val="2"/>
      </rPr>
      <t xml:space="preserve">지수</t>
    </r>
  </si>
  <si>
    <r>
      <rPr>
        <b val="true"/>
        <sz val="10"/>
        <color rgb="FFFFFFFF"/>
        <rFont val="WenQuanYi Zen Hei"/>
        <family val="2"/>
      </rPr>
      <t xml:space="preserve">난연</t>
    </r>
    <r>
      <rPr>
        <b val="true"/>
        <sz val="10"/>
        <color rgb="FFFFFFFF"/>
        <rFont val="Arial"/>
        <family val="0"/>
        <charset val="1"/>
      </rPr>
      <t xml:space="preserve">(P) </t>
    </r>
    <r>
      <rPr>
        <b val="true"/>
        <sz val="10"/>
        <color rgb="FFFFFFFF"/>
        <rFont val="WenQuanYi Zen Hei"/>
        <family val="2"/>
      </rPr>
      <t xml:space="preserve">지수</t>
    </r>
  </si>
  <si>
    <t xml:space="preserve">무기충전 지수</t>
  </si>
  <si>
    <t xml:space="preserve">식별 일치</t>
  </si>
  <si>
    <t xml:space="preserve">심재</t>
  </si>
  <si>
    <t xml:space="preserve">1</t>
  </si>
  <si>
    <t xml:space="preserve">PIR</t>
  </si>
  <si>
    <r>
      <rPr>
        <b val="true"/>
        <sz val="11"/>
        <rFont val="Arial"/>
        <family val="0"/>
        <charset val="1"/>
      </rPr>
      <t xml:space="preserve">C. TGA–FTIR </t>
    </r>
    <r>
      <rPr>
        <b val="true"/>
        <sz val="11"/>
        <rFont val="WenQuanYi Zen Hei"/>
        <family val="2"/>
      </rPr>
      <t xml:space="preserve">발생가스 기록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같은 승온속도 </t>
    </r>
    <r>
      <rPr>
        <b val="true"/>
        <sz val="11"/>
        <rFont val="Arial"/>
        <family val="0"/>
        <charset val="1"/>
      </rPr>
      <t xml:space="preserve">5 K/min </t>
    </r>
    <r>
      <rPr>
        <b val="true"/>
        <sz val="11"/>
        <rFont val="WenQuanYi Zen Hei"/>
        <family val="2"/>
      </rPr>
      <t xml:space="preserve">권장</t>
    </r>
    <r>
      <rPr>
        <b val="true"/>
        <sz val="11"/>
        <rFont val="Arial"/>
        <family val="0"/>
        <charset val="1"/>
      </rPr>
      <t xml:space="preserve">)</t>
    </r>
  </si>
  <si>
    <t xml:space="preserve">분위기</t>
  </si>
  <si>
    <t xml:space="preserve">가스</t>
  </si>
  <si>
    <r>
      <rPr>
        <b val="true"/>
        <sz val="10"/>
        <color rgb="FFFFFFFF"/>
        <rFont val="WenQuanYi Zen Hei"/>
        <family val="2"/>
      </rPr>
      <t xml:space="preserve">최대 발생 온도 </t>
    </r>
    <r>
      <rPr>
        <b val="true"/>
        <sz val="10"/>
        <color rgb="FFFFFFFF"/>
        <rFont val="Arial"/>
        <family val="0"/>
        <charset val="1"/>
      </rPr>
      <t xml:space="preserve">(°C)</t>
    </r>
  </si>
  <si>
    <r>
      <rPr>
        <b val="true"/>
        <sz val="10"/>
        <color rgb="FFFFFFFF"/>
        <rFont val="WenQuanYi Zen Hei"/>
        <family val="2"/>
      </rPr>
      <t xml:space="preserve">적분 면적 </t>
    </r>
    <r>
      <rPr>
        <b val="true"/>
        <sz val="10"/>
        <color rgb="FFFFFFFF"/>
        <rFont val="Arial"/>
        <family val="0"/>
        <charset val="1"/>
      </rPr>
      <t xml:space="preserve">(a.u.·s)</t>
    </r>
  </si>
  <si>
    <r>
      <rPr>
        <b val="true"/>
        <sz val="10"/>
        <color rgb="FFFFFFFF"/>
        <rFont val="WenQuanYi Zen Hei"/>
        <family val="2"/>
      </rPr>
      <t xml:space="preserve">시료 질량 </t>
    </r>
    <r>
      <rPr>
        <b val="true"/>
        <sz val="10"/>
        <color rgb="FFFFFFFF"/>
        <rFont val="Arial"/>
        <family val="0"/>
        <charset val="1"/>
      </rPr>
      <t xml:space="preserve">(mg)</t>
    </r>
  </si>
  <si>
    <r>
      <rPr>
        <b val="true"/>
        <sz val="10"/>
        <color rgb="FFFFFFFF"/>
        <rFont val="WenQuanYi Zen Hei"/>
        <family val="2"/>
      </rPr>
      <t xml:space="preserve">면적</t>
    </r>
    <r>
      <rPr>
        <b val="true"/>
        <sz val="10"/>
        <color rgb="FFFFFFFF"/>
        <rFont val="Arial"/>
        <family val="0"/>
        <charset val="1"/>
      </rPr>
      <t xml:space="preserve">/mg</t>
    </r>
  </si>
  <si>
    <t xml:space="preserve">비고</t>
  </si>
  <si>
    <t xml:space="preserve">공기</t>
  </si>
  <si>
    <t xml:space="preserve">HCN</t>
  </si>
  <si>
    <t xml:space="preserve">713</t>
  </si>
  <si>
    <t xml:space="preserve">CO₂</t>
  </si>
  <si>
    <t xml:space="preserve">2360 · 2340 · 669</t>
  </si>
  <si>
    <t xml:space="preserve">CO</t>
  </si>
  <si>
    <r>
      <rPr>
        <sz val="10"/>
        <rFont val="Arial"/>
        <family val="0"/>
        <charset val="1"/>
      </rPr>
      <t xml:space="preserve">2180 · 2110 (P·R </t>
    </r>
    <r>
      <rPr>
        <sz val="10"/>
        <rFont val="WenQuanYi Zen Hei"/>
        <family val="2"/>
      </rPr>
      <t xml:space="preserve">가지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</si>
  <si>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713 (Q </t>
    </r>
    <r>
      <rPr>
        <sz val="10"/>
        <rFont val="WenQuanYi Zen Hei"/>
        <family val="2"/>
      </rPr>
      <t xml:space="preserve">가지</t>
    </r>
    <r>
      <rPr>
        <sz val="10"/>
        <rFont val="Arial"/>
        <family val="0"/>
        <charset val="1"/>
      </rPr>
      <t xml:space="preserve">)</t>
    </r>
  </si>
  <si>
    <t xml:space="preserve">NH₃</t>
  </si>
  <si>
    <t xml:space="preserve">966 · 931</t>
  </si>
  <si>
    <r>
      <rPr>
        <sz val="10"/>
        <rFont val="Arial"/>
        <family val="0"/>
        <charset val="1"/>
      </rPr>
      <t xml:space="preserve">–NCO (</t>
    </r>
    <r>
      <rPr>
        <sz val="10"/>
        <rFont val="WenQuanYi Zen Hei"/>
        <family val="2"/>
      </rPr>
      <t xml:space="preserve">이소시아네이트</t>
    </r>
    <r>
      <rPr>
        <sz val="10"/>
        <rFont val="Arial"/>
        <family val="0"/>
        <charset val="1"/>
      </rPr>
      <t xml:space="preserve">)</t>
    </r>
  </si>
  <si>
    <t xml:space="preserve">2270 – 2250</t>
  </si>
  <si>
    <t xml:space="preserve">HCl</t>
  </si>
  <si>
    <r>
      <rPr>
        <sz val="10"/>
        <rFont val="Arial"/>
        <family val="0"/>
        <charset val="1"/>
      </rPr>
      <t xml:space="preserve">2700 – 3100 (</t>
    </r>
    <r>
      <rPr>
        <sz val="10"/>
        <rFont val="WenQuanYi Zen Hei"/>
        <family val="2"/>
      </rPr>
      <t xml:space="preserve">회전선</t>
    </r>
    <r>
      <rPr>
        <sz val="10"/>
        <rFont val="Arial"/>
        <family val="0"/>
        <charset val="1"/>
      </rPr>
      <t xml:space="preserve">)</t>
    </r>
  </si>
  <si>
    <t xml:space="preserve">N₂</t>
  </si>
  <si>
    <r>
      <rPr>
        <b val="true"/>
        <sz val="11"/>
        <rFont val="Arial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재료별 요약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예시 행 제외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</si>
  <si>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HCN </t>
    </r>
    <r>
      <rPr>
        <b val="true"/>
        <sz val="10"/>
        <color rgb="FFFFFFFF"/>
        <rFont val="WenQuanYi Zen Hei"/>
        <family val="2"/>
      </rPr>
      <t xml:space="preserve">면적</t>
    </r>
    <r>
      <rPr>
        <b val="true"/>
        <sz val="10"/>
        <color rgb="FFFFFFFF"/>
        <rFont val="Arial"/>
        <family val="0"/>
        <charset val="1"/>
      </rPr>
      <t xml:space="preserve">/mg (</t>
    </r>
    <r>
      <rPr>
        <b val="true"/>
        <sz val="10"/>
        <color rgb="FFFFFFFF"/>
        <rFont val="WenQuanYi Zen Hei"/>
        <family val="2"/>
      </rPr>
      <t xml:space="preserve">공기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</si>
  <si>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CO </t>
    </r>
    <r>
      <rPr>
        <b val="true"/>
        <sz val="10"/>
        <color rgb="FFFFFFFF"/>
        <rFont val="WenQuanYi Zen Hei"/>
        <family val="2"/>
      </rPr>
      <t xml:space="preserve">면적</t>
    </r>
    <r>
      <rPr>
        <b val="true"/>
        <sz val="10"/>
        <color rgb="FFFFFFFF"/>
        <rFont val="Arial"/>
        <family val="0"/>
        <charset val="1"/>
      </rPr>
      <t xml:space="preserve">/mg (</t>
    </r>
    <r>
      <rPr>
        <b val="true"/>
        <sz val="10"/>
        <color rgb="FFFFFFFF"/>
        <rFont val="WenQuanYi Zen Hei"/>
        <family val="2"/>
      </rPr>
      <t xml:space="preserve">공기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</si>
  <si>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게이트 검증</t>
  </si>
  <si>
    <r>
      <rPr>
        <sz val="9"/>
        <color rgb="FF4B5563"/>
        <rFont val="Arial"/>
        <family val="0"/>
        <charset val="1"/>
      </rPr>
      <t xml:space="preserve">EGA </t>
    </r>
    <r>
      <rPr>
        <sz val="9"/>
        <color rgb="FF4B5563"/>
        <rFont val="WenQuanYi Zen Hei"/>
        <family val="2"/>
      </rPr>
      <t xml:space="preserve">대표 대역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문헌값</t>
    </r>
    <r>
      <rPr>
        <sz val="9"/>
        <color rgb="FF4B5563"/>
        <rFont val="Arial"/>
        <family val="0"/>
        <charset val="1"/>
      </rPr>
      <t xml:space="preserve">): CO₂ 2360 · 2340 · 669 · CO 2180 · 2110 (P·R </t>
    </r>
    <r>
      <rPr>
        <sz val="9"/>
        <color rgb="FF4B5563"/>
        <rFont val="WenQuanYi Zen Hei"/>
        <family val="2"/>
      </rPr>
      <t xml:space="preserve">가지</t>
    </r>
    <r>
      <rPr>
        <sz val="9"/>
        <color rgb="FF4B5563"/>
        <rFont val="Arial"/>
        <family val="0"/>
        <charset val="1"/>
      </rPr>
      <t xml:space="preserve">) · HCN 713 (Q </t>
    </r>
    <r>
      <rPr>
        <sz val="9"/>
        <color rgb="FF4B5563"/>
        <rFont val="WenQuanYi Zen Hei"/>
        <family val="2"/>
      </rPr>
      <t xml:space="preserve">가지</t>
    </r>
    <r>
      <rPr>
        <sz val="9"/>
        <color rgb="FF4B5563"/>
        <rFont val="Arial"/>
        <family val="0"/>
        <charset val="1"/>
      </rPr>
      <t xml:space="preserve">) · NH₃ 966 · 931 · –NCO (</t>
    </r>
    <r>
      <rPr>
        <sz val="9"/>
        <color rgb="FF4B5563"/>
        <rFont val="WenQuanYi Zen Hei"/>
        <family val="2"/>
      </rPr>
      <t xml:space="preserve">이소시아네이트</t>
    </r>
    <r>
      <rPr>
        <sz val="9"/>
        <color rgb="FF4B5563"/>
        <rFont val="Arial"/>
        <family val="0"/>
        <charset val="1"/>
      </rPr>
      <t xml:space="preserve">) 2270 – 2250 · HCl 2700 – 3100 (</t>
    </r>
    <r>
      <rPr>
        <sz val="9"/>
        <color rgb="FF4B5563"/>
        <rFont val="WenQuanYi Zen Hei"/>
        <family val="2"/>
      </rPr>
      <t xml:space="preserve">회전선</t>
    </r>
    <r>
      <rPr>
        <sz val="9"/>
        <color rgb="FF4B5563"/>
        <rFont val="Arial"/>
        <family val="0"/>
        <charset val="1"/>
      </rPr>
      <t xml:space="preserve">) · H₂O 3500 – 4000 · 1300 – 1900 · </t>
    </r>
    <r>
      <rPr>
        <sz val="9"/>
        <color rgb="FF4B5563"/>
        <rFont val="WenQuanYi Zen Hei"/>
        <family val="2"/>
      </rPr>
      <t xml:space="preserve">스티렌 </t>
    </r>
    <r>
      <rPr>
        <sz val="9"/>
        <color rgb="FF4B5563"/>
        <rFont val="Arial"/>
        <family val="0"/>
        <charset val="1"/>
      </rPr>
      <t xml:space="preserve">3080 – 3030 · 1630 · 990 · 910 · 775 · 695 · </t>
    </r>
    <r>
      <rPr>
        <sz val="9"/>
        <color rgb="FF4B5563"/>
        <rFont val="WenQuanYi Zen Hei"/>
        <family val="2"/>
      </rPr>
      <t xml:space="preserve">페놀 </t>
    </r>
    <r>
      <rPr>
        <sz val="9"/>
        <color rgb="FF4B5563"/>
        <rFont val="Arial"/>
        <family val="0"/>
        <charset val="1"/>
      </rPr>
      <t xml:space="preserve">3650 (</t>
    </r>
    <r>
      <rPr>
        <sz val="9"/>
        <color rgb="FF4B5563"/>
        <rFont val="WenQuanYi Zen Hei"/>
        <family val="2"/>
      </rPr>
      <t xml:space="preserve">자유 </t>
    </r>
    <r>
      <rPr>
        <sz val="9"/>
        <color rgb="FF4B5563"/>
        <rFont val="Arial"/>
        <family val="0"/>
        <charset val="1"/>
      </rPr>
      <t xml:space="preserve">O–H) · 1600 · 1500. </t>
    </r>
    <r>
      <rPr>
        <sz val="9"/>
        <color rgb="FF4B5563"/>
        <rFont val="WenQuanYi Zen Hei"/>
        <family val="2"/>
      </rPr>
      <t xml:space="preserve">정량은 기준 가스 보정이 필요하며</t>
    </r>
    <r>
      <rPr>
        <sz val="9"/>
        <color rgb="FF4B5563"/>
        <rFont val="Arial"/>
        <family val="0"/>
        <charset val="1"/>
      </rPr>
      <t xml:space="preserve">, </t>
    </r>
    <r>
      <rPr>
        <sz val="9"/>
        <color rgb="FF4B5563"/>
        <rFont val="WenQuanYi Zen Hei"/>
        <family val="2"/>
      </rPr>
      <t xml:space="preserve">보정 전에는 같은 조건의 재료 간 상대 비교로만 씁니다</t>
    </r>
    <r>
      <rPr>
        <sz val="9"/>
        <color rgb="FF4B5563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</si>
  <si>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⑤ L2 </t>
    </r>
    <r>
      <rPr>
        <b val="true"/>
        <sz val="14"/>
        <rFont val="WenQuanYi Zen Hei"/>
        <family val="2"/>
      </rPr>
      <t xml:space="preserve">중규모 성능시험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중공층 </t>
    </r>
    <r>
      <rPr>
        <b val="true"/>
        <sz val="14"/>
        <rFont val="Arial"/>
        <family val="0"/>
        <charset val="1"/>
      </rPr>
      <t xml:space="preserve">100 mm · </t>
    </r>
    <r>
      <rPr>
        <b val="true"/>
        <sz val="14"/>
        <rFont val="WenQuanYi Zen Hei"/>
        <family val="2"/>
      </rPr>
      <t xml:space="preserve">외단열 </t>
    </r>
    <r>
      <rPr>
        <b val="true"/>
        <sz val="14"/>
        <rFont val="Arial"/>
        <family val="0"/>
        <charset val="1"/>
      </rPr>
      <t xml:space="preserve">100 mm · 30 kW 20</t>
    </r>
    <r>
      <rPr>
        <b val="true"/>
        <sz val="14"/>
        <rFont val="WenQuanYi Zen Hei"/>
        <family val="2"/>
      </rPr>
      <t xml:space="preserve">분 </t>
    </r>
    <r>
      <rPr>
        <b val="true"/>
        <sz val="14"/>
        <rFont val="Arial"/>
        <family val="0"/>
        <charset val="1"/>
      </rPr>
      <t xml:space="preserve">· 30</t>
    </r>
    <r>
      <rPr>
        <b val="true"/>
        <sz val="14"/>
        <rFont val="WenQuanYi Zen Hei"/>
        <family val="2"/>
      </rPr>
      <t xml:space="preserve">분 평가</t>
    </r>
    <r>
      <rPr>
        <b val="true"/>
        <sz val="14"/>
        <rFont val="Arial"/>
        <family val="0"/>
        <charset val="1"/>
      </rPr>
      <t xml:space="preserve">) — </t>
    </r>
    <r>
      <rPr>
        <b val="true"/>
        <sz val="14"/>
        <rFont val="WenQuanYi Zen Hei"/>
        <family val="2"/>
      </rPr>
      <t xml:space="preserve">시험별 값</t>
    </r>
  </si>
  <si>
    <r>
      <rPr>
        <sz val="9"/>
        <color rgb="FF4B5563"/>
        <rFont val="Arial"/>
        <family val="0"/>
        <charset val="1"/>
      </rPr>
      <t xml:space="preserve">t600 = 3000 mm</t>
    </r>
    <r>
      <rPr>
        <sz val="9"/>
        <color rgb="FF4B5563"/>
        <rFont val="WenQuanYi Zen Hei"/>
        <family val="2"/>
      </rPr>
      <t xml:space="preserve">에서 </t>
    </r>
    <r>
      <rPr>
        <sz val="9"/>
        <color rgb="FF4B5563"/>
        <rFont val="Arial"/>
        <family val="0"/>
        <charset val="1"/>
      </rPr>
      <t xml:space="preserve">ΔT ≥ 600 K</t>
    </r>
    <r>
      <rPr>
        <sz val="9"/>
        <color rgb="FF4B5563"/>
        <rFont val="WenQuanYi Zen Hei"/>
        <family val="2"/>
      </rPr>
      <t xml:space="preserve">가 </t>
    </r>
    <r>
      <rPr>
        <sz val="9"/>
        <color rgb="FF4B5563"/>
        <rFont val="Arial"/>
        <family val="0"/>
        <charset val="1"/>
      </rPr>
      <t xml:space="preserve">30 s </t>
    </r>
    <r>
      <rPr>
        <sz val="9"/>
        <color rgb="FF4B5563"/>
        <rFont val="WenQuanYi Zen Hei"/>
        <family val="2"/>
      </rPr>
      <t xml:space="preserve">이상 유지되기 시작한 시각</t>
    </r>
    <r>
      <rPr>
        <sz val="9"/>
        <color rgb="FF4B5563"/>
        <rFont val="Arial"/>
        <family val="0"/>
        <charset val="1"/>
      </rPr>
      <t xml:space="preserve">. t_ig·t_sp: coupled_analysis(</t>
    </r>
    <r>
      <rPr>
        <sz val="9"/>
        <color rgb="FF4B5563"/>
        <rFont val="WenQuanYi Zen Hei"/>
        <family val="2"/>
      </rPr>
      <t xml:space="preserve">착화</t>
    </r>
    <r>
      <rPr>
        <sz val="9"/>
        <color rgb="FF4B5563"/>
        <rFont val="Arial"/>
        <family val="0"/>
        <charset val="1"/>
      </rPr>
      <t xml:space="preserve">·</t>
    </r>
    <r>
      <rPr>
        <sz val="9"/>
        <color rgb="FF4B5563"/>
        <rFont val="WenQuanYi Zen Hei"/>
        <family val="2"/>
      </rPr>
      <t xml:space="preserve">확산 분해</t>
    </r>
    <r>
      <rPr>
        <sz val="9"/>
        <color rgb="FF4B5563"/>
        <rFont val="Arial"/>
        <family val="0"/>
        <charset val="1"/>
      </rPr>
      <t xml:space="preserve">). P·S·R·A: cavity_fire_index. B: integrated_model.</t>
    </r>
  </si>
  <si>
    <t xml:space="preserve">시험</t>
  </si>
  <si>
    <t xml:space="preserve">정량평가 사용</t>
  </si>
  <si>
    <t xml:space="preserve">t_sp (s)</t>
  </si>
  <si>
    <t xml:space="preserve">t600 (s)</t>
  </si>
  <si>
    <t xml:space="preserve">ln t600</t>
  </si>
  <si>
    <t xml:space="preserve">(ln t600)²</t>
  </si>
  <si>
    <t xml:space="preserve">FRI = 900/t600</t>
  </si>
  <si>
    <t xml:space="preserve">P</t>
  </si>
  <si>
    <r>
      <rPr>
        <b val="true"/>
        <sz val="10"/>
        <color rgb="FFFFFFFF"/>
        <rFont val="Arial"/>
        <family val="0"/>
        <charset val="1"/>
      </rPr>
      <t xml:space="preserve">D600 (</t>
    </r>
    <r>
      <rPr>
        <b val="true"/>
        <sz val="10"/>
        <color rgb="FFFFFFFF"/>
        <rFont val="WenQuanYi Zen Hei"/>
        <family val="2"/>
      </rPr>
      <t xml:space="preserve">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</si>
  <si>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S</t>
  </si>
  <si>
    <t xml:space="preserve">R = P×S</t>
  </si>
  <si>
    <r>
      <rPr>
        <b val="true"/>
        <sz val="10"/>
        <color rgb="FFFFFFFF"/>
        <rFont val="WenQuanYi Zen Hei"/>
        <family val="2"/>
      </rPr>
      <t xml:space="preserve">급발 </t>
    </r>
    <r>
      <rPr>
        <b val="true"/>
        <sz val="10"/>
        <color rgb="FFFFFFFF"/>
        <rFont val="Arial"/>
        <family val="0"/>
        <charset val="1"/>
      </rPr>
      <t xml:space="preserve">A</t>
    </r>
  </si>
  <si>
    <r>
      <rPr>
        <b val="true"/>
        <sz val="10"/>
        <color rgb="FFFFFFFF"/>
        <rFont val="WenQuanYi Zen Hei"/>
        <family val="2"/>
      </rPr>
      <t xml:space="preserve">자립 </t>
    </r>
    <r>
      <rPr>
        <b val="true"/>
        <sz val="10"/>
        <color rgb="FFFFFFFF"/>
        <rFont val="Arial"/>
        <family val="0"/>
        <charset val="1"/>
      </rPr>
      <t xml:space="preserve">B (1/0)</t>
    </r>
  </si>
  <si>
    <t xml:space="preserve">H600 (K·min)</t>
  </si>
  <si>
    <r>
      <rPr>
        <b val="true"/>
        <sz val="10"/>
        <color rgb="FFFFFFFF"/>
        <rFont val="WenQuanYi Zen Hei"/>
        <family val="2"/>
      </rPr>
      <t xml:space="preserve">최고온도 </t>
    </r>
    <r>
      <rPr>
        <b val="true"/>
        <sz val="10"/>
        <color rgb="FFFFFFFF"/>
        <rFont val="Arial"/>
        <family val="0"/>
        <charset val="1"/>
      </rPr>
      <t xml:space="preserve">3000 mm (°C)</t>
    </r>
  </si>
  <si>
    <t xml:space="preserve">EPS_C-1</t>
  </si>
  <si>
    <t xml:space="preserve">아니오</t>
  </si>
  <si>
    <t xml:space="preserve">EPS_C-2</t>
  </si>
  <si>
    <t xml:space="preserve">EPS_SC-1</t>
  </si>
  <si>
    <t xml:space="preserve">예</t>
  </si>
  <si>
    <t xml:space="preserve">A</t>
  </si>
  <si>
    <t xml:space="preserve">EPS_SC-2</t>
  </si>
  <si>
    <t xml:space="preserve">EPS_SC-3</t>
  </si>
  <si>
    <t xml:space="preserve">PIR_C-1</t>
  </si>
  <si>
    <t xml:space="preserve">PIR_C-2</t>
  </si>
  <si>
    <t xml:space="preserve">PIR_SC-1</t>
  </si>
  <si>
    <t xml:space="preserve">PIR_SC-2</t>
  </si>
  <si>
    <t xml:space="preserve">PF_out-1</t>
  </si>
  <si>
    <t xml:space="preserve">PF_out-2</t>
  </si>
  <si>
    <t xml:space="preserve">PF_in-1</t>
  </si>
  <si>
    <t xml:space="preserve">PF_in-2</t>
  </si>
  <si>
    <r>
      <rPr>
        <sz val="9"/>
        <color rgb="FF4B5563"/>
        <rFont val="Arial"/>
        <family val="0"/>
        <charset val="1"/>
      </rPr>
      <t xml:space="preserve">PIR(PUR) </t>
    </r>
    <r>
      <rPr>
        <sz val="9"/>
        <color rgb="FF4B5563"/>
        <rFont val="WenQuanYi Zen Hei"/>
        <family val="2"/>
      </rPr>
      <t xml:space="preserve">가연성은 </t>
    </r>
    <r>
      <rPr>
        <sz val="9"/>
        <color rgb="FF4B5563"/>
        <rFont val="Arial"/>
        <family val="0"/>
        <charset val="1"/>
      </rPr>
      <t xml:space="preserve">30 s </t>
    </r>
    <r>
      <rPr>
        <sz val="9"/>
        <color rgb="FF4B5563"/>
        <rFont val="WenQuanYi Zen Hei"/>
        <family val="2"/>
      </rPr>
      <t xml:space="preserve">만에 전면 착화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착화</t>
    </r>
    <r>
      <rPr>
        <sz val="9"/>
        <color rgb="FF4B5563"/>
        <rFont val="Arial"/>
        <family val="0"/>
        <charset val="1"/>
      </rPr>
      <t xml:space="preserve">·</t>
    </r>
    <r>
      <rPr>
        <sz val="9"/>
        <color rgb="FF4B5563"/>
        <rFont val="WenQuanYi Zen Hei"/>
        <family val="2"/>
      </rPr>
      <t xml:space="preserve">확산 분해 불가</t>
    </r>
    <r>
      <rPr>
        <sz val="9"/>
        <color rgb="FF4B5563"/>
        <rFont val="Arial"/>
        <family val="0"/>
        <charset val="1"/>
      </rPr>
      <t xml:space="preserve">), EPS </t>
    </r>
    <r>
      <rPr>
        <sz val="9"/>
        <color rgb="FF4B5563"/>
        <rFont val="WenQuanYi Zen Hei"/>
        <family val="2"/>
      </rPr>
      <t xml:space="preserve">준불연 </t>
    </r>
    <r>
      <rPr>
        <sz val="9"/>
        <color rgb="FF4B5563"/>
        <rFont val="Arial"/>
        <family val="0"/>
        <charset val="1"/>
      </rPr>
      <t xml:space="preserve">#2</t>
    </r>
    <r>
      <rPr>
        <sz val="9"/>
        <color rgb="FF4B5563"/>
        <rFont val="WenQuanYi Zen Hei"/>
        <family val="2"/>
      </rPr>
      <t xml:space="preserve">는 </t>
    </r>
    <r>
      <rPr>
        <sz val="9"/>
        <color rgb="FF4B5563"/>
        <rFont val="Arial"/>
        <family val="0"/>
        <charset val="1"/>
      </rPr>
      <t xml:space="preserve">30</t>
    </r>
    <r>
      <rPr>
        <sz val="9"/>
        <color rgb="FF4B5563"/>
        <rFont val="WenQuanYi Zen Hei"/>
        <family val="2"/>
      </rPr>
      <t xml:space="preserve">분 안에 </t>
    </r>
    <r>
      <rPr>
        <sz val="9"/>
        <color rgb="FF4B5563"/>
        <rFont val="Arial"/>
        <family val="0"/>
        <charset val="1"/>
      </rPr>
      <t xml:space="preserve">600 K </t>
    </r>
    <r>
      <rPr>
        <sz val="9"/>
        <color rgb="FF4B5563"/>
        <rFont val="WenQuanYi Zen Hei"/>
        <family val="2"/>
      </rPr>
      <t xml:space="preserve">미도달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층간 확산 없음으로 계산</t>
    </r>
    <r>
      <rPr>
        <sz val="9"/>
        <color rgb="FF4B5563"/>
        <rFont val="Arial"/>
        <family val="0"/>
        <charset val="1"/>
      </rPr>
      <t xml:space="preserve">). EPS </t>
    </r>
    <r>
      <rPr>
        <sz val="9"/>
        <color rgb="FF4B5563"/>
        <rFont val="WenQuanYi Zen Hei"/>
        <family val="2"/>
      </rPr>
      <t xml:space="preserve">가연성은 기록 </t>
    </r>
    <r>
      <rPr>
        <sz val="9"/>
        <color rgb="FF4B5563"/>
        <rFont val="Arial"/>
        <family val="0"/>
        <charset val="1"/>
      </rPr>
      <t xml:space="preserve">4</t>
    </r>
    <r>
      <rPr>
        <sz val="9"/>
        <color rgb="FF4B5563"/>
        <rFont val="WenQuanYi Zen Hei"/>
        <family val="2"/>
      </rPr>
      <t xml:space="preserve">분 → 정량평가 제외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재시험 필요</t>
    </r>
    <r>
      <rPr>
        <sz val="9"/>
        <color rgb="FF4B5563"/>
        <rFont val="Arial"/>
        <family val="0"/>
        <charset val="1"/>
      </rPr>
      <t xml:space="preserve">).</t>
    </r>
  </si>
  <si>
    <r>
      <rPr>
        <b val="true"/>
        <sz val="14"/>
        <rFont val="WenQuanYi Zen Hei"/>
        <family val="2"/>
      </rPr>
      <t xml:space="preserve">⑥ 전이함수 — 상수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시험 반복 편차</t>
    </r>
    <r>
      <rPr>
        <b val="true"/>
        <sz val="14"/>
        <rFont val="Arial"/>
        <family val="0"/>
        <charset val="1"/>
      </rPr>
      <t xml:space="preserve">, TGA </t>
    </r>
    <r>
      <rPr>
        <b val="true"/>
        <sz val="14"/>
        <rFont val="WenQuanYi Zen Hei"/>
        <family val="2"/>
      </rPr>
      <t xml:space="preserve">예측 편차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수식</t>
    </r>
    <r>
      <rPr>
        <b val="true"/>
        <sz val="14"/>
        <rFont val="Arial"/>
        <family val="0"/>
        <charset val="1"/>
      </rPr>
      <t xml:space="preserve">)</t>
    </r>
  </si>
  <si>
    <r>
      <rPr>
        <sz val="9"/>
        <color rgb="FF4B5563"/>
        <rFont val="WenQuanYi Zen Hei"/>
        <family val="2"/>
      </rPr>
      <t xml:space="preserve">소형시료 지표를 중규모 등가값</t>
    </r>
    <r>
      <rPr>
        <sz val="9"/>
        <color rgb="FF4B5563"/>
        <rFont val="Arial"/>
        <family val="0"/>
        <charset val="1"/>
      </rPr>
      <t xml:space="preserve">(t600, p_B)</t>
    </r>
    <r>
      <rPr>
        <sz val="9"/>
        <color rgb="FF4B5563"/>
        <rFont val="WenQuanYi Zen Hei"/>
        <family val="2"/>
      </rPr>
      <t xml:space="preserve">으로 바꾸는 식과 상수입니다</t>
    </r>
    <r>
      <rPr>
        <sz val="9"/>
        <color rgb="FF4B5563"/>
        <rFont val="Arial"/>
        <family val="0"/>
        <charset val="1"/>
      </rPr>
      <t xml:space="preserve">. σ_rep·τ·</t>
    </r>
    <r>
      <rPr>
        <sz val="9"/>
        <color rgb="FF4B5563"/>
        <rFont val="WenQuanYi Zen Hei"/>
        <family val="2"/>
      </rPr>
      <t xml:space="preserve">제품 간 </t>
    </r>
    <r>
      <rPr>
        <sz val="9"/>
        <color rgb="FF4B5563"/>
        <rFont val="Arial"/>
        <family val="0"/>
        <charset val="1"/>
      </rPr>
      <t xml:space="preserve">SD</t>
    </r>
    <r>
      <rPr>
        <sz val="9"/>
        <color rgb="FF4B5563"/>
        <rFont val="WenQuanYi Zen Hei"/>
        <family val="2"/>
      </rPr>
      <t xml:space="preserve">는 </t>
    </r>
    <r>
      <rPr>
        <sz val="9"/>
        <color rgb="FF4B5563"/>
        <rFont val="Arial"/>
        <family val="0"/>
        <charset val="1"/>
      </rPr>
      <t xml:space="preserve">5_L2_</t>
    </r>
    <r>
      <rPr>
        <sz val="9"/>
        <color rgb="FF4B5563"/>
        <rFont val="WenQuanYi Zen Hei"/>
        <family val="2"/>
      </rPr>
      <t xml:space="preserve">중규모의 값에서 수식으로 계산됩니다</t>
    </r>
    <r>
      <rPr>
        <sz val="9"/>
        <color rgb="FF4B5563"/>
        <rFont val="Arial"/>
        <family val="0"/>
        <charset val="1"/>
      </rPr>
      <t xml:space="preserve">.</t>
    </r>
  </si>
  <si>
    <t xml:space="preserve">상수</t>
  </si>
  <si>
    <t xml:space="preserve">이름</t>
  </si>
  <si>
    <t xml:space="preserve">항목</t>
  </si>
  <si>
    <t xml:space="preserve">값</t>
  </si>
  <si>
    <t xml:space="preserve">단위</t>
  </si>
  <si>
    <t xml:space="preserve">출처</t>
  </si>
  <si>
    <t xml:space="preserve">t_ig_sys</t>
  </si>
  <si>
    <r>
      <rPr>
        <sz val="10"/>
        <rFont val="WenQuanYi Zen Hei"/>
        <family val="2"/>
      </rPr>
      <t xml:space="preserve">시스템 착화 지연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준불연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회 중앙값</t>
    </r>
    <r>
      <rPr>
        <sz val="10"/>
        <rFont val="Arial"/>
        <family val="0"/>
        <charset val="1"/>
      </rPr>
      <t xml:space="preserve">)</t>
    </r>
  </si>
  <si>
    <t xml:space="preserve">integrated_model system_constants</t>
  </si>
  <si>
    <t xml:space="preserve">C_sys</t>
  </si>
  <si>
    <r>
      <rPr>
        <sz val="10"/>
        <rFont val="WenQuanYi Zen Hei"/>
        <family val="2"/>
      </rPr>
      <t xml:space="preserve">확산 상수 </t>
    </r>
    <r>
      <rPr>
        <sz val="10"/>
        <rFont val="Arial"/>
        <family val="0"/>
        <charset val="1"/>
      </rPr>
      <t xml:space="preserve">t_sp × r_max,air (6</t>
    </r>
    <r>
      <rPr>
        <sz val="10"/>
        <rFont val="WenQuanYi Zen Hei"/>
        <family val="2"/>
      </rPr>
      <t xml:space="preserve">회 평균</t>
    </r>
    <r>
      <rPr>
        <sz val="10"/>
        <rFont val="Arial"/>
        <family val="0"/>
        <charset val="1"/>
      </rPr>
      <t xml:space="preserve">)</t>
    </r>
  </si>
  <si>
    <t xml:space="preserve">s·%/°C</t>
  </si>
  <si>
    <r>
      <rPr>
        <sz val="9"/>
        <color rgb="FF4B5563"/>
        <rFont val="Arial"/>
        <family val="0"/>
        <charset val="1"/>
      </rPr>
      <t xml:space="preserve">integrated_model (</t>
    </r>
    <r>
      <rPr>
        <sz val="9"/>
        <color rgb="FF4B5563"/>
        <rFont val="WenQuanYi Zen Hei"/>
        <family val="2"/>
      </rPr>
      <t xml:space="preserve">변동계수 </t>
    </r>
    <r>
      <rPr>
        <sz val="9"/>
        <color rgb="FF4B5563"/>
        <rFont val="Arial"/>
        <family val="0"/>
        <charset val="1"/>
      </rPr>
      <t xml:space="preserve">12.75 %)</t>
    </r>
  </si>
  <si>
    <t xml:space="preserve">t_ref</t>
  </si>
  <si>
    <r>
      <rPr>
        <sz val="10"/>
        <rFont val="Arial"/>
        <family val="0"/>
        <charset val="1"/>
      </rPr>
      <t xml:space="preserve">FRI </t>
    </r>
    <r>
      <rPr>
        <sz val="10"/>
        <rFont val="WenQuanYi Zen Hei"/>
        <family val="2"/>
      </rPr>
      <t xml:space="preserve">기준시간</t>
    </r>
  </si>
  <si>
    <t xml:space="preserve">cavity_fire_index RISK_MODEL</t>
  </si>
  <si>
    <t xml:space="preserve">f_lo</t>
  </si>
  <si>
    <r>
      <rPr>
        <sz val="10"/>
        <rFont val="Arial"/>
        <family val="0"/>
        <charset val="1"/>
      </rPr>
      <t xml:space="preserve">p_B </t>
    </r>
    <r>
      <rPr>
        <sz val="10"/>
        <rFont val="WenQuanYi Zen Hei"/>
        <family val="2"/>
      </rPr>
      <t xml:space="preserve">램프 시작 </t>
    </r>
    <r>
      <rPr>
        <sz val="10"/>
        <rFont val="Arial"/>
        <family val="0"/>
        <charset val="1"/>
      </rPr>
      <t xml:space="preserve">f400,air</t>
    </r>
  </si>
  <si>
    <t xml:space="preserve">–</t>
  </si>
  <si>
    <r>
      <rPr>
        <sz val="9"/>
        <color rgb="FF4B5563"/>
        <rFont val="Arial"/>
        <family val="0"/>
        <charset val="1"/>
      </rPr>
      <t xml:space="preserve">B̂ </t>
    </r>
    <r>
      <rPr>
        <sz val="9"/>
        <color rgb="FF4B5563"/>
        <rFont val="WenQuanYi Zen Hei"/>
        <family val="2"/>
      </rPr>
      <t xml:space="preserve">경계 </t>
    </r>
    <r>
      <rPr>
        <sz val="9"/>
        <color rgb="FF4B5563"/>
        <rFont val="Arial"/>
        <family val="0"/>
        <charset val="1"/>
      </rPr>
      <t xml:space="preserve">0.65 − 0.05</t>
    </r>
  </si>
  <si>
    <t xml:space="preserve">f_hi</t>
  </si>
  <si>
    <r>
      <rPr>
        <sz val="10"/>
        <rFont val="Arial"/>
        <family val="0"/>
        <charset val="1"/>
      </rPr>
      <t xml:space="preserve">p_B </t>
    </r>
    <r>
      <rPr>
        <sz val="10"/>
        <rFont val="WenQuanYi Zen Hei"/>
        <family val="2"/>
      </rPr>
      <t xml:space="preserve">램프 끝 </t>
    </r>
    <r>
      <rPr>
        <sz val="10"/>
        <rFont val="Arial"/>
        <family val="0"/>
        <charset val="1"/>
      </rPr>
      <t xml:space="preserve">f400,air</t>
    </r>
  </si>
  <si>
    <r>
      <rPr>
        <sz val="9"/>
        <color rgb="FF4B5563"/>
        <rFont val="Arial"/>
        <family val="0"/>
        <charset val="1"/>
      </rPr>
      <t xml:space="preserve">B̂ </t>
    </r>
    <r>
      <rPr>
        <sz val="9"/>
        <color rgb="FF4B5563"/>
        <rFont val="WenQuanYi Zen Hei"/>
        <family val="2"/>
      </rPr>
      <t xml:space="preserve">경계 </t>
    </r>
    <r>
      <rPr>
        <sz val="9"/>
        <color rgb="FF4B5563"/>
        <rFont val="Arial"/>
        <family val="0"/>
        <charset val="1"/>
      </rPr>
      <t xml:space="preserve">0.65 + 0.05</t>
    </r>
  </si>
  <si>
    <t xml:space="preserve">n0</t>
  </si>
  <si>
    <r>
      <rPr>
        <sz val="10"/>
        <rFont val="Arial"/>
        <family val="0"/>
        <charset val="1"/>
      </rPr>
      <t xml:space="preserve">TGA p_B </t>
    </r>
    <r>
      <rPr>
        <sz val="10"/>
        <rFont val="WenQuanYi Zen Hei"/>
        <family val="2"/>
      </rPr>
      <t xml:space="preserve">사전분포 무게</t>
    </r>
  </si>
  <si>
    <t xml:space="preserve">회</t>
  </si>
  <si>
    <t xml:space="preserve">잠정</t>
  </si>
  <si>
    <t xml:space="preserve">f_melt</t>
  </si>
  <si>
    <r>
      <rPr>
        <sz val="10"/>
        <rFont val="WenQuanYi Zen Hei"/>
        <family val="2"/>
      </rPr>
      <t xml:space="preserve">용융형 경계 </t>
    </r>
    <r>
      <rPr>
        <sz val="10"/>
        <rFont val="Arial"/>
        <family val="0"/>
        <charset val="1"/>
      </rPr>
      <t xml:space="preserve">f400,air</t>
    </r>
  </si>
  <si>
    <r>
      <rPr>
        <sz val="9"/>
        <color rgb="FF4B5563"/>
        <rFont val="Arial"/>
        <family val="0"/>
        <charset val="1"/>
      </rPr>
      <t xml:space="preserve">integrated_model </t>
    </r>
    <r>
      <rPr>
        <sz val="9"/>
        <color rgb="FF4B5563"/>
        <rFont val="WenQuanYi Zen Hei"/>
        <family val="2"/>
      </rPr>
      <t xml:space="preserve">식 </t>
    </r>
    <r>
      <rPr>
        <sz val="9"/>
        <color rgb="FF4B5563"/>
        <rFont val="Arial"/>
        <family val="0"/>
        <charset val="1"/>
      </rPr>
      <t xml:space="preserve">4</t>
    </r>
  </si>
  <si>
    <t xml:space="preserve">tau_min</t>
  </si>
  <si>
    <r>
      <rPr>
        <sz val="10"/>
        <rFont val="Arial"/>
        <family val="0"/>
        <charset val="1"/>
      </rPr>
      <t xml:space="preserve">τ </t>
    </r>
    <r>
      <rPr>
        <sz val="10"/>
        <rFont val="WenQuanYi Zen Hei"/>
        <family val="2"/>
      </rPr>
      <t xml:space="preserve">하한</t>
    </r>
  </si>
  <si>
    <r>
      <rPr>
        <sz val="9"/>
        <color rgb="FF4B5563"/>
        <rFont val="WenQuanYi Zen Hei"/>
        <family val="2"/>
      </rPr>
      <t xml:space="preserve">자료 </t>
    </r>
    <r>
      <rPr>
        <sz val="9"/>
        <color rgb="FF4B5563"/>
        <rFont val="Arial"/>
        <family val="0"/>
        <charset val="1"/>
      </rPr>
      <t xml:space="preserve">3</t>
    </r>
    <r>
      <rPr>
        <sz val="9"/>
        <color rgb="FF4B5563"/>
        <rFont val="WenQuanYi Zen Hei"/>
        <family val="2"/>
      </rPr>
      <t xml:space="preserve">종 → 과소추정 방지</t>
    </r>
  </si>
  <si>
    <t xml:space="preserve">s_lo</t>
  </si>
  <si>
    <r>
      <rPr>
        <sz val="10"/>
        <rFont val="Arial"/>
        <family val="0"/>
        <charset val="1"/>
      </rPr>
      <t xml:space="preserve">s </t>
    </r>
    <r>
      <rPr>
        <sz val="10"/>
        <rFont val="WenQuanYi Zen Hei"/>
        <family val="2"/>
      </rPr>
      <t xml:space="preserve">범위 하한</t>
    </r>
  </si>
  <si>
    <t xml:space="preserve">facade_fra PARAMS</t>
  </si>
  <si>
    <t xml:space="preserve">s_hi</t>
  </si>
  <si>
    <r>
      <rPr>
        <sz val="10"/>
        <rFont val="Arial"/>
        <family val="0"/>
        <charset val="1"/>
      </rPr>
      <t xml:space="preserve">s </t>
    </r>
    <r>
      <rPr>
        <sz val="10"/>
        <rFont val="WenQuanYi Zen Hei"/>
        <family val="2"/>
      </rPr>
      <t xml:space="preserve">범위 상한</t>
    </r>
  </si>
  <si>
    <t xml:space="preserve">crit_conf</t>
  </si>
  <si>
    <t xml:space="preserve">판정 신뢰수준</t>
  </si>
  <si>
    <r>
      <rPr>
        <sz val="9"/>
        <color rgb="FF4B5563"/>
        <rFont val="Arial"/>
        <family val="0"/>
        <charset val="1"/>
      </rPr>
      <t xml:space="preserve">facade_fra </t>
    </r>
    <r>
      <rPr>
        <sz val="9"/>
        <color rgb="FF4B5563"/>
        <rFont val="WenQuanYi Zen Hei"/>
        <family val="2"/>
      </rPr>
      <t xml:space="preserve">예시</t>
    </r>
  </si>
  <si>
    <r>
      <rPr>
        <b val="true"/>
        <sz val="11"/>
        <rFont val="WenQuanYi Zen Hei"/>
        <family val="2"/>
      </rPr>
      <t xml:space="preserve">제품 제외</t>
    </r>
    <r>
      <rPr>
        <b val="true"/>
        <sz val="11"/>
        <rFont val="Arial"/>
        <family val="0"/>
        <charset val="1"/>
      </rPr>
      <t xml:space="preserve">(LOO) </t>
    </r>
    <r>
      <rPr>
        <b val="true"/>
        <sz val="11"/>
        <rFont val="WenQuanYi Zen Hei"/>
        <family val="2"/>
      </rPr>
      <t xml:space="preserve">보정 상수와 시험 통계 — 준불연 탄화형</t>
    </r>
  </si>
  <si>
    <t xml:space="preserve">제품</t>
  </si>
  <si>
    <t xml:space="preserve">t_ig,sys LOO (s)</t>
  </si>
  <si>
    <t xml:space="preserve">C_sys LOO</t>
  </si>
  <si>
    <t xml:space="preserve">r_max,air</t>
  </si>
  <si>
    <t xml:space="preserve">t̂600 LOO (s)</t>
  </si>
  <si>
    <r>
      <rPr>
        <b val="true"/>
        <sz val="10"/>
        <color rgb="FFFFFFFF"/>
        <rFont val="WenQuanYi Zen Hei"/>
        <family val="2"/>
      </rPr>
      <t xml:space="preserve">시험 수 </t>
    </r>
    <r>
      <rPr>
        <b val="true"/>
        <sz val="10"/>
        <color rgb="FFFFFFFF"/>
        <rFont val="Arial"/>
        <family val="0"/>
        <charset val="1"/>
      </rPr>
      <t xml:space="preserve">n</t>
    </r>
  </si>
  <si>
    <r>
      <rPr>
        <b val="true"/>
        <sz val="10"/>
        <color rgb="FFFFFFFF"/>
        <rFont val="Arial"/>
        <family val="0"/>
        <charset val="1"/>
      </rPr>
      <t xml:space="preserve">ȳ = </t>
    </r>
    <r>
      <rPr>
        <b val="true"/>
        <sz val="10"/>
        <color rgb="FFFFFFFF"/>
        <rFont val="WenQuanYi Zen Hei"/>
        <family val="2"/>
      </rPr>
      <t xml:space="preserve">평균 </t>
    </r>
    <r>
      <rPr>
        <b val="true"/>
        <sz val="10"/>
        <color rgb="FFFFFFFF"/>
        <rFont val="Arial"/>
        <family val="0"/>
        <charset val="1"/>
      </rPr>
      <t xml:space="preserve">ln t600</t>
    </r>
  </si>
  <si>
    <t xml:space="preserve">Σ (ln t600)²</t>
  </si>
  <si>
    <t xml:space="preserve">SS = Σ(ln t − ȳ)²</t>
  </si>
  <si>
    <r>
      <rPr>
        <b val="true"/>
        <sz val="10"/>
        <color rgb="FFFFFFFF"/>
        <rFont val="WenQuanYi Zen Hei"/>
        <family val="2"/>
      </rPr>
      <t xml:space="preserve">잔차 </t>
    </r>
    <r>
      <rPr>
        <b val="true"/>
        <sz val="10"/>
        <color rgb="FFFFFFFF"/>
        <rFont val="Arial"/>
        <family val="0"/>
        <charset val="1"/>
      </rPr>
      <t xml:space="preserve">r = ȳ − ln t̂</t>
    </r>
  </si>
  <si>
    <t xml:space="preserve">r² − σ_rep²/n</t>
  </si>
  <si>
    <r>
      <rPr>
        <b val="true"/>
        <sz val="10"/>
        <color rgb="FFFFFFFF"/>
        <rFont val="WenQuanYi Zen Hei"/>
        <family val="2"/>
      </rPr>
      <t xml:space="preserve">시험 기하평균 </t>
    </r>
    <r>
      <rPr>
        <b val="true"/>
        <sz val="10"/>
        <color rgb="FFFFFFFF"/>
        <rFont val="Arial"/>
        <family val="0"/>
        <charset val="1"/>
      </rPr>
      <t xml:space="preserve">(s)</t>
    </r>
  </si>
  <si>
    <r>
      <rPr>
        <b val="true"/>
        <sz val="10"/>
        <color rgb="FFFFFFFF"/>
        <rFont val="WenQuanYi Zen Hei"/>
        <family val="2"/>
      </rPr>
      <t xml:space="preserve">검산</t>
    </r>
    <r>
      <rPr>
        <b val="true"/>
        <sz val="10"/>
        <color rgb="FFFFFFFF"/>
        <rFont val="Arial"/>
        <family val="0"/>
        <charset val="1"/>
      </rPr>
      <t xml:space="preserve">: t_ig + C/r_max (s)</t>
    </r>
  </si>
  <si>
    <r>
      <rPr>
        <sz val="9"/>
        <color rgb="FF4B5563"/>
        <rFont val="Arial"/>
        <family val="0"/>
        <charset val="1"/>
      </rPr>
      <t xml:space="preserve">t̂600 LOO: integrated_model</t>
    </r>
    <r>
      <rPr>
        <sz val="9"/>
        <color rgb="FF4B5563"/>
        <rFont val="WenQuanYi Zen Hei"/>
        <family val="2"/>
      </rPr>
      <t xml:space="preserve">이 해당 제품을 빼고 </t>
    </r>
    <r>
      <rPr>
        <sz val="9"/>
        <color rgb="FF4B5563"/>
        <rFont val="Arial"/>
        <family val="0"/>
        <charset val="1"/>
      </rPr>
      <t xml:space="preserve">t_ig,sys·C_sys</t>
    </r>
    <r>
      <rPr>
        <sz val="9"/>
        <color rgb="FF4B5563"/>
        <rFont val="WenQuanYi Zen Hei"/>
        <family val="2"/>
      </rPr>
      <t xml:space="preserve">를 다시 맞춰 낸 예측값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원값</t>
    </r>
    <r>
      <rPr>
        <sz val="9"/>
        <color rgb="FF4B5563"/>
        <rFont val="Arial"/>
        <family val="0"/>
        <charset val="1"/>
      </rPr>
      <t xml:space="preserve">). </t>
    </r>
    <r>
      <rPr>
        <sz val="9"/>
        <color rgb="FF4B5563"/>
        <rFont val="WenQuanYi Zen Hei"/>
        <family val="2"/>
      </rPr>
      <t xml:space="preserve">마지막 열은 반올림 상수로 다시 계산한 검산값입니다</t>
    </r>
    <r>
      <rPr>
        <sz val="9"/>
        <color rgb="FF4B5563"/>
        <rFont val="Arial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</si>
  <si>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통계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수식</t>
    </r>
    <r>
      <rPr>
        <b val="true"/>
        <sz val="11"/>
        <rFont val="Arial"/>
        <family val="0"/>
        <charset val="1"/>
      </rPr>
      <t xml:space="preserve">)</t>
    </r>
  </si>
  <si>
    <t xml:space="preserve">sigma_rep</t>
  </si>
  <si>
    <r>
      <rPr>
        <sz val="10"/>
        <rFont val="WenQuanYi Zen Hei"/>
        <family val="2"/>
      </rPr>
      <t xml:space="preserve">시험 반복 편차 </t>
    </r>
    <r>
      <rPr>
        <sz val="10"/>
        <rFont val="Arial"/>
        <family val="0"/>
        <charset val="1"/>
      </rPr>
      <t xml:space="preserve">σ_rep (ln t600, </t>
    </r>
    <r>
      <rPr>
        <sz val="10"/>
        <rFont val="WenQuanYi Zen Hei"/>
        <family val="2"/>
      </rPr>
      <t xml:space="preserve">반복쌍 합동</t>
    </r>
    <r>
      <rPr>
        <sz val="10"/>
        <rFont val="Arial"/>
        <family val="0"/>
        <charset val="1"/>
      </rPr>
      <t xml:space="preserve">)</t>
    </r>
  </si>
  <si>
    <t xml:space="preserve">tau2_raw</t>
  </si>
  <si>
    <r>
      <rPr>
        <sz val="10"/>
        <rFont val="Arial"/>
        <family val="0"/>
        <charset val="1"/>
      </rPr>
      <t xml:space="preserve">TGA </t>
    </r>
    <r>
      <rPr>
        <sz val="10"/>
        <rFont val="WenQuanYi Zen Hei"/>
        <family val="2"/>
      </rPr>
      <t xml:space="preserve">예측 편차²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제품 평균</t>
    </r>
    <r>
      <rPr>
        <sz val="10"/>
        <rFont val="Arial"/>
        <family val="0"/>
        <charset val="1"/>
      </rPr>
      <t xml:space="preserve">) = </t>
    </r>
    <r>
      <rPr>
        <sz val="10"/>
        <rFont val="WenQuanYi Zen Hei"/>
        <family val="2"/>
      </rPr>
      <t xml:space="preserve">평균</t>
    </r>
    <r>
      <rPr>
        <sz val="10"/>
        <rFont val="Arial"/>
        <family val="0"/>
        <charset val="1"/>
      </rPr>
      <t xml:space="preserve">(r² − σ_rep²/n)</t>
    </r>
  </si>
  <si>
    <t xml:space="preserve">tau_tga</t>
  </si>
  <si>
    <r>
      <rPr>
        <sz val="10"/>
        <rFont val="Arial"/>
        <family val="0"/>
        <charset val="1"/>
      </rPr>
      <t xml:space="preserve">TGA </t>
    </r>
    <r>
      <rPr>
        <sz val="10"/>
        <rFont val="WenQuanYi Zen Hei"/>
        <family val="2"/>
      </rPr>
      <t xml:space="preserve">예측 편차 </t>
    </r>
    <r>
      <rPr>
        <sz val="10"/>
        <rFont val="Arial"/>
        <family val="0"/>
        <charset val="1"/>
      </rPr>
      <t xml:space="preserve">τ (ln t600)</t>
    </r>
  </si>
  <si>
    <t xml:space="preserve">sd_between</t>
  </si>
  <si>
    <r>
      <rPr>
        <sz val="10"/>
        <rFont val="WenQuanYi Zen Hei"/>
        <family val="2"/>
      </rPr>
      <t xml:space="preserve">준불연 제품 간 </t>
    </r>
    <r>
      <rPr>
        <sz val="10"/>
        <rFont val="Arial"/>
        <family val="0"/>
        <charset val="1"/>
      </rPr>
      <t xml:space="preserve">SD (ln t600, </t>
    </r>
    <r>
      <rPr>
        <sz val="10"/>
        <rFont val="WenQuanYi Zen Hei"/>
        <family val="2"/>
      </rPr>
      <t xml:space="preserve">등급만 아는 경우의 사전분포</t>
    </r>
    <r>
      <rPr>
        <sz val="10"/>
        <rFont val="Arial"/>
        <family val="0"/>
        <charset val="1"/>
      </rPr>
      <t xml:space="preserve">)</t>
    </r>
  </si>
  <si>
    <t xml:space="preserve">전이함수 목록</t>
  </si>
  <si>
    <t xml:space="preserve">번호</t>
  </si>
  <si>
    <t xml:space="preserve">연결</t>
  </si>
  <si>
    <t xml:space="preserve">식</t>
  </si>
  <si>
    <t xml:space="preserve">적용 범위</t>
  </si>
  <si>
    <t xml:space="preserve">상태</t>
  </si>
  <si>
    <t xml:space="preserve">T1</t>
  </si>
  <si>
    <r>
      <rPr>
        <sz val="10"/>
        <rFont val="Arial"/>
        <family val="0"/>
        <charset val="1"/>
      </rPr>
      <t xml:space="preserve">TGA → </t>
    </r>
    <r>
      <rPr>
        <sz val="10"/>
        <rFont val="WenQuanYi Zen Hei"/>
        <family val="2"/>
      </rPr>
      <t xml:space="preserve">확산</t>
    </r>
  </si>
  <si>
    <t xml:space="preserve">t̂600 = t_ig,sys + C_sys / r_max,air</t>
  </si>
  <si>
    <r>
      <rPr>
        <sz val="10"/>
        <rFont val="WenQuanYi Zen Hei"/>
        <family val="2"/>
      </rPr>
      <t xml:space="preserve">준불연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탄화형 </t>
    </r>
    <r>
      <rPr>
        <sz val="10"/>
        <rFont val="Arial"/>
        <family val="0"/>
        <charset val="1"/>
      </rPr>
      <t xml:space="preserve">(f400,air ≥ 0.5)</t>
    </r>
  </si>
  <si>
    <r>
      <rPr>
        <sz val="10"/>
        <rFont val="WenQuanYi Zen Hei"/>
        <family val="2"/>
      </rPr>
      <t xml:space="preserve">보정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교차검증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제품 제외 오차 −</t>
    </r>
    <r>
      <rPr>
        <sz val="10"/>
        <rFont val="Arial"/>
        <family val="0"/>
        <charset val="1"/>
      </rPr>
      <t xml:space="preserve">14 – +29 %)</t>
    </r>
  </si>
  <si>
    <t xml:space="preserve">D2</t>
  </si>
  <si>
    <t xml:space="preserve">T2</t>
  </si>
  <si>
    <r>
      <rPr>
        <sz val="10"/>
        <rFont val="Arial"/>
        <family val="0"/>
        <charset val="1"/>
      </rPr>
      <t xml:space="preserve">TGA → </t>
    </r>
    <r>
      <rPr>
        <sz val="10"/>
        <rFont val="WenQuanYi Zen Hei"/>
        <family val="2"/>
      </rPr>
      <t xml:space="preserve">지속</t>
    </r>
  </si>
  <si>
    <r>
      <rPr>
        <sz val="10"/>
        <rFont val="Arial"/>
        <family val="0"/>
        <charset val="1"/>
      </rPr>
      <t xml:space="preserve">p̂_B ~ Beta(n₀m, n₀(1−m)), m = </t>
    </r>
    <r>
      <rPr>
        <sz val="10"/>
        <rFont val="WenQuanYi Zen Hei"/>
        <family val="2"/>
      </rPr>
      <t xml:space="preserve">램프</t>
    </r>
    <r>
      <rPr>
        <sz val="10"/>
        <rFont val="Arial"/>
        <family val="0"/>
        <charset val="1"/>
      </rPr>
      <t xml:space="preserve">(f400,air; 0.60 → 0.70)</t>
    </r>
  </si>
  <si>
    <r>
      <rPr>
        <sz val="10"/>
        <rFont val="WenQuanYi Zen Hei"/>
        <family val="2"/>
      </rPr>
      <t xml:space="preserve">준불연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탄화형</t>
    </r>
  </si>
  <si>
    <r>
      <rPr>
        <sz val="10"/>
        <rFont val="WenQuanYi Zen Hei"/>
        <family val="2"/>
      </rPr>
      <t xml:space="preserve">잠정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제품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종</t>
    </r>
    <r>
      <rPr>
        <sz val="10"/>
        <rFont val="Arial"/>
        <family val="0"/>
        <charset val="1"/>
      </rPr>
      <t xml:space="preserve">, B̂ </t>
    </r>
    <r>
      <rPr>
        <sz val="10"/>
        <rFont val="WenQuanYi Zen Hei"/>
        <family val="2"/>
      </rPr>
      <t xml:space="preserve">경계 </t>
    </r>
    <r>
      <rPr>
        <sz val="10"/>
        <rFont val="Arial"/>
        <family val="0"/>
        <charset val="1"/>
      </rPr>
      <t xml:space="preserve">0.65)</t>
    </r>
  </si>
  <si>
    <t xml:space="preserve">D4</t>
  </si>
  <si>
    <t xml:space="preserve">T3</t>
  </si>
  <si>
    <r>
      <rPr>
        <sz val="10"/>
        <rFont val="Arial"/>
        <family val="0"/>
        <charset val="1"/>
      </rPr>
      <t xml:space="preserve">TGA → </t>
    </r>
    <r>
      <rPr>
        <sz val="10"/>
        <rFont val="WenQuanYi Zen Hei"/>
        <family val="2"/>
      </rPr>
      <t xml:space="preserve">급발</t>
    </r>
  </si>
  <si>
    <r>
      <rPr>
        <sz val="10"/>
        <rFont val="Arial"/>
        <family val="0"/>
        <charset val="1"/>
      </rPr>
      <t xml:space="preserve">f400,air &lt; 0.5 → </t>
    </r>
    <r>
      <rPr>
        <sz val="10"/>
        <rFont val="WenQuanYi Zen Hei"/>
        <family val="2"/>
      </rPr>
      <t xml:space="preserve">용융형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확산식 미적용</t>
    </r>
    <r>
      <rPr>
        <sz val="10"/>
        <rFont val="Arial"/>
        <family val="0"/>
        <charset val="1"/>
      </rPr>
      <t xml:space="preserve">, A </t>
    </r>
    <r>
      <rPr>
        <sz val="10"/>
        <rFont val="WenQuanYi Zen Hei"/>
        <family val="2"/>
      </rPr>
      <t xml:space="preserve">예상</t>
    </r>
  </si>
  <si>
    <t xml:space="preserve">전체</t>
  </si>
  <si>
    <r>
      <rPr>
        <sz val="10"/>
        <rFont val="WenQuanYi Zen Hei"/>
        <family val="2"/>
      </rPr>
      <t xml:space="preserve">관측 일치</t>
    </r>
    <r>
      <rPr>
        <sz val="10"/>
        <rFont val="Arial"/>
        <family val="0"/>
        <charset val="1"/>
      </rPr>
      <t xml:space="preserve">(EPS </t>
    </r>
    <r>
      <rPr>
        <sz val="10"/>
        <rFont val="WenQuanYi Zen Hei"/>
        <family val="2"/>
      </rPr>
      <t xml:space="preserve">준불연 </t>
    </r>
    <r>
      <rPr>
        <sz val="10"/>
        <rFont val="Arial"/>
        <family val="0"/>
        <charset val="1"/>
      </rPr>
      <t xml:space="preserve">A 2/3)</t>
    </r>
  </si>
  <si>
    <t xml:space="preserve">D5</t>
  </si>
  <si>
    <t xml:space="preserve">T4</t>
  </si>
  <si>
    <t xml:space="preserve">콘 → 게이트</t>
  </si>
  <si>
    <r>
      <rPr>
        <sz val="10"/>
        <rFont val="WenQuanYi Zen Hei"/>
        <family val="2"/>
      </rPr>
      <t xml:space="preserve">준불연 기준 미달 → 가연성</t>
    </r>
    <r>
      <rPr>
        <sz val="10"/>
        <rFont val="Arial"/>
        <family val="0"/>
        <charset val="1"/>
      </rPr>
      <t xml:space="preserve">: TGA </t>
    </r>
    <r>
      <rPr>
        <sz val="10"/>
        <rFont val="WenQuanYi Zen Hei"/>
        <family val="2"/>
      </rPr>
      <t xml:space="preserve">미적용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중규모 필수</t>
    </r>
  </si>
  <si>
    <r>
      <rPr>
        <sz val="10"/>
        <rFont val="WenQuanYi Zen Hei"/>
        <family val="2"/>
      </rPr>
      <t xml:space="preserve">규정 기준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콘 자료 필요</t>
    </r>
  </si>
  <si>
    <t xml:space="preserve">G</t>
  </si>
  <si>
    <t xml:space="preserve">T5</t>
  </si>
  <si>
    <t xml:space="preserve">콘 → 확산</t>
  </si>
  <si>
    <r>
      <rPr>
        <sz val="10"/>
        <rFont val="Arial"/>
        <family val="0"/>
        <charset val="1"/>
      </rPr>
      <t xml:space="preserve">M = Q̇″^(1/3)/TRP → t̂600 = 1079 s (M_ref/M)², b &gt; 0 → </t>
    </r>
    <r>
      <rPr>
        <sz val="10"/>
        <rFont val="WenQuanYi Zen Hei"/>
        <family val="2"/>
      </rPr>
      <t xml:space="preserve">가속</t>
    </r>
  </si>
  <si>
    <t xml:space="preserve">준불연</t>
  </si>
  <si>
    <r>
      <rPr>
        <sz val="10"/>
        <rFont val="WenQuanYi Zen Hei"/>
        <family val="2"/>
      </rPr>
      <t xml:space="preserve">제안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콘 자료로 보정</t>
    </r>
    <r>
      <rPr>
        <sz val="10"/>
        <rFont val="Arial"/>
        <family val="0"/>
        <charset val="1"/>
      </rPr>
      <t xml:space="preserve">)</t>
    </r>
  </si>
  <si>
    <t xml:space="preserve">T6</t>
  </si>
  <si>
    <t xml:space="preserve">콘 → 발열</t>
  </si>
  <si>
    <r>
      <rPr>
        <sz val="10"/>
        <rFont val="Arial"/>
        <family val="0"/>
        <charset val="1"/>
      </rPr>
      <t xml:space="preserve">THR_600 ↔ H600 (3000 mm </t>
    </r>
    <r>
      <rPr>
        <sz val="10"/>
        <rFont val="WenQuanYi Zen Hei"/>
        <family val="2"/>
      </rPr>
      <t xml:space="preserve">초과 열량</t>
    </r>
    <r>
      <rPr>
        <sz val="10"/>
        <rFont val="Arial"/>
        <family val="0"/>
        <charset val="1"/>
      </rPr>
      <t xml:space="preserve">)</t>
    </r>
  </si>
  <si>
    <t xml:space="preserve">제안</t>
  </si>
  <si>
    <t xml:space="preserve">D3</t>
  </si>
  <si>
    <t xml:space="preserve">T7</t>
  </si>
  <si>
    <r>
      <rPr>
        <sz val="10"/>
        <rFont val="Arial"/>
        <family val="0"/>
        <charset val="1"/>
      </rPr>
      <t xml:space="preserve">FT-IR → </t>
    </r>
    <r>
      <rPr>
        <sz val="10"/>
        <rFont val="WenQuanYi Zen Hei"/>
        <family val="2"/>
      </rPr>
      <t xml:space="preserve">게이트</t>
    </r>
  </si>
  <si>
    <r>
      <rPr>
        <sz val="10"/>
        <rFont val="WenQuanYi Zen Hei"/>
        <family val="2"/>
      </rPr>
      <t xml:space="preserve">식별 일치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난연</t>
    </r>
    <r>
      <rPr>
        <sz val="10"/>
        <rFont val="Arial"/>
        <family val="0"/>
        <charset val="1"/>
      </rPr>
      <t xml:space="preserve">(P) </t>
    </r>
    <r>
      <rPr>
        <sz val="10"/>
        <rFont val="WenQuanYi Zen Hei"/>
        <family val="2"/>
      </rPr>
      <t xml:space="preserve">지수 </t>
    </r>
    <r>
      <rPr>
        <sz val="10"/>
        <rFont val="Arial"/>
        <family val="0"/>
        <charset val="1"/>
      </rPr>
      <t xml:space="preserve">&gt; 0 → </t>
    </r>
    <r>
      <rPr>
        <sz val="10"/>
        <rFont val="WenQuanYi Zen Hei"/>
        <family val="2"/>
      </rPr>
      <t xml:space="preserve">준불연 처리 확인</t>
    </r>
    <r>
      <rPr>
        <sz val="10"/>
        <rFont val="Arial"/>
        <family val="0"/>
        <charset val="1"/>
      </rPr>
      <t xml:space="preserve">; </t>
    </r>
    <r>
      <rPr>
        <sz val="10"/>
        <rFont val="WenQuanYi Zen Hei"/>
        <family val="2"/>
      </rPr>
      <t xml:space="preserve">이소시아누레이트 지수 ↔ </t>
    </r>
    <r>
      <rPr>
        <sz val="10"/>
        <rFont val="Arial"/>
        <family val="0"/>
        <charset val="1"/>
      </rPr>
      <t xml:space="preserve">T_onset·f400</t>
    </r>
  </si>
  <si>
    <t xml:space="preserve">T8</t>
  </si>
  <si>
    <r>
      <rPr>
        <sz val="10"/>
        <rFont val="Arial"/>
        <family val="0"/>
        <charset val="1"/>
      </rPr>
      <t xml:space="preserve">FT-IR·</t>
    </r>
    <r>
      <rPr>
        <sz val="10"/>
        <rFont val="WenQuanYi Zen Hei"/>
        <family val="2"/>
      </rPr>
      <t xml:space="preserve">콘 → 유해</t>
    </r>
  </si>
  <si>
    <r>
      <rPr>
        <sz val="10"/>
        <rFont val="Arial"/>
        <family val="0"/>
        <charset val="1"/>
      </rPr>
      <t xml:space="preserve">HCN·CO </t>
    </r>
    <r>
      <rPr>
        <sz val="10"/>
        <rFont val="WenQuanYi Zen Hei"/>
        <family val="2"/>
      </rPr>
      <t xml:space="preserve">발생량 → </t>
    </r>
    <r>
      <rPr>
        <sz val="10"/>
        <rFont val="Arial"/>
        <family val="0"/>
        <charset val="1"/>
      </rPr>
      <t xml:space="preserve">FDS </t>
    </r>
    <r>
      <rPr>
        <sz val="10"/>
        <rFont val="WenQuanYi Zen Hei"/>
        <family val="2"/>
      </rPr>
      <t xml:space="preserve">수율 → 위층 </t>
    </r>
    <r>
      <rPr>
        <sz val="10"/>
        <rFont val="Arial"/>
        <family val="0"/>
        <charset val="1"/>
      </rPr>
      <t xml:space="preserve">FED</t>
    </r>
  </si>
  <si>
    <t xml:space="preserve">D6</t>
  </si>
  <si>
    <t xml:space="preserve">중규모 → 건물</t>
  </si>
  <si>
    <r>
      <rPr>
        <sz val="10"/>
        <rFont val="Arial"/>
        <family val="0"/>
        <charset val="1"/>
      </rPr>
      <t xml:space="preserve">τ_F = s · t600 · h / 3 m (s: </t>
    </r>
    <r>
      <rPr>
        <sz val="10"/>
        <rFont val="WenQuanYi Zen Hei"/>
        <family val="2"/>
      </rPr>
      <t xml:space="preserve">실물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시험 비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</si>
  <si>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가정 </t>
    </r>
    <r>
      <rPr>
        <sz val="10"/>
        <rFont val="Arial"/>
        <family val="0"/>
        <charset val="1"/>
      </rPr>
      <t xml:space="preserve">LogU(0.25, 1) → L3·</t>
    </r>
    <r>
      <rPr>
        <sz val="10"/>
        <rFont val="WenQuanYi Zen Hei"/>
        <family val="2"/>
      </rPr>
      <t xml:space="preserve">실대형으로 대체</t>
    </r>
  </si>
  <si>
    <r>
      <rPr>
        <b val="true"/>
        <sz val="14"/>
        <rFont val="WenQuanYi Zen Hei"/>
        <family val="2"/>
      </rPr>
      <t xml:space="preserve">⑦ 통합 — </t>
    </r>
    <r>
      <rPr>
        <b val="true"/>
        <sz val="14"/>
        <rFont val="Arial"/>
        <family val="0"/>
        <charset val="1"/>
      </rPr>
      <t xml:space="preserve">TGA </t>
    </r>
    <r>
      <rPr>
        <b val="true"/>
        <sz val="14"/>
        <rFont val="WenQuanYi Zen Hei"/>
        <family val="2"/>
      </rPr>
      <t xml:space="preserve">사전분포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중규모 시험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베이즈 결합</t>
    </r>
    <r>
      <rPr>
        <b val="true"/>
        <sz val="14"/>
        <rFont val="Arial"/>
        <family val="0"/>
        <charset val="1"/>
      </rPr>
      <t xml:space="preserve">)</t>
    </r>
    <r>
      <rPr>
        <b val="true"/>
        <sz val="14"/>
        <rFont val="WenQuanYi Zen Hei"/>
        <family val="2"/>
      </rPr>
      <t xml:space="preserve">과 척도 간 정합성</t>
    </r>
  </si>
  <si>
    <r>
      <rPr>
        <sz val="9"/>
        <color rgb="FF4B5563"/>
        <rFont val="Arial"/>
        <family val="0"/>
        <charset val="1"/>
      </rPr>
      <t xml:space="preserve">ln t600: </t>
    </r>
    <r>
      <rPr>
        <sz val="9"/>
        <color rgb="FF4B5563"/>
        <rFont val="WenQuanYi Zen Hei"/>
        <family val="2"/>
      </rPr>
      <t xml:space="preserve">정규–정규 결합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사전 </t>
    </r>
    <r>
      <rPr>
        <sz val="9"/>
        <color rgb="FF4B5563"/>
        <rFont val="Arial"/>
        <family val="0"/>
        <charset val="1"/>
      </rPr>
      <t xml:space="preserve">N(ln t̂_TGA, τ²), </t>
    </r>
    <r>
      <rPr>
        <sz val="9"/>
        <color rgb="FF4B5563"/>
        <rFont val="WenQuanYi Zen Hei"/>
        <family val="2"/>
      </rPr>
      <t xml:space="preserve">시험 </t>
    </r>
    <r>
      <rPr>
        <sz val="9"/>
        <color rgb="FF4B5563"/>
        <rFont val="Arial"/>
        <family val="0"/>
        <charset val="1"/>
      </rPr>
      <t xml:space="preserve">n</t>
    </r>
    <r>
      <rPr>
        <sz val="9"/>
        <color rgb="FF4B5563"/>
        <rFont val="WenQuanYi Zen Hei"/>
        <family val="2"/>
      </rPr>
      <t xml:space="preserve">회 </t>
    </r>
    <r>
      <rPr>
        <sz val="9"/>
        <color rgb="FF4B5563"/>
        <rFont val="Arial"/>
        <family val="0"/>
        <charset val="1"/>
      </rPr>
      <t xml:space="preserve">N(μ, σ_rep²)). p_B: </t>
    </r>
    <r>
      <rPr>
        <sz val="9"/>
        <color rgb="FF4B5563"/>
        <rFont val="WenQuanYi Zen Hei"/>
        <family val="2"/>
      </rPr>
      <t xml:space="preserve">베타–이항 결합</t>
    </r>
    <r>
      <rPr>
        <sz val="9"/>
        <color rgb="FF4B5563"/>
        <rFont val="Arial"/>
        <family val="0"/>
        <charset val="1"/>
      </rPr>
      <t xml:space="preserve">. </t>
    </r>
    <r>
      <rPr>
        <sz val="9"/>
        <color rgb="FF4B5563"/>
        <rFont val="WenQuanYi Zen Hei"/>
        <family val="2"/>
      </rPr>
      <t xml:space="preserve">정합성</t>
    </r>
    <r>
      <rPr>
        <sz val="9"/>
        <color rgb="FF4B5563"/>
        <rFont val="Arial"/>
        <family val="0"/>
        <charset val="1"/>
      </rPr>
      <t xml:space="preserve">: |z| ≤ 2, </t>
    </r>
    <r>
      <rPr>
        <sz val="9"/>
        <color rgb="FF4B5563"/>
        <rFont val="WenQuanYi Zen Hei"/>
        <family val="2"/>
      </rPr>
      <t xml:space="preserve">예측확률 ≥ </t>
    </r>
    <r>
      <rPr>
        <sz val="9"/>
        <color rgb="FF4B5563"/>
        <rFont val="Arial"/>
        <family val="0"/>
        <charset val="1"/>
      </rPr>
      <t xml:space="preserve">0.05.</t>
    </r>
  </si>
  <si>
    <r>
      <rPr>
        <b val="true"/>
        <sz val="11"/>
        <rFont val="Arial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확산 </t>
    </r>
    <r>
      <rPr>
        <b val="true"/>
        <sz val="11"/>
        <rFont val="Arial"/>
        <family val="0"/>
        <charset val="1"/>
      </rPr>
      <t xml:space="preserve">(t600) — </t>
    </r>
    <r>
      <rPr>
        <b val="true"/>
        <sz val="11"/>
        <rFont val="WenQuanYi Zen Hei"/>
        <family val="2"/>
      </rPr>
      <t xml:space="preserve">준불연 탄화형</t>
    </r>
  </si>
  <si>
    <t xml:space="preserve">μ₀ = ln t̂_TGA</t>
  </si>
  <si>
    <t xml:space="preserve">τ</t>
  </si>
  <si>
    <r>
      <rPr>
        <b val="true"/>
        <sz val="10"/>
        <color rgb="FFFFFFFF"/>
        <rFont val="Arial"/>
        <family val="0"/>
        <charset val="1"/>
      </rPr>
      <t xml:space="preserve">ȳ (</t>
    </r>
    <r>
      <rPr>
        <b val="true"/>
        <sz val="10"/>
        <color rgb="FFFFFFFF"/>
        <rFont val="WenQuanYi Zen Hei"/>
        <family val="2"/>
      </rPr>
      <t xml:space="preserve">시험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</si>
  <si>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n</t>
  </si>
  <si>
    <t xml:space="preserve">σ_rep</t>
  </si>
  <si>
    <r>
      <rPr>
        <b val="true"/>
        <sz val="10"/>
        <color rgb="FFFFFFFF"/>
        <rFont val="WenQuanYi Zen Hei"/>
        <family val="2"/>
      </rPr>
      <t xml:space="preserve">사전 정밀도 </t>
    </r>
    <r>
      <rPr>
        <b val="true"/>
        <sz val="10"/>
        <color rgb="FFFFFFFF"/>
        <rFont val="Arial"/>
        <family val="0"/>
        <charset val="1"/>
      </rPr>
      <t xml:space="preserve">1/τ²</t>
    </r>
  </si>
  <si>
    <r>
      <rPr>
        <b val="true"/>
        <sz val="10"/>
        <color rgb="FFFFFFFF"/>
        <rFont val="WenQuanYi Zen Hei"/>
        <family val="2"/>
      </rPr>
      <t xml:space="preserve">자료 정밀도 </t>
    </r>
    <r>
      <rPr>
        <b val="true"/>
        <sz val="10"/>
        <color rgb="FFFFFFFF"/>
        <rFont val="Arial"/>
        <family val="0"/>
        <charset val="1"/>
      </rPr>
      <t xml:space="preserve">n/σ²</t>
    </r>
  </si>
  <si>
    <r>
      <rPr>
        <b val="true"/>
        <sz val="10"/>
        <color rgb="FFFFFFFF"/>
        <rFont val="Arial"/>
        <family val="0"/>
        <charset val="1"/>
      </rPr>
      <t xml:space="preserve">TGA </t>
    </r>
    <r>
      <rPr>
        <b val="true"/>
        <sz val="10"/>
        <color rgb="FFFFFFFF"/>
        <rFont val="WenQuanYi Zen Hei"/>
        <family val="2"/>
      </rPr>
      <t xml:space="preserve">무게 </t>
    </r>
    <r>
      <rPr>
        <b val="true"/>
        <sz val="10"/>
        <color rgb="FFFFFFFF"/>
        <rFont val="Arial"/>
        <family val="0"/>
        <charset val="1"/>
      </rPr>
      <t xml:space="preserve">w</t>
    </r>
  </si>
  <si>
    <t xml:space="preserve">μ_post</t>
  </si>
  <si>
    <t xml:space="preserve">σ_post</t>
  </si>
  <si>
    <t xml:space="preserve">t600 TGA (s)</t>
  </si>
  <si>
    <r>
      <rPr>
        <b val="true"/>
        <sz val="10"/>
        <color rgb="FFFFFFFF"/>
        <rFont val="Arial"/>
        <family val="0"/>
        <charset val="1"/>
      </rPr>
      <t xml:space="preserve">t600 </t>
    </r>
    <r>
      <rPr>
        <b val="true"/>
        <sz val="10"/>
        <color rgb="FFFFFFFF"/>
        <rFont val="WenQuanYi Zen Hei"/>
        <family val="2"/>
      </rPr>
      <t xml:space="preserve">시험 </t>
    </r>
    <r>
      <rPr>
        <b val="true"/>
        <sz val="10"/>
        <color rgb="FFFFFFFF"/>
        <rFont val="Arial"/>
        <family val="0"/>
        <charset val="1"/>
      </rPr>
      <t xml:space="preserve">(s)</t>
    </r>
  </si>
  <si>
    <r>
      <rPr>
        <b val="true"/>
        <sz val="10"/>
        <color rgb="FFFFFFFF"/>
        <rFont val="Arial"/>
        <family val="0"/>
        <charset val="1"/>
      </rPr>
      <t xml:space="preserve">t600 </t>
    </r>
    <r>
      <rPr>
        <b val="true"/>
        <sz val="10"/>
        <color rgb="FFFFFFFF"/>
        <rFont val="WenQuanYi Zen Hei"/>
        <family val="2"/>
      </rPr>
      <t xml:space="preserve">통합 </t>
    </r>
    <r>
      <rPr>
        <b val="true"/>
        <sz val="10"/>
        <color rgb="FFFFFFFF"/>
        <rFont val="Arial"/>
        <family val="0"/>
        <charset val="1"/>
      </rPr>
      <t xml:space="preserve">(s)</t>
    </r>
  </si>
  <si>
    <r>
      <rPr>
        <b val="true"/>
        <sz val="10"/>
        <color rgb="FFFFFFFF"/>
        <rFont val="Arial"/>
        <family val="0"/>
        <charset val="1"/>
      </rPr>
      <t xml:space="preserve">90 % </t>
    </r>
    <r>
      <rPr>
        <b val="true"/>
        <sz val="10"/>
        <color rgb="FFFFFFFF"/>
        <rFont val="WenQuanYi Zen Hei"/>
        <family val="2"/>
      </rPr>
      <t xml:space="preserve">하한</t>
    </r>
  </si>
  <si>
    <r>
      <rPr>
        <b val="true"/>
        <sz val="10"/>
        <color rgb="FFFFFFFF"/>
        <rFont val="Arial"/>
        <family val="0"/>
        <charset val="1"/>
      </rPr>
      <t xml:space="preserve">90 % </t>
    </r>
    <r>
      <rPr>
        <b val="true"/>
        <sz val="10"/>
        <color rgb="FFFFFFFF"/>
        <rFont val="WenQuanYi Zen Hei"/>
        <family val="2"/>
      </rPr>
      <t xml:space="preserve">상한</t>
    </r>
  </si>
  <si>
    <t xml:space="preserve">z = (ȳ − μ₀)/√(τ² + σ²/n)</t>
  </si>
  <si>
    <t xml:space="preserve">정합</t>
  </si>
  <si>
    <r>
      <rPr>
        <b val="true"/>
        <sz val="11"/>
        <rFont val="Arial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게이트 확인 — </t>
    </r>
    <r>
      <rPr>
        <b val="true"/>
        <sz val="11"/>
        <rFont val="Arial"/>
        <family val="0"/>
        <charset val="1"/>
      </rPr>
      <t xml:space="preserve">TGA </t>
    </r>
    <r>
      <rPr>
        <b val="true"/>
        <sz val="11"/>
        <rFont val="WenQuanYi Zen Hei"/>
        <family val="2"/>
      </rPr>
      <t xml:space="preserve">전이함수를 게이트 없이 쓰면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가연성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WenQuanYi Zen Hei"/>
        <family val="2"/>
      </rPr>
      <t xml:space="preserve">용융형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</si>
  <si>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시험 기하평균 </t>
    </r>
    <r>
      <rPr>
        <b val="true"/>
        <sz val="10"/>
        <color rgb="FFFFFFFF"/>
        <rFont val="Arial"/>
        <family val="0"/>
        <charset val="1"/>
      </rPr>
      <t xml:space="preserve">(s, </t>
    </r>
    <r>
      <rPr>
        <b val="true"/>
        <sz val="10"/>
        <color rgb="FFFFFFFF"/>
        <rFont val="WenQuanYi Zen Hei"/>
        <family val="2"/>
      </rPr>
      <t xml:space="preserve">도달 시험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</si>
  <si>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도달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시험 수</t>
    </r>
  </si>
  <si>
    <t xml:space="preserve">z</t>
  </si>
  <si>
    <t xml:space="preserve">판정</t>
  </si>
  <si>
    <t xml:space="preserve">해석</t>
  </si>
  <si>
    <r>
      <rPr>
        <sz val="10"/>
        <rFont val="WenQuanYi Zen Hei"/>
        <family val="2"/>
      </rPr>
      <t xml:space="preserve">가연성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기상 난연 차이를 </t>
    </r>
    <r>
      <rPr>
        <sz val="10"/>
        <rFont val="Arial"/>
        <family val="0"/>
        <charset val="1"/>
      </rPr>
      <t xml:space="preserve">TGA</t>
    </r>
    <r>
      <rPr>
        <sz val="10"/>
        <rFont val="WenQuanYi Zen Hei"/>
        <family val="2"/>
      </rPr>
      <t xml:space="preserve">가 못 봄 → 위험을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배 낮게 추정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게이트 필요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</si>
  <si>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용융형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녹아 물러난 뒤 순간 연소 → 확산식이 위험을 높게 추정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미도달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 포함 시 더 큼</t>
    </r>
    <r>
      <rPr>
        <sz val="10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</si>
  <si>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지속 </t>
    </r>
    <r>
      <rPr>
        <b val="true"/>
        <sz val="11"/>
        <rFont val="Arial"/>
        <family val="0"/>
        <charset val="1"/>
      </rPr>
      <t xml:space="preserve">(p_B) — </t>
    </r>
    <r>
      <rPr>
        <b val="true"/>
        <sz val="11"/>
        <rFont val="WenQuanYi Zen Hei"/>
        <family val="2"/>
      </rPr>
      <t xml:space="preserve">베타–이항 결합</t>
    </r>
  </si>
  <si>
    <t xml:space="preserve">a₀</t>
  </si>
  <si>
    <t xml:space="preserve">b₀</t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</si>
  <si>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WenQuanYi Zen Hei"/>
        <family val="2"/>
      </rPr>
      <t xml:space="preserve">횟수 </t>
    </r>
    <r>
      <rPr>
        <b val="true"/>
        <sz val="10"/>
        <color rgb="FFFFFFFF"/>
        <rFont val="Arial"/>
        <family val="0"/>
        <charset val="1"/>
      </rPr>
      <t xml:space="preserve">k</t>
    </r>
  </si>
  <si>
    <t xml:space="preserve">a = a₀ + k</t>
  </si>
  <si>
    <t xml:space="preserve">b = b₀ + n − k</t>
  </si>
  <si>
    <r>
      <rPr>
        <b val="true"/>
        <sz val="10"/>
        <color rgb="FFFFFFFF"/>
        <rFont val="Arial"/>
        <family val="0"/>
        <charset val="1"/>
      </rPr>
      <t xml:space="preserve">p_B </t>
    </r>
    <r>
      <rPr>
        <b val="true"/>
        <sz val="10"/>
        <color rgb="FFFFFFFF"/>
        <rFont val="WenQuanYi Zen Hei"/>
        <family val="2"/>
      </rPr>
      <t xml:space="preserve">통합</t>
    </r>
  </si>
  <si>
    <r>
      <rPr>
        <b val="true"/>
        <sz val="10"/>
        <color rgb="FFFFFFFF"/>
        <rFont val="Arial"/>
        <family val="0"/>
        <charset val="1"/>
      </rPr>
      <t xml:space="preserve">p_B </t>
    </r>
    <r>
      <rPr>
        <b val="true"/>
        <sz val="10"/>
        <color rgb="FFFFFFFF"/>
        <rFont val="WenQuanYi Zen Hei"/>
        <family val="2"/>
      </rPr>
      <t xml:space="preserve">시험만 </t>
    </r>
    <r>
      <rPr>
        <b val="true"/>
        <sz val="10"/>
        <color rgb="FFFFFFFF"/>
        <rFont val="Arial"/>
        <family val="0"/>
        <charset val="1"/>
      </rPr>
      <t xml:space="preserve">(Jeffreys)</t>
    </r>
  </si>
  <si>
    <r>
      <rPr>
        <b val="true"/>
        <sz val="10"/>
        <color rgb="FFFFFFFF"/>
        <rFont val="Arial"/>
        <family val="0"/>
        <charset val="1"/>
      </rPr>
      <t xml:space="preserve">p_B TGA</t>
    </r>
    <r>
      <rPr>
        <b val="true"/>
        <sz val="10"/>
        <color rgb="FFFFFFFF"/>
        <rFont val="WenQuanYi Zen Hei"/>
        <family val="2"/>
      </rPr>
      <t xml:space="preserve">만</t>
    </r>
  </si>
  <si>
    <r>
      <rPr>
        <b val="true"/>
        <sz val="10"/>
        <color rgb="FFFFFFFF"/>
        <rFont val="WenQuanYi Zen Hei"/>
        <family val="2"/>
      </rPr>
      <t xml:space="preserve">예측확률 </t>
    </r>
    <r>
      <rPr>
        <b val="true"/>
        <sz val="10"/>
        <color rgb="FFFFFFFF"/>
        <rFont val="Arial"/>
        <family val="0"/>
        <charset val="1"/>
      </rPr>
      <t xml:space="preserve">P(k | </t>
    </r>
    <r>
      <rPr>
        <b val="true"/>
        <sz val="10"/>
        <color rgb="FFFFFFFF"/>
        <rFont val="WenQuanYi Zen Hei"/>
        <family val="2"/>
      </rPr>
      <t xml:space="preserve">사전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</si>
  <si>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9"/>
        <color rgb="FF4B5563"/>
        <rFont val="WenQuanYi Zen Hei"/>
        <family val="2"/>
      </rPr>
      <t xml:space="preserve">가연성 </t>
    </r>
    <r>
      <rPr>
        <sz val="9"/>
        <color rgb="FF4B5563"/>
        <rFont val="Arial"/>
        <family val="0"/>
        <charset val="1"/>
      </rPr>
      <t xml:space="preserve">PIR(PUR)</t>
    </r>
    <r>
      <rPr>
        <sz val="9"/>
        <color rgb="FF4B5563"/>
        <rFont val="WenQuanYi Zen Hei"/>
        <family val="2"/>
      </rPr>
      <t xml:space="preserve">은 버너 소화 전에 연료가 소진되어 </t>
    </r>
    <r>
      <rPr>
        <sz val="9"/>
        <color rgb="FF4B5563"/>
        <rFont val="Arial"/>
        <family val="0"/>
        <charset val="1"/>
      </rPr>
      <t xml:space="preserve">B </t>
    </r>
    <r>
      <rPr>
        <sz val="9"/>
        <color rgb="FF4B5563"/>
        <rFont val="WenQuanYi Zen Hei"/>
        <family val="2"/>
      </rPr>
      <t xml:space="preserve">판정 대상이 아닙니다</t>
    </r>
    <r>
      <rPr>
        <sz val="9"/>
        <color rgb="FF4B5563"/>
        <rFont val="Arial"/>
        <family val="0"/>
        <charset val="1"/>
      </rPr>
      <t xml:space="preserve">(p_B</t>
    </r>
    <r>
      <rPr>
        <sz val="9"/>
        <color rgb="FF4B5563"/>
        <rFont val="WenQuanYi Zen Hei"/>
        <family val="2"/>
      </rPr>
      <t xml:space="preserve">는 위험도에 영향 없음</t>
    </r>
    <r>
      <rPr>
        <sz val="9"/>
        <color rgb="FF4B5563"/>
        <rFont val="Arial"/>
        <family val="0"/>
        <charset val="1"/>
      </rPr>
      <t xml:space="preserve">).</t>
    </r>
  </si>
  <si>
    <r>
      <rPr>
        <b val="true"/>
        <sz val="14"/>
        <rFont val="Arial"/>
        <family val="0"/>
        <charset val="1"/>
      </rPr>
      <t xml:space="preserve">⑧ L3 </t>
    </r>
    <r>
      <rPr>
        <b val="true"/>
        <sz val="14"/>
        <rFont val="WenQuanYi Zen Hei"/>
        <family val="2"/>
      </rPr>
      <t xml:space="preserve">시뮬레이션 </t>
    </r>
    <r>
      <rPr>
        <b val="true"/>
        <sz val="14"/>
        <rFont val="Arial"/>
        <family val="0"/>
        <charset val="1"/>
      </rPr>
      <t xml:space="preserve">(FDS/PyroSim) — </t>
    </r>
    <r>
      <rPr>
        <b val="true"/>
        <sz val="14"/>
        <rFont val="WenQuanYi Zen Hei"/>
        <family val="2"/>
      </rPr>
      <t xml:space="preserve">중규모 재현 검증과 건물 외벽 시나리오 → </t>
    </r>
    <r>
      <rPr>
        <b val="true"/>
        <sz val="14"/>
        <rFont val="Arial"/>
        <family val="0"/>
        <charset val="1"/>
      </rPr>
      <t xml:space="preserve">s </t>
    </r>
    <r>
      <rPr>
        <b val="true"/>
        <sz val="14"/>
        <rFont val="WenQuanYi Zen Hei"/>
        <family val="2"/>
      </rPr>
      <t xml:space="preserve">추정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입력 양식</t>
    </r>
    <r>
      <rPr>
        <b val="true"/>
        <sz val="14"/>
        <rFont val="Arial"/>
        <family val="0"/>
        <charset val="1"/>
      </rPr>
      <t xml:space="preserve">)</t>
    </r>
  </si>
  <si>
    <r>
      <rPr>
        <sz val="9"/>
        <color rgb="FF4B5563"/>
        <rFont val="Arial"/>
        <family val="0"/>
        <charset val="1"/>
      </rPr>
      <t xml:space="preserve">1</t>
    </r>
    <r>
      <rPr>
        <sz val="9"/>
        <color rgb="FF4B5563"/>
        <rFont val="WenQuanYi Zen Hei"/>
        <family val="2"/>
      </rPr>
      <t xml:space="preserve">단계</t>
    </r>
    <r>
      <rPr>
        <sz val="9"/>
        <color rgb="FF4B5563"/>
        <rFont val="Arial"/>
        <family val="0"/>
        <charset val="1"/>
      </rPr>
      <t xml:space="preserve">: </t>
    </r>
    <r>
      <rPr>
        <sz val="9"/>
        <color rgb="FF4B5563"/>
        <rFont val="WenQuanYi Zen Hei"/>
        <family val="2"/>
      </rPr>
      <t xml:space="preserve">중규모 시험 재현으로 모델을 검증합니다</t>
    </r>
    <r>
      <rPr>
        <sz val="9"/>
        <color rgb="FF4B5563"/>
        <rFont val="Arial"/>
        <family val="0"/>
        <charset val="1"/>
      </rPr>
      <t xml:space="preserve">. 2</t>
    </r>
    <r>
      <rPr>
        <sz val="9"/>
        <color rgb="FF4B5563"/>
        <rFont val="WenQuanYi Zen Hei"/>
        <family val="2"/>
      </rPr>
      <t xml:space="preserve">단계</t>
    </r>
    <r>
      <rPr>
        <sz val="9"/>
        <color rgb="FF4B5563"/>
        <rFont val="Arial"/>
        <family val="0"/>
        <charset val="1"/>
      </rPr>
      <t xml:space="preserve">: </t>
    </r>
    <r>
      <rPr>
        <sz val="9"/>
        <color rgb="FF4B5563"/>
        <rFont val="WenQuanYi Zen Hei"/>
        <family val="2"/>
      </rPr>
      <t xml:space="preserve">검증된 모델로 건물 외벽</t>
    </r>
    <r>
      <rPr>
        <sz val="9"/>
        <color rgb="FF4B5563"/>
        <rFont val="Arial"/>
        <family val="0"/>
        <charset val="1"/>
      </rPr>
      <t xml:space="preserve">(3–6</t>
    </r>
    <r>
      <rPr>
        <sz val="9"/>
        <color rgb="FF4B5563"/>
        <rFont val="WenQuanYi Zen Hei"/>
        <family val="2"/>
      </rPr>
      <t xml:space="preserve">개 층</t>
    </r>
    <r>
      <rPr>
        <sz val="9"/>
        <color rgb="FF4B5563"/>
        <rFont val="Arial"/>
        <family val="0"/>
        <charset val="1"/>
      </rPr>
      <t xml:space="preserve">)</t>
    </r>
    <r>
      <rPr>
        <sz val="9"/>
        <color rgb="FF4B5563"/>
        <rFont val="WenQuanYi Zen Hei"/>
        <family val="2"/>
      </rPr>
      <t xml:space="preserve">을 계산해 층별 도달시각에서 </t>
    </r>
    <r>
      <rPr>
        <sz val="9"/>
        <color rgb="FF4B5563"/>
        <rFont val="Arial"/>
        <family val="0"/>
        <charset val="1"/>
      </rPr>
      <t xml:space="preserve">s</t>
    </r>
    <r>
      <rPr>
        <sz val="9"/>
        <color rgb="FF4B5563"/>
        <rFont val="WenQuanYi Zen Hei"/>
        <family val="2"/>
      </rPr>
      <t xml:space="preserve">를 구합니다</t>
    </r>
    <r>
      <rPr>
        <sz val="9"/>
        <color rgb="FF4B5563"/>
        <rFont val="Arial"/>
        <family val="0"/>
        <charset val="1"/>
      </rPr>
      <t xml:space="preserve">. </t>
    </r>
    <r>
      <rPr>
        <sz val="9"/>
        <color rgb="FF4B5563"/>
        <rFont val="WenQuanYi Zen Hei"/>
        <family val="2"/>
      </rPr>
      <t xml:space="preserve">회색 기울임 </t>
    </r>
    <r>
      <rPr>
        <sz val="9"/>
        <color rgb="FF4B5563"/>
        <rFont val="Arial"/>
        <family val="0"/>
        <charset val="1"/>
      </rPr>
      <t xml:space="preserve">= </t>
    </r>
    <r>
      <rPr>
        <sz val="9"/>
        <color rgb="FF4B5563"/>
        <rFont val="WenQuanYi Zen Hei"/>
        <family val="2"/>
      </rPr>
      <t xml:space="preserve">예시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가상값</t>
    </r>
    <r>
      <rPr>
        <sz val="9"/>
        <color rgb="FF4B5563"/>
        <rFont val="Arial"/>
        <family val="0"/>
        <charset val="1"/>
      </rPr>
      <t xml:space="preserve">).</t>
    </r>
  </si>
  <si>
    <r>
      <rPr>
        <b val="true"/>
        <sz val="11"/>
        <rFont val="WenQuanYi Zen Hei"/>
        <family val="2"/>
      </rPr>
      <t xml:space="preserve">검증 허용 기준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예시값 — 사전협의로 확정</t>
    </r>
    <r>
      <rPr>
        <b val="true"/>
        <sz val="11"/>
        <rFont val="Arial"/>
        <family val="0"/>
        <charset val="1"/>
      </rPr>
      <t xml:space="preserve">)</t>
    </r>
  </si>
  <si>
    <t xml:space="preserve">tol_t600</t>
  </si>
  <si>
    <r>
      <rPr>
        <sz val="10"/>
        <rFont val="Arial"/>
        <family val="0"/>
        <charset val="1"/>
      </rPr>
      <t xml:space="preserve">t600 </t>
    </r>
    <r>
      <rPr>
        <sz val="10"/>
        <rFont val="WenQuanYi Zen Hei"/>
        <family val="2"/>
      </rPr>
      <t xml:space="preserve">상대오차 허용</t>
    </r>
  </si>
  <si>
    <t xml:space="preserve">tol_peak</t>
  </si>
  <si>
    <r>
      <rPr>
        <sz val="10"/>
        <rFont val="Arial"/>
        <family val="0"/>
        <charset val="1"/>
      </rPr>
      <t xml:space="preserve">3000 mm </t>
    </r>
    <r>
      <rPr>
        <sz val="10"/>
        <rFont val="WenQuanYi Zen Hei"/>
        <family val="2"/>
      </rPr>
      <t xml:space="preserve">최고온도 오차 허용 </t>
    </r>
    <r>
      <rPr>
        <sz val="10"/>
        <rFont val="Arial"/>
        <family val="0"/>
        <charset val="1"/>
      </rPr>
      <t xml:space="preserve">(K)</t>
    </r>
  </si>
  <si>
    <t xml:space="preserve">h_storey</t>
  </si>
  <si>
    <r>
      <rPr>
        <sz val="10"/>
        <rFont val="WenQuanYi Zen Hei"/>
        <family val="2"/>
      </rPr>
      <t xml:space="preserve">층고 </t>
    </r>
    <r>
      <rPr>
        <sz val="10"/>
        <rFont val="Arial"/>
        <family val="0"/>
        <charset val="1"/>
      </rPr>
      <t xml:space="preserve">(m)</t>
    </r>
  </si>
  <si>
    <r>
      <rPr>
        <b val="true"/>
        <sz val="11"/>
        <rFont val="Arial"/>
        <family val="0"/>
        <charset val="1"/>
      </rPr>
      <t xml:space="preserve">A. 1</t>
    </r>
    <r>
      <rPr>
        <b val="true"/>
        <sz val="11"/>
        <rFont val="WenQuanYi Zen Hei"/>
        <family val="2"/>
      </rPr>
      <t xml:space="preserve">단계 — 중규모 시험 재현</t>
    </r>
  </si>
  <si>
    <r>
      <rPr>
        <b val="true"/>
        <sz val="10"/>
        <color rgb="FFFFFFFF"/>
        <rFont val="WenQuanYi Zen Hei"/>
        <family val="2"/>
      </rPr>
      <t xml:space="preserve">시험 </t>
    </r>
    <r>
      <rPr>
        <b val="true"/>
        <sz val="10"/>
        <color rgb="FFFFFFFF"/>
        <rFont val="Arial"/>
        <family val="0"/>
        <charset val="1"/>
      </rPr>
      <t xml:space="preserve">t600 (s)</t>
    </r>
  </si>
  <si>
    <t xml:space="preserve">FDS t600 (s)</t>
  </si>
  <si>
    <t xml:space="preserve">상대오차</t>
  </si>
  <si>
    <r>
      <rPr>
        <b val="true"/>
        <sz val="10"/>
        <color rgb="FFFFFFFF"/>
        <rFont val="WenQuanYi Zen Hei"/>
        <family val="2"/>
      </rPr>
      <t xml:space="preserve">시험 최고온도 </t>
    </r>
    <r>
      <rPr>
        <b val="true"/>
        <sz val="10"/>
        <color rgb="FFFFFFFF"/>
        <rFont val="Arial"/>
        <family val="0"/>
        <charset val="1"/>
      </rPr>
      <t xml:space="preserve">3000 mm (°C)</t>
    </r>
  </si>
  <si>
    <r>
      <rPr>
        <b val="true"/>
        <sz val="10"/>
        <color rgb="FFFFFFFF"/>
        <rFont val="Arial"/>
        <family val="0"/>
        <charset val="1"/>
      </rPr>
      <t xml:space="preserve">FDS </t>
    </r>
    <r>
      <rPr>
        <b val="true"/>
        <sz val="10"/>
        <color rgb="FFFFFFFF"/>
        <rFont val="WenQuanYi Zen Hei"/>
        <family val="2"/>
      </rPr>
      <t xml:space="preserve">최고온도 </t>
    </r>
    <r>
      <rPr>
        <b val="true"/>
        <sz val="10"/>
        <color rgb="FFFFFFFF"/>
        <rFont val="Arial"/>
        <family val="0"/>
        <charset val="1"/>
      </rPr>
      <t xml:space="preserve">(°C)</t>
    </r>
  </si>
  <si>
    <r>
      <rPr>
        <b val="true"/>
        <sz val="10"/>
        <color rgb="FFFFFFFF"/>
        <rFont val="WenQuanYi Zen Hei"/>
        <family val="2"/>
      </rPr>
      <t xml:space="preserve">온도 오차 </t>
    </r>
    <r>
      <rPr>
        <b val="true"/>
        <sz val="10"/>
        <color rgb="FFFFFFFF"/>
        <rFont val="Arial"/>
        <family val="0"/>
        <charset val="1"/>
      </rPr>
      <t xml:space="preserve">(K)</t>
    </r>
  </si>
  <si>
    <r>
      <rPr>
        <b val="true"/>
        <sz val="11"/>
        <rFont val="Arial"/>
        <family val="0"/>
        <charset val="1"/>
      </rPr>
      <t xml:space="preserve">B. 2</t>
    </r>
    <r>
      <rPr>
        <b val="true"/>
        <sz val="11"/>
        <rFont val="WenQuanYi Zen Hei"/>
        <family val="2"/>
      </rPr>
      <t xml:space="preserve">단계 — 건물 외벽 시나리오</t>
    </r>
    <r>
      <rPr>
        <b val="true"/>
        <sz val="11"/>
        <rFont val="Arial"/>
        <family val="0"/>
        <charset val="1"/>
      </rPr>
      <t xml:space="preserve">: </t>
    </r>
    <r>
      <rPr>
        <b val="true"/>
        <sz val="11"/>
        <rFont val="WenQuanYi Zen Hei"/>
        <family val="2"/>
      </rPr>
      <t xml:space="preserve">발화층 위 </t>
    </r>
    <r>
      <rPr>
        <b val="true"/>
        <sz val="11"/>
        <rFont val="Arial"/>
        <family val="0"/>
        <charset val="1"/>
      </rPr>
      <t xml:space="preserve">j</t>
    </r>
    <r>
      <rPr>
        <b val="true"/>
        <sz val="11"/>
        <rFont val="WenQuanYi Zen Hei"/>
        <family val="2"/>
      </rPr>
      <t xml:space="preserve">층 도달시각 → 층별 </t>
    </r>
    <r>
      <rPr>
        <b val="true"/>
        <sz val="11"/>
        <rFont val="Arial"/>
        <family val="0"/>
        <charset val="1"/>
      </rPr>
      <t xml:space="preserve">s_j = ΔT_j / (t600 · h/3 m) → s </t>
    </r>
    <r>
      <rPr>
        <b val="true"/>
        <sz val="11"/>
        <rFont val="WenQuanYi Zen Hei"/>
        <family val="2"/>
      </rPr>
      <t xml:space="preserve">추정 → 판정 예측</t>
    </r>
    <r>
      <rPr>
        <b val="true"/>
        <sz val="11"/>
        <rFont val="Arial"/>
        <family val="0"/>
        <charset val="1"/>
      </rPr>
      <t xml:space="preserve">(M0)</t>
    </r>
  </si>
  <si>
    <t xml:space="preserve">시나리오</t>
  </si>
  <si>
    <t xml:space="preserve">T1 (s)</t>
  </si>
  <si>
    <t xml:space="preserve">T2 (s)</t>
  </si>
  <si>
    <t xml:space="preserve">T3 (s)</t>
  </si>
  <si>
    <t xml:space="preserve">T4 (s)</t>
  </si>
  <si>
    <t xml:space="preserve">T5 (s)</t>
  </si>
  <si>
    <t xml:space="preserve">T6 (s)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</si>
  <si>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</si>
  <si>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</si>
  <si>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</si>
  <si>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</si>
  <si>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</si>
  <si>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</si>
  <si>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r>
      <rPr>
        <b val="true"/>
        <sz val="10"/>
        <color rgb="FFFFFFFF"/>
        <rFont val="Arial"/>
        <family val="0"/>
        <charset val="1"/>
      </rPr>
      <t xml:space="preserve">s </t>
    </r>
    <r>
      <rPr>
        <b val="true"/>
        <sz val="10"/>
        <color rgb="FFFFFFFF"/>
        <rFont val="WenQuanYi Zen Hei"/>
        <family val="2"/>
      </rPr>
      <t xml:space="preserve">추정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중앙값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</si>
  <si>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충족 하한 </t>
    </r>
    <r>
      <rPr>
        <b val="true"/>
        <sz val="10"/>
        <color rgb="FFFFFFFF"/>
        <rFont val="Arial"/>
        <family val="0"/>
        <charset val="1"/>
      </rPr>
      <t xml:space="preserve">s_meet</t>
    </r>
  </si>
  <si>
    <r>
      <rPr>
        <b val="true"/>
        <sz val="10"/>
        <color rgb="FFFFFFFF"/>
        <rFont val="WenQuanYi Zen Hei"/>
        <family val="2"/>
      </rPr>
      <t xml:space="preserve">불충족 상한 </t>
    </r>
    <r>
      <rPr>
        <b val="true"/>
        <sz val="10"/>
        <color rgb="FFFFFFFF"/>
        <rFont val="Arial"/>
        <family val="0"/>
        <charset val="1"/>
      </rPr>
      <t xml:space="preserve">s_fail</t>
    </r>
  </si>
  <si>
    <r>
      <rPr>
        <b val="true"/>
        <sz val="10"/>
        <color rgb="FFFFFFFF"/>
        <rFont val="WenQuanYi Zen Hei"/>
        <family val="2"/>
      </rPr>
      <t xml:space="preserve">판정 예측 </t>
    </r>
    <r>
      <rPr>
        <b val="true"/>
        <sz val="10"/>
        <color rgb="FFFFFFFF"/>
        <rFont val="Arial"/>
        <family val="0"/>
        <charset val="1"/>
      </rPr>
      <t xml:space="preserve">(M0)</t>
    </r>
  </si>
  <si>
    <r>
      <rPr>
        <sz val="10"/>
        <rFont val="Arial"/>
        <family val="0"/>
        <charset val="1"/>
      </rPr>
      <t xml:space="preserve">IE1 </t>
    </r>
    <r>
      <rPr>
        <sz val="10"/>
        <rFont val="WenQuanYi Zen Hei"/>
        <family val="2"/>
      </rPr>
      <t xml:space="preserve">창 분출</t>
    </r>
  </si>
  <si>
    <r>
      <rPr>
        <sz val="10"/>
        <rFont val="Arial"/>
        <family val="0"/>
        <charset val="1"/>
      </rPr>
      <t xml:space="preserve">IE2 </t>
    </r>
    <r>
      <rPr>
        <sz val="10"/>
        <rFont val="WenQuanYi Zen Hei"/>
        <family val="2"/>
      </rPr>
      <t xml:space="preserve">외부 화원</t>
    </r>
  </si>
  <si>
    <r>
      <rPr>
        <sz val="9"/>
        <color rgb="FF4B5563"/>
        <rFont val="Arial"/>
        <family val="0"/>
        <charset val="1"/>
      </rPr>
      <t xml:space="preserve">s_meet·s_fail: 9_L3_</t>
    </r>
    <r>
      <rPr>
        <sz val="9"/>
        <color rgb="FF4B5563"/>
        <rFont val="WenQuanYi Zen Hei"/>
        <family val="2"/>
      </rPr>
      <t xml:space="preserve">정보가치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통합 </t>
    </r>
    <r>
      <rPr>
        <sz val="9"/>
        <color rgb="FF4B5563"/>
        <rFont val="Arial"/>
        <family val="0"/>
        <charset val="1"/>
      </rPr>
      <t xml:space="preserve">L1+L2, </t>
    </r>
    <r>
      <rPr>
        <sz val="9"/>
        <color rgb="FF4B5563"/>
        <rFont val="WenQuanYi Zen Hei"/>
        <family val="2"/>
      </rPr>
      <t xml:space="preserve">스프링클러 설치</t>
    </r>
    <r>
      <rPr>
        <sz val="9"/>
        <color rgb="FF4B5563"/>
        <rFont val="Arial"/>
        <family val="0"/>
        <charset val="1"/>
      </rPr>
      <t xml:space="preserve">, </t>
    </r>
    <r>
      <rPr>
        <sz val="9"/>
        <color rgb="FF4B5563"/>
        <rFont val="WenQuanYi Zen Hei"/>
        <family val="2"/>
      </rPr>
      <t xml:space="preserve">대책 없음</t>
    </r>
    <r>
      <rPr>
        <sz val="9"/>
        <color rgb="FF4B5563"/>
        <rFont val="Arial"/>
        <family val="0"/>
        <charset val="1"/>
      </rPr>
      <t xml:space="preserve">). </t>
    </r>
    <r>
      <rPr>
        <sz val="9"/>
        <color rgb="FF4B5563"/>
        <rFont val="WenQuanYi Zen Hei"/>
        <family val="2"/>
      </rPr>
      <t xml:space="preserve">빈칸 </t>
    </r>
    <r>
      <rPr>
        <sz val="9"/>
        <color rgb="FF4B5563"/>
        <rFont val="Arial"/>
        <family val="0"/>
        <charset val="1"/>
      </rPr>
      <t xml:space="preserve">= </t>
    </r>
    <r>
      <rPr>
        <sz val="9"/>
        <color rgb="FF4B5563"/>
        <rFont val="WenQuanYi Zen Hei"/>
        <family val="2"/>
      </rPr>
      <t xml:space="preserve">범위</t>
    </r>
    <r>
      <rPr>
        <sz val="9"/>
        <color rgb="FF4B5563"/>
        <rFont val="Arial"/>
        <family val="0"/>
        <charset val="1"/>
      </rPr>
      <t xml:space="preserve">(0.25–1) </t>
    </r>
    <r>
      <rPr>
        <sz val="9"/>
        <color rgb="FF4B5563"/>
        <rFont val="WenQuanYi Zen Hei"/>
        <family val="2"/>
      </rPr>
      <t xml:space="preserve">안에서 해당 경계 없음</t>
    </r>
    <r>
      <rPr>
        <sz val="9"/>
        <color rgb="FF4B5563"/>
        <rFont val="Arial"/>
        <family val="0"/>
        <charset val="1"/>
      </rPr>
      <t xml:space="preserve">. </t>
    </r>
    <r>
      <rPr>
        <sz val="9"/>
        <color rgb="FF4B5563"/>
        <rFont val="WenQuanYi Zen Hei"/>
        <family val="2"/>
      </rPr>
      <t xml:space="preserve">층별 </t>
    </r>
    <r>
      <rPr>
        <sz val="9"/>
        <color rgb="FF4B5563"/>
        <rFont val="Arial"/>
        <family val="0"/>
        <charset val="1"/>
      </rPr>
      <t xml:space="preserve">s_j</t>
    </r>
    <r>
      <rPr>
        <sz val="9"/>
        <color rgb="FF4B5563"/>
        <rFont val="WenQuanYi Zen Hei"/>
        <family val="2"/>
      </rPr>
      <t xml:space="preserve">가 크게 다르면 </t>
    </r>
    <r>
      <rPr>
        <sz val="9"/>
        <color rgb="FF4B5563"/>
        <rFont val="Arial"/>
        <family val="0"/>
        <charset val="1"/>
      </rPr>
      <t xml:space="preserve">'</t>
    </r>
    <r>
      <rPr>
        <sz val="9"/>
        <color rgb="FF4B5563"/>
        <rFont val="WenQuanYi Zen Hei"/>
        <family val="2"/>
      </rPr>
      <t xml:space="preserve">층마다 </t>
    </r>
    <r>
      <rPr>
        <sz val="9"/>
        <color rgb="FF4B5563"/>
        <rFont val="Arial"/>
        <family val="0"/>
        <charset val="1"/>
      </rPr>
      <t xml:space="preserve">t600' </t>
    </r>
    <r>
      <rPr>
        <sz val="9"/>
        <color rgb="FF4B5563"/>
        <rFont val="WenQuanYi Zen Hei"/>
        <family val="2"/>
      </rPr>
      <t xml:space="preserve">가정 대신 층별 시간을 위험도 모델에 직접 넣습니다</t>
    </r>
    <r>
      <rPr>
        <sz val="9"/>
        <color rgb="FF4B5563"/>
        <rFont val="Arial"/>
        <family val="0"/>
        <charset val="1"/>
      </rPr>
      <t xml:space="preserve">.</t>
    </r>
  </si>
  <si>
    <r>
      <rPr>
        <sz val="9"/>
        <color rgb="FF4B5563"/>
        <rFont val="WenQuanYi Zen Hei"/>
        <family val="2"/>
      </rPr>
      <t xml:space="preserve">추가 산출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입력란 별도 기록 권장</t>
    </r>
    <r>
      <rPr>
        <sz val="9"/>
        <color rgb="FF4B5563"/>
        <rFont val="Arial"/>
        <family val="0"/>
        <charset val="1"/>
      </rPr>
      <t xml:space="preserve">): </t>
    </r>
    <r>
      <rPr>
        <sz val="9"/>
        <color rgb="FF4B5563"/>
        <rFont val="WenQuanYi Zen Hei"/>
        <family val="2"/>
      </rPr>
      <t xml:space="preserve">위층 창 열류속</t>
    </r>
    <r>
      <rPr>
        <sz val="9"/>
        <color rgb="FF4B5563"/>
        <rFont val="Arial"/>
        <family val="0"/>
        <charset val="1"/>
      </rPr>
      <t xml:space="preserve">(kW/m²), </t>
    </r>
    <r>
      <rPr>
        <sz val="9"/>
        <color rgb="FF4B5563"/>
        <rFont val="WenQuanYi Zen Hei"/>
        <family val="2"/>
      </rPr>
      <t xml:space="preserve">창 파손 시각</t>
    </r>
    <r>
      <rPr>
        <sz val="9"/>
        <color rgb="FF4B5563"/>
        <rFont val="Arial"/>
        <family val="0"/>
        <charset val="1"/>
      </rPr>
      <t xml:space="preserve">, </t>
    </r>
    <r>
      <rPr>
        <sz val="9"/>
        <color rgb="FF4B5563"/>
        <rFont val="WenQuanYi Zen Hei"/>
        <family val="2"/>
      </rPr>
      <t xml:space="preserve">위층 세대 </t>
    </r>
    <r>
      <rPr>
        <sz val="9"/>
        <color rgb="FF4B5563"/>
        <rFont val="Arial"/>
        <family val="0"/>
        <charset val="1"/>
      </rPr>
      <t xml:space="preserve">FED(CO·HCN; 4_L1_FT-IR·</t>
    </r>
    <r>
      <rPr>
        <sz val="9"/>
        <color rgb="FF4B5563"/>
        <rFont val="WenQuanYi Zen Hei"/>
        <family val="2"/>
      </rPr>
      <t xml:space="preserve">콘 </t>
    </r>
    <r>
      <rPr>
        <sz val="9"/>
        <color rgb="FF4B5563"/>
        <rFont val="Arial"/>
        <family val="0"/>
        <charset val="1"/>
      </rPr>
      <t xml:space="preserve">CO </t>
    </r>
    <r>
      <rPr>
        <sz val="9"/>
        <color rgb="FF4B5563"/>
        <rFont val="WenQuanYi Zen Hei"/>
        <family val="2"/>
      </rPr>
      <t xml:space="preserve">수율로 수율 설정</t>
    </r>
    <r>
      <rPr>
        <sz val="9"/>
        <color rgb="FF4B5563"/>
        <rFont val="Arial"/>
        <family val="0"/>
        <charset val="1"/>
      </rPr>
      <t xml:space="preserve">).</t>
    </r>
  </si>
  <si>
    <r>
      <rPr>
        <b val="true"/>
        <sz val="14"/>
        <rFont val="WenQuanYi Zen Hei"/>
        <family val="2"/>
      </rPr>
      <t xml:space="preserve">⑨ 시뮬레이션</t>
    </r>
    <r>
      <rPr>
        <b val="true"/>
        <sz val="14"/>
        <rFont val="Arial"/>
        <family val="0"/>
        <charset val="1"/>
      </rPr>
      <t xml:space="preserve">(L3)</t>
    </r>
    <r>
      <rPr>
        <b val="true"/>
        <sz val="14"/>
        <rFont val="WenQuanYi Zen Hei"/>
        <family val="2"/>
      </rPr>
      <t xml:space="preserve">의 정보가치 — </t>
    </r>
    <r>
      <rPr>
        <b val="true"/>
        <sz val="14"/>
        <rFont val="Arial"/>
        <family val="0"/>
        <charset val="1"/>
      </rPr>
      <t xml:space="preserve">s</t>
    </r>
    <r>
      <rPr>
        <b val="true"/>
        <sz val="14"/>
        <rFont val="WenQuanYi Zen Hei"/>
        <family val="2"/>
      </rPr>
      <t xml:space="preserve">를 알면 판정이 어떻게 갈리는가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통합 </t>
    </r>
    <r>
      <rPr>
        <b val="true"/>
        <sz val="14"/>
        <rFont val="Arial"/>
        <family val="0"/>
        <charset val="1"/>
      </rPr>
      <t xml:space="preserve">L1+L2, </t>
    </r>
    <r>
      <rPr>
        <b val="true"/>
        <sz val="14"/>
        <rFont val="WenQuanYi Zen Hei"/>
        <family val="2"/>
      </rPr>
      <t xml:space="preserve">스프링클러 설치</t>
    </r>
    <r>
      <rPr>
        <b val="true"/>
        <sz val="14"/>
        <rFont val="Arial"/>
        <family val="0"/>
        <charset val="1"/>
      </rPr>
      <t xml:space="preserve">)</t>
    </r>
  </si>
  <si>
    <r>
      <rPr>
        <sz val="9"/>
        <color rgb="FF4B5563"/>
        <rFont val="Arial"/>
        <family val="0"/>
        <charset val="1"/>
      </rPr>
      <t xml:space="preserve">s</t>
    </r>
    <r>
      <rPr>
        <sz val="9"/>
        <color rgb="FF4B5563"/>
        <rFont val="WenQuanYi Zen Hei"/>
        <family val="2"/>
      </rPr>
      <t xml:space="preserve">를 고정하고 나머지 불확실성으로 몬테카를로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인식론적 </t>
    </r>
    <r>
      <rPr>
        <sz val="9"/>
        <color rgb="FF4B5563"/>
        <rFont val="Arial"/>
        <family val="0"/>
        <charset val="1"/>
      </rPr>
      <t xml:space="preserve">1000 × </t>
    </r>
    <r>
      <rPr>
        <sz val="9"/>
        <color rgb="FF4B5563"/>
        <rFont val="WenQuanYi Zen Hei"/>
        <family val="2"/>
      </rPr>
      <t xml:space="preserve">우연적 </t>
    </r>
    <r>
      <rPr>
        <sz val="9"/>
        <color rgb="FF4B5563"/>
        <rFont val="Arial"/>
        <family val="0"/>
        <charset val="1"/>
      </rPr>
      <t xml:space="preserve">200)</t>
    </r>
    <r>
      <rPr>
        <sz val="9"/>
        <color rgb="FF4B5563"/>
        <rFont val="WenQuanYi Zen Hei"/>
        <family val="2"/>
      </rPr>
      <t xml:space="preserve">를 돌린 기준 충족 비율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값</t>
    </r>
    <r>
      <rPr>
        <sz val="9"/>
        <color rgb="FF4B5563"/>
        <rFont val="Arial"/>
        <family val="0"/>
        <charset val="1"/>
      </rPr>
      <t xml:space="preserve">). P(…)</t>
    </r>
    <r>
      <rPr>
        <sz val="9"/>
        <color rgb="FF4B5563"/>
        <rFont val="WenQuanYi Zen Hei"/>
        <family val="2"/>
      </rPr>
      <t xml:space="preserve">는 현재 </t>
    </r>
    <r>
      <rPr>
        <sz val="9"/>
        <color rgb="FF4B5563"/>
        <rFont val="Arial"/>
        <family val="0"/>
        <charset val="1"/>
      </rPr>
      <t xml:space="preserve">s </t>
    </r>
    <r>
      <rPr>
        <sz val="9"/>
        <color rgb="FF4B5563"/>
        <rFont val="WenQuanYi Zen Hei"/>
        <family val="2"/>
      </rPr>
      <t xml:space="preserve">사전분포 </t>
    </r>
    <r>
      <rPr>
        <sz val="9"/>
        <color rgb="FF4B5563"/>
        <rFont val="Arial"/>
        <family val="0"/>
        <charset val="1"/>
      </rPr>
      <t xml:space="preserve">LogU(0.25, 1)</t>
    </r>
    <r>
      <rPr>
        <sz val="9"/>
        <color rgb="FF4B5563"/>
        <rFont val="WenQuanYi Zen Hei"/>
        <family val="2"/>
      </rPr>
      <t xml:space="preserve">에서의 확률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수식</t>
    </r>
    <r>
      <rPr>
        <sz val="9"/>
        <color rgb="FF4B5563"/>
        <rFont val="Arial"/>
        <family val="0"/>
        <charset val="1"/>
      </rPr>
      <t xml:space="preserve">).</t>
    </r>
  </si>
  <si>
    <r>
      <rPr>
        <b val="true"/>
        <sz val="11"/>
        <rFont val="Arial"/>
        <family val="0"/>
        <charset val="1"/>
      </rPr>
      <t xml:space="preserve">M0 </t>
    </r>
    <r>
      <rPr>
        <b val="true"/>
        <sz val="11"/>
        <rFont val="WenQuanYi Zen Hei"/>
        <family val="2"/>
      </rPr>
      <t xml:space="preserve">대책 없음 — 기준 충족 비율</t>
    </r>
  </si>
  <si>
    <t xml:space="preserve">s →</t>
  </si>
  <si>
    <t xml:space="preserve">0.25</t>
  </si>
  <si>
    <t xml:space="preserve">0.30</t>
  </si>
  <si>
    <t xml:space="preserve">0.35</t>
  </si>
  <si>
    <t xml:space="preserve">0.42</t>
  </si>
  <si>
    <t xml:space="preserve">0.50</t>
  </si>
  <si>
    <t xml:space="preserve">0.59</t>
  </si>
  <si>
    <t xml:space="preserve">0.71</t>
  </si>
  <si>
    <t xml:space="preserve">0.84</t>
  </si>
  <si>
    <t xml:space="preserve">1.00</t>
  </si>
  <si>
    <r>
      <rPr>
        <b val="true"/>
        <sz val="11"/>
        <rFont val="Arial"/>
        <family val="0"/>
        <charset val="1"/>
      </rPr>
      <t xml:space="preserve">M1 </t>
    </r>
    <r>
      <rPr>
        <b val="true"/>
        <sz val="11"/>
        <rFont val="WenQuanYi Zen Hei"/>
        <family val="2"/>
      </rPr>
      <t xml:space="preserve">차단재 </t>
    </r>
    <r>
      <rPr>
        <b val="true"/>
        <sz val="11"/>
        <rFont val="Arial"/>
        <family val="0"/>
        <charset val="1"/>
      </rPr>
      <t xml:space="preserve">+ </t>
    </r>
    <r>
      <rPr>
        <b val="true"/>
        <sz val="11"/>
        <rFont val="WenQuanYi Zen Hei"/>
        <family val="2"/>
      </rPr>
      <t xml:space="preserve">층간 배리어 — 기준 충족 비율</t>
    </r>
  </si>
  <si>
    <r>
      <rPr>
        <b val="true"/>
        <sz val="11"/>
        <rFont val="WenQuanYi Zen Hei"/>
        <family val="2"/>
      </rPr>
      <t xml:space="preserve">판정 경계와 </t>
    </r>
    <r>
      <rPr>
        <b val="true"/>
        <sz val="11"/>
        <rFont val="Arial"/>
        <family val="0"/>
        <charset val="1"/>
      </rPr>
      <t xml:space="preserve">L3 </t>
    </r>
    <r>
      <rPr>
        <b val="true"/>
        <sz val="11"/>
        <rFont val="WenQuanYi Zen Hei"/>
        <family val="2"/>
      </rPr>
      <t xml:space="preserve">이후 판정이 확정될 확률</t>
    </r>
  </si>
  <si>
    <t xml:space="preserve">대책</t>
  </si>
  <si>
    <r>
      <rPr>
        <b val="true"/>
        <sz val="10"/>
        <color rgb="FFFFFFFF"/>
        <rFont val="Arial"/>
        <family val="0"/>
        <charset val="1"/>
      </rPr>
      <t xml:space="preserve">s_meet (</t>
    </r>
    <r>
      <rPr>
        <b val="true"/>
        <sz val="10"/>
        <color rgb="FFFFFFFF"/>
        <rFont val="WenQuanYi Zen Hei"/>
        <family val="2"/>
      </rPr>
      <t xml:space="preserve">이상이면 충족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</si>
  <si>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s_fail (</t>
    </r>
    <r>
      <rPr>
        <b val="true"/>
        <sz val="10"/>
        <color rgb="FFFFFFFF"/>
        <rFont val="WenQuanYi Zen Hei"/>
        <family val="2"/>
      </rPr>
      <t xml:space="preserve">이하면 불충족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</si>
  <si>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P(</t>
    </r>
    <r>
      <rPr>
        <b val="true"/>
        <sz val="10"/>
        <color rgb="FFFFFFFF"/>
        <rFont val="WenQuanYi Zen Hei"/>
        <family val="2"/>
      </rPr>
      <t xml:space="preserve">충족 확정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</si>
  <si>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P(</t>
    </r>
    <r>
      <rPr>
        <b val="true"/>
        <sz val="10"/>
        <color rgb="FFFFFFFF"/>
        <rFont val="WenQuanYi Zen Hei"/>
        <family val="2"/>
      </rPr>
      <t xml:space="preserve">불충족 확정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</si>
  <si>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P(</t>
    </r>
    <r>
      <rPr>
        <b val="true"/>
        <sz val="10"/>
        <color rgb="FFFFFFFF"/>
        <rFont val="WenQuanYi Zen Hei"/>
        <family val="2"/>
      </rPr>
      <t xml:space="preserve">판정 확정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</si>
  <si>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M0</t>
  </si>
  <si>
    <r>
      <rPr>
        <sz val="10"/>
        <rFont val="Arial"/>
        <family val="0"/>
        <charset val="1"/>
      </rPr>
      <t xml:space="preserve">s ≥ 0.58</t>
    </r>
    <r>
      <rPr>
        <sz val="10"/>
        <rFont val="WenQuanYi Zen Hei"/>
        <family val="2"/>
      </rPr>
      <t xml:space="preserve">이면 충족</t>
    </r>
    <r>
      <rPr>
        <sz val="10"/>
        <rFont val="Arial"/>
        <family val="0"/>
        <charset val="1"/>
      </rPr>
      <t xml:space="preserve">, s ≤ 0.33</t>
    </r>
    <r>
      <rPr>
        <sz val="10"/>
        <rFont val="WenQuanYi Zen Hei"/>
        <family val="2"/>
      </rPr>
      <t xml:space="preserve">이면 불충족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그 사이는 유보</t>
    </r>
  </si>
  <si>
    <r>
      <rPr>
        <sz val="10"/>
        <rFont val="Arial"/>
        <family val="0"/>
        <charset val="1"/>
      </rPr>
      <t xml:space="preserve">s</t>
    </r>
    <r>
      <rPr>
        <sz val="10"/>
        <rFont val="WenQuanYi Zen Hei"/>
        <family val="2"/>
      </rPr>
      <t xml:space="preserve">와 무관하게 불충족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가연성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</si>
  <si>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 ≥ 0.69</t>
    </r>
    <r>
      <rPr>
        <sz val="10"/>
        <rFont val="WenQuanYi Zen Hei"/>
        <family val="2"/>
      </rPr>
      <t xml:space="preserve">이면 충족</t>
    </r>
    <r>
      <rPr>
        <sz val="10"/>
        <rFont val="Arial"/>
        <family val="0"/>
        <charset val="1"/>
      </rPr>
      <t xml:space="preserve">, s ≤ 0.38</t>
    </r>
    <r>
      <rPr>
        <sz val="10"/>
        <rFont val="WenQuanYi Zen Hei"/>
        <family val="2"/>
      </rPr>
      <t xml:space="preserve">이면 불충족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그 사이는 유보</t>
    </r>
  </si>
  <si>
    <r>
      <rPr>
        <sz val="10"/>
        <rFont val="Arial"/>
        <family val="0"/>
        <charset val="1"/>
      </rPr>
      <t xml:space="preserve">s ≥ 0.94</t>
    </r>
    <r>
      <rPr>
        <sz val="10"/>
        <rFont val="WenQuanYi Zen Hei"/>
        <family val="2"/>
      </rPr>
      <t xml:space="preserve">이면 충족</t>
    </r>
    <r>
      <rPr>
        <sz val="10"/>
        <rFont val="Arial"/>
        <family val="0"/>
        <charset val="1"/>
      </rPr>
      <t xml:space="preserve">, s ≤ 0.40</t>
    </r>
    <r>
      <rPr>
        <sz val="10"/>
        <rFont val="WenQuanYi Zen Hei"/>
        <family val="2"/>
      </rPr>
      <t xml:space="preserve">이면 불충족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그 사이는 유보</t>
    </r>
  </si>
  <si>
    <r>
      <rPr>
        <sz val="10"/>
        <rFont val="Arial"/>
        <family val="0"/>
        <charset val="1"/>
      </rPr>
      <t xml:space="preserve">s ≤ 1 </t>
    </r>
    <r>
      <rPr>
        <sz val="10"/>
        <rFont val="WenQuanYi Zen Hei"/>
        <family val="2"/>
      </rPr>
      <t xml:space="preserve">범위에서 충족 불가 </t>
    </r>
    <r>
      <rPr>
        <sz val="10"/>
        <rFont val="Arial"/>
        <family val="0"/>
        <charset val="1"/>
      </rPr>
      <t xml:space="preserve">· s ≤ 0.84</t>
    </r>
    <r>
      <rPr>
        <sz val="10"/>
        <rFont val="WenQuanYi Zen Hei"/>
        <family val="2"/>
      </rPr>
      <t xml:space="preserve">이면 불충족</t>
    </r>
  </si>
  <si>
    <t xml:space="preserve">M1</t>
  </si>
  <si>
    <r>
      <rPr>
        <sz val="10"/>
        <rFont val="Arial"/>
        <family val="0"/>
        <charset val="1"/>
      </rPr>
      <t xml:space="preserve">s</t>
    </r>
    <r>
      <rPr>
        <sz val="10"/>
        <rFont val="WenQuanYi Zen Hei"/>
        <family val="2"/>
      </rPr>
      <t xml:space="preserve">와 무관하게 충족 → 대책 적용 시 </t>
    </r>
    <r>
      <rPr>
        <sz val="10"/>
        <rFont val="Arial"/>
        <family val="0"/>
        <charset val="1"/>
      </rPr>
      <t xml:space="preserve">L3 </t>
    </r>
    <r>
      <rPr>
        <sz val="10"/>
        <rFont val="WenQuanYi Zen Hei"/>
        <family val="2"/>
      </rPr>
      <t xml:space="preserve">불필요</t>
    </r>
  </si>
  <si>
    <r>
      <rPr>
        <b val="true"/>
        <sz val="14"/>
        <rFont val="WenQuanYi Zen Hei"/>
        <family val="2"/>
      </rPr>
      <t xml:space="preserve">⑩ 증거 수준별 건물 위험도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몬테카를로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스프링클러 설치 </t>
    </r>
    <r>
      <rPr>
        <b val="true"/>
        <sz val="14"/>
        <rFont val="Arial"/>
        <family val="0"/>
        <charset val="1"/>
      </rPr>
      <t xml:space="preserve">15</t>
    </r>
    <r>
      <rPr>
        <b val="true"/>
        <sz val="14"/>
        <rFont val="WenQuanYi Zen Hei"/>
        <family val="2"/>
      </rPr>
      <t xml:space="preserve">층 공동주택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값</t>
    </r>
    <r>
      <rPr>
        <b val="true"/>
        <sz val="14"/>
        <rFont val="Arial"/>
        <family val="0"/>
        <charset val="1"/>
      </rPr>
      <t xml:space="preserve">)</t>
    </r>
  </si>
  <si>
    <r>
      <rPr>
        <sz val="9"/>
        <color rgb="FF4B5563"/>
        <rFont val="Arial"/>
        <family val="0"/>
        <charset val="1"/>
      </rPr>
      <t xml:space="preserve">multiscale.py: </t>
    </r>
    <r>
      <rPr>
        <sz val="9"/>
        <color rgb="FF4B5563"/>
        <rFont val="WenQuanYi Zen Hei"/>
        <family val="2"/>
      </rPr>
      <t xml:space="preserve">인식론적 </t>
    </r>
    <r>
      <rPr>
        <sz val="9"/>
        <color rgb="FF4B5563"/>
        <rFont val="Arial"/>
        <family val="0"/>
        <charset val="1"/>
      </rPr>
      <t xml:space="preserve">2000 × </t>
    </r>
    <r>
      <rPr>
        <sz val="9"/>
        <color rgb="FF4B5563"/>
        <rFont val="WenQuanYi Zen Hei"/>
        <family val="2"/>
      </rPr>
      <t xml:space="preserve">우연적 </t>
    </r>
    <r>
      <rPr>
        <sz val="9"/>
        <color rgb="FF4B5563"/>
        <rFont val="Arial"/>
        <family val="0"/>
        <charset val="1"/>
      </rPr>
      <t xml:space="preserve">400. L2(</t>
    </r>
    <r>
      <rPr>
        <sz val="9"/>
        <color rgb="FF4B5563"/>
        <rFont val="WenQuanYi Zen Hei"/>
        <family val="2"/>
      </rPr>
      <t xml:space="preserve">중규모만</t>
    </r>
    <r>
      <rPr>
        <sz val="9"/>
        <color rgb="FF4B5563"/>
        <rFont val="Arial"/>
        <family val="0"/>
        <charset val="1"/>
      </rPr>
      <t xml:space="preserve">)</t>
    </r>
    <r>
      <rPr>
        <sz val="9"/>
        <color rgb="FF4B5563"/>
        <rFont val="WenQuanYi Zen Hei"/>
        <family val="2"/>
      </rPr>
      <t xml:space="preserve">는 </t>
    </r>
    <r>
      <rPr>
        <sz val="9"/>
        <color rgb="FF4B5563"/>
        <rFont val="Arial"/>
        <family val="0"/>
        <charset val="1"/>
      </rPr>
      <t xml:space="preserve">facade_fra/qfra.py</t>
    </r>
    <r>
      <rPr>
        <sz val="9"/>
        <color rgb="FF4B5563"/>
        <rFont val="WenQuanYi Zen Hei"/>
        <family val="2"/>
      </rPr>
      <t xml:space="preserve">와 같은 난수로 결과가 일치합니다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상대차 </t>
    </r>
    <r>
      <rPr>
        <sz val="9"/>
        <color rgb="FF4B5563"/>
        <rFont val="Arial"/>
        <family val="0"/>
        <charset val="1"/>
      </rPr>
      <t xml:space="preserve">3.2e-13).</t>
    </r>
  </si>
  <si>
    <t xml:space="preserve">증거 수준</t>
  </si>
  <si>
    <r>
      <rPr>
        <b val="true"/>
        <sz val="10"/>
        <color rgb="FFFFFFFF"/>
        <rFont val="Arial"/>
        <family val="0"/>
        <charset val="1"/>
      </rPr>
      <t xml:space="preserve">R_S </t>
    </r>
    <r>
      <rPr>
        <b val="true"/>
        <sz val="10"/>
        <color rgb="FFFFFFFF"/>
        <rFont val="WenQuanYi Zen Hei"/>
        <family val="2"/>
      </rPr>
      <t xml:space="preserve">점추정</t>
    </r>
  </si>
  <si>
    <r>
      <rPr>
        <b val="true"/>
        <sz val="10"/>
        <color rgb="FFFFFFFF"/>
        <rFont val="Arial"/>
        <family val="0"/>
        <charset val="1"/>
      </rPr>
      <t xml:space="preserve">R_S </t>
    </r>
    <r>
      <rPr>
        <b val="true"/>
        <sz val="10"/>
        <color rgb="FFFFFFFF"/>
        <rFont val="WenQuanYi Zen Hei"/>
        <family val="2"/>
      </rPr>
      <t xml:space="preserve">평균</t>
    </r>
  </si>
  <si>
    <t xml:space="preserve">R_S 5 %</t>
  </si>
  <si>
    <t xml:space="preserve">R_S 95 %</t>
  </si>
  <si>
    <r>
      <rPr>
        <b val="true"/>
        <sz val="10"/>
        <color rgb="FFFFFFFF"/>
        <rFont val="Arial"/>
        <family val="0"/>
        <charset val="1"/>
      </rPr>
      <t xml:space="preserve">F(n≥2) </t>
    </r>
    <r>
      <rPr>
        <b val="true"/>
        <sz val="10"/>
        <color rgb="FFFFFFFF"/>
        <rFont val="WenQuanYi Zen Hei"/>
        <family val="2"/>
      </rPr>
      <t xml:space="preserve">평균</t>
    </r>
  </si>
  <si>
    <r>
      <rPr>
        <b val="true"/>
        <sz val="10"/>
        <color rgb="FFFFFFFF"/>
        <rFont val="WenQuanYi Zen Hei"/>
        <family val="2"/>
      </rPr>
      <t xml:space="preserve">재료 인자 </t>
    </r>
    <r>
      <rPr>
        <b val="true"/>
        <sz val="10"/>
        <color rgb="FFFFFFFF"/>
        <rFont val="Arial"/>
        <family val="0"/>
        <charset val="1"/>
      </rPr>
      <t xml:space="preserve">MF (</t>
    </r>
    <r>
      <rPr>
        <b val="true"/>
        <sz val="10"/>
        <color rgb="FFFFFFFF"/>
        <rFont val="WenQuanYi Zen Hei"/>
        <family val="2"/>
      </rPr>
      <t xml:space="preserve">중앙값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</si>
  <si>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MF 5 %</t>
  </si>
  <si>
    <t xml:space="preserve">MF 95 %</t>
  </si>
  <si>
    <t xml:space="preserve">기준 충족 비율</t>
  </si>
  <si>
    <r>
      <rPr>
        <b val="true"/>
        <sz val="10"/>
        <color rgb="FFFFFFFF"/>
        <rFont val="WenQuanYi Zen Hei"/>
        <family val="2"/>
      </rPr>
      <t xml:space="preserve">판정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신뢰 </t>
    </r>
    <r>
      <rPr>
        <b val="true"/>
        <sz val="10"/>
        <color rgb="FFFFFFFF"/>
        <rFont val="Arial"/>
        <family val="0"/>
        <charset val="1"/>
      </rPr>
      <t xml:space="preserve">90 %)</t>
    </r>
  </si>
  <si>
    <r>
      <rPr>
        <sz val="10"/>
        <rFont val="WenQuanYi Zen Hei"/>
        <family val="2"/>
      </rPr>
      <t xml:space="preserve">등급만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인증서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</si>
  <si>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불연 단열재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기준안</t>
    </r>
    <r>
      <rPr>
        <sz val="10"/>
        <rFont val="Arial"/>
        <family val="0"/>
        <charset val="1"/>
      </rPr>
      <t xml:space="preserve">)</t>
    </r>
  </si>
  <si>
    <t xml:space="preserve">충족</t>
  </si>
  <si>
    <t xml:space="preserve">판단 유보</t>
  </si>
  <si>
    <t xml:space="preserve">불충족</t>
  </si>
  <si>
    <r>
      <rPr>
        <sz val="10"/>
        <rFont val="WenQuanYi Zen Hei"/>
        <family val="2"/>
      </rPr>
      <t xml:space="preserve">소형시료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등급</t>
    </r>
    <r>
      <rPr>
        <sz val="10"/>
        <rFont val="Arial"/>
        <family val="0"/>
        <charset val="1"/>
      </rPr>
      <t xml:space="preserve">+TGA)</t>
    </r>
  </si>
  <si>
    <r>
      <rPr>
        <sz val="10"/>
        <rFont val="Arial"/>
        <family val="0"/>
        <charset val="1"/>
      </rPr>
      <t xml:space="preserve">TGA </t>
    </r>
    <r>
      <rPr>
        <sz val="10"/>
        <rFont val="WenQuanYi Zen Hei"/>
        <family val="2"/>
      </rPr>
      <t xml:space="preserve">단독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게이트 없음</t>
    </r>
    <r>
      <rPr>
        <sz val="10"/>
        <rFont val="Arial"/>
        <family val="0"/>
        <charset val="1"/>
      </rPr>
      <t xml:space="preserve">)</t>
    </r>
  </si>
  <si>
    <t xml:space="preserve">중규모 시험</t>
  </si>
  <si>
    <r>
      <rPr>
        <sz val="10"/>
        <rFont val="WenQuanYi Zen Hei"/>
        <family val="2"/>
      </rPr>
      <t xml:space="preserve">통합</t>
    </r>
    <r>
      <rPr>
        <sz val="10"/>
        <rFont val="Arial"/>
        <family val="0"/>
        <charset val="1"/>
      </rPr>
      <t xml:space="preserve">(TGA+</t>
    </r>
    <r>
      <rPr>
        <sz val="10"/>
        <rFont val="WenQuanYi Zen Hei"/>
        <family val="2"/>
      </rPr>
      <t xml:space="preserve">중규모</t>
    </r>
    <r>
      <rPr>
        <sz val="10"/>
        <rFont val="Arial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</si>
  <si>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재료 인자 분해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통합 </t>
    </r>
    <r>
      <rPr>
        <b val="true"/>
        <sz val="11"/>
        <rFont val="Arial"/>
        <family val="0"/>
        <charset val="1"/>
      </rPr>
      <t xml:space="preserve">L1+L2, </t>
    </r>
    <r>
      <rPr>
        <b val="true"/>
        <sz val="11"/>
        <rFont val="WenQuanYi Zen Hei"/>
        <family val="2"/>
      </rPr>
      <t xml:space="preserve">몬테카를로 평균</t>
    </r>
    <r>
      <rPr>
        <b val="true"/>
        <sz val="11"/>
        <rFont val="Arial"/>
        <family val="0"/>
        <charset val="1"/>
      </rPr>
      <t xml:space="preserve">): MF = R_S / R_S(</t>
    </r>
    <r>
      <rPr>
        <b val="true"/>
        <sz val="11"/>
        <rFont val="WenQuanYi Zen Hei"/>
        <family val="2"/>
      </rPr>
      <t xml:space="preserve">불연 기준안</t>
    </r>
    <r>
      <rPr>
        <b val="true"/>
        <sz val="11"/>
        <rFont val="Arial"/>
        <family val="0"/>
        <charset val="1"/>
      </rPr>
      <t xml:space="preserve">), </t>
    </r>
    <r>
      <rPr>
        <b val="true"/>
        <sz val="11"/>
        <rFont val="WenQuanYi Zen Hei"/>
        <family val="2"/>
      </rPr>
      <t xml:space="preserve">증가분 </t>
    </r>
    <r>
      <rPr>
        <b val="true"/>
        <sz val="11"/>
        <rFont val="Arial"/>
        <family val="0"/>
        <charset val="1"/>
      </rPr>
      <t xml:space="preserve">= </t>
    </r>
    <r>
      <rPr>
        <b val="true"/>
        <sz val="11"/>
        <rFont val="WenQuanYi Zen Hei"/>
        <family val="2"/>
      </rPr>
      <t xml:space="preserve">확산 몫 </t>
    </r>
    <r>
      <rPr>
        <b val="true"/>
        <sz val="11"/>
        <rFont val="Arial"/>
        <family val="0"/>
        <charset val="1"/>
      </rPr>
      <t xml:space="preserve">+ </t>
    </r>
    <r>
      <rPr>
        <b val="true"/>
        <sz val="11"/>
        <rFont val="WenQuanYi Zen Hei"/>
        <family val="2"/>
      </rPr>
      <t xml:space="preserve">자립 연소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지속</t>
    </r>
    <r>
      <rPr>
        <b val="true"/>
        <sz val="11"/>
        <rFont val="Arial"/>
        <family val="0"/>
        <charset val="1"/>
      </rPr>
      <t xml:space="preserve">) </t>
    </r>
    <r>
      <rPr>
        <b val="true"/>
        <sz val="11"/>
        <rFont val="WenQuanYi Zen Hei"/>
        <family val="2"/>
      </rPr>
      <t xml:space="preserve">몫</t>
    </r>
  </si>
  <si>
    <t xml:space="preserve">R_S (p_B = 0)</t>
  </si>
  <si>
    <t xml:space="preserve">MF</t>
  </si>
  <si>
    <t xml:space="preserve">확산 몫</t>
  </si>
  <si>
    <t xml:space="preserve">지속 몫</t>
  </si>
  <si>
    <r>
      <rPr>
        <b val="true"/>
        <sz val="11"/>
        <rFont val="WenQuanYi Zen Hei"/>
        <family val="2"/>
      </rPr>
      <t xml:space="preserve">재료 평균 </t>
    </r>
    <r>
      <rPr>
        <b val="true"/>
        <sz val="11"/>
        <rFont val="Arial"/>
        <family val="0"/>
        <charset val="1"/>
      </rPr>
      <t xml:space="preserve">t600</t>
    </r>
    <r>
      <rPr>
        <b val="true"/>
        <sz val="11"/>
        <rFont val="WenQuanYi Zen Hei"/>
        <family val="2"/>
      </rPr>
      <t xml:space="preserve">의 불확실성 </t>
    </r>
    <r>
      <rPr>
        <b val="true"/>
        <sz val="11"/>
        <rFont val="Arial"/>
        <family val="0"/>
        <charset val="1"/>
      </rPr>
      <t xml:space="preserve">(90 % </t>
    </r>
    <r>
      <rPr>
        <b val="true"/>
        <sz val="11"/>
        <rFont val="WenQuanYi Zen Hei"/>
        <family val="2"/>
      </rPr>
      <t xml:space="preserve">구간 상한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WenQuanYi Zen Hei"/>
        <family val="2"/>
      </rPr>
      <t xml:space="preserve">하한 비</t>
    </r>
    <r>
      <rPr>
        <b val="true"/>
        <sz val="11"/>
        <rFont val="Arial"/>
        <family val="0"/>
        <charset val="1"/>
      </rPr>
      <t xml:space="preserve">) — </t>
    </r>
    <r>
      <rPr>
        <b val="true"/>
        <sz val="11"/>
        <rFont val="WenQuanYi Zen Hei"/>
        <family val="2"/>
      </rPr>
      <t xml:space="preserve">증거가 쌓일수록 좁아짐</t>
    </r>
  </si>
  <si>
    <r>
      <rPr>
        <b val="true"/>
        <sz val="10"/>
        <color rgb="FFFFFFFF"/>
        <rFont val="WenQuanYi Zen Hei"/>
        <family val="2"/>
      </rPr>
      <t xml:space="preserve">등급만 </t>
    </r>
    <r>
      <rPr>
        <b val="true"/>
        <sz val="10"/>
        <color rgb="FFFFFFFF"/>
        <rFont val="Arial"/>
        <family val="0"/>
        <charset val="1"/>
      </rPr>
      <t xml:space="preserve">(L0)</t>
    </r>
  </si>
  <si>
    <t xml:space="preserve">TGA (L1)</t>
  </si>
  <si>
    <r>
      <rPr>
        <b val="true"/>
        <sz val="10"/>
        <color rgb="FFFFFFFF"/>
        <rFont val="WenQuanYi Zen Hei"/>
        <family val="2"/>
      </rPr>
      <t xml:space="preserve">중규모 </t>
    </r>
    <r>
      <rPr>
        <b val="true"/>
        <sz val="10"/>
        <color rgb="FFFFFFFF"/>
        <rFont val="Arial"/>
        <family val="0"/>
        <charset val="1"/>
      </rPr>
      <t xml:space="preserve">(L2)</t>
    </r>
  </si>
  <si>
    <r>
      <rPr>
        <b val="true"/>
        <sz val="10"/>
        <color rgb="FFFFFFFF"/>
        <rFont val="WenQuanYi Zen Hei"/>
        <family val="2"/>
      </rPr>
      <t xml:space="preserve">통합 </t>
    </r>
    <r>
      <rPr>
        <b val="true"/>
        <sz val="10"/>
        <color rgb="FFFFFFFF"/>
        <rFont val="Arial"/>
        <family val="0"/>
        <charset val="1"/>
      </rPr>
      <t xml:space="preserve">(L1+L2)</t>
    </r>
  </si>
  <si>
    <r>
      <rPr>
        <sz val="10"/>
        <rFont val="WenQuanYi Zen Hei"/>
        <family val="2"/>
      </rPr>
      <t xml:space="preserve">건물 위험도 구간은 </t>
    </r>
    <r>
      <rPr>
        <sz val="10"/>
        <rFont val="Arial"/>
        <family val="0"/>
        <charset val="1"/>
      </rPr>
      <t xml:space="preserve">s·</t>
    </r>
    <r>
      <rPr>
        <sz val="10"/>
        <rFont val="WenQuanYi Zen Hei"/>
        <family val="2"/>
      </rPr>
      <t xml:space="preserve">빈도가 지배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별도</t>
    </r>
    <r>
      <rPr>
        <sz val="10"/>
        <rFont val="Arial"/>
        <family val="0"/>
        <charset val="1"/>
      </rPr>
      <t xml:space="preserve">)</t>
    </r>
  </si>
  <si>
    <r>
      <rPr>
        <b val="true"/>
        <sz val="14"/>
        <rFont val="Arial"/>
        <family val="0"/>
        <charset val="1"/>
      </rPr>
      <t xml:space="preserve">⑪ EFFECT(Lamont &amp; Ingolfsson 2018) Tier 2</t>
    </r>
    <r>
      <rPr>
        <b val="true"/>
        <sz val="14"/>
        <rFont val="WenQuanYi Zen Hei"/>
        <family val="2"/>
      </rPr>
      <t xml:space="preserve">를 이 시험 재료에 적용하면 — 범주형 재료 평가의 한계</t>
    </r>
  </si>
  <si>
    <r>
      <rPr>
        <sz val="9"/>
        <color rgb="FF4B5563"/>
        <rFont val="WenQuanYi Zen Hei"/>
        <family val="2"/>
      </rPr>
      <t xml:space="preserve">가정</t>
    </r>
    <r>
      <rPr>
        <sz val="9"/>
        <color rgb="FF4B5563"/>
        <rFont val="Arial"/>
        <family val="0"/>
        <charset val="1"/>
      </rPr>
      <t xml:space="preserve">: </t>
    </r>
    <r>
      <rPr>
        <sz val="9"/>
        <color rgb="FF4B5563"/>
        <rFont val="WenQuanYi Zen Hei"/>
        <family val="2"/>
      </rPr>
      <t xml:space="preserve">불연 외장재</t>
    </r>
    <r>
      <rPr>
        <sz val="9"/>
        <color rgb="FF4B5563"/>
        <rFont val="Arial"/>
        <family val="0"/>
        <charset val="1"/>
      </rPr>
      <t xml:space="preserve">, </t>
    </r>
    <r>
      <rPr>
        <sz val="9"/>
        <color rgb="FF4B5563"/>
        <rFont val="WenQuanYi Zen Hei"/>
        <family val="2"/>
      </rPr>
      <t xml:space="preserve">공기층 </t>
    </r>
    <r>
      <rPr>
        <sz val="9"/>
        <color rgb="FF4B5563"/>
        <rFont val="Arial"/>
        <family val="0"/>
        <charset val="1"/>
      </rPr>
      <t xml:space="preserve">100 mm(&gt; 75 mm), 15</t>
    </r>
    <r>
      <rPr>
        <sz val="9"/>
        <color rgb="FF4B5563"/>
        <rFont val="WenQuanYi Zen Hei"/>
        <family val="2"/>
      </rPr>
      <t xml:space="preserve">층</t>
    </r>
    <r>
      <rPr>
        <sz val="9"/>
        <color rgb="FF4B5563"/>
        <rFont val="Arial"/>
        <family val="0"/>
        <charset val="1"/>
      </rPr>
      <t xml:space="preserve">(30–50 m) </t>
    </r>
    <r>
      <rPr>
        <sz val="9"/>
        <color rgb="FF4B5563"/>
        <rFont val="WenQuanYi Zen Hei"/>
        <family val="2"/>
      </rPr>
      <t xml:space="preserve">주거 </t>
    </r>
    <r>
      <rPr>
        <sz val="9"/>
        <color rgb="FF4B5563"/>
        <rFont val="Arial"/>
        <family val="0"/>
        <charset val="1"/>
      </rPr>
      <t xml:space="preserve">all-out, </t>
    </r>
    <r>
      <rPr>
        <sz val="9"/>
        <color rgb="FF4B5563"/>
        <rFont val="WenQuanYi Zen Hei"/>
        <family val="2"/>
      </rPr>
      <t xml:space="preserve">스프링클러 설치</t>
    </r>
    <r>
      <rPr>
        <sz val="9"/>
        <color rgb="FF4B5563"/>
        <rFont val="Arial"/>
        <family val="0"/>
        <charset val="1"/>
      </rPr>
      <t xml:space="preserve">, </t>
    </r>
    <r>
      <rPr>
        <sz val="9"/>
        <color rgb="FF4B5563"/>
        <rFont val="WenQuanYi Zen Hei"/>
        <family val="2"/>
      </rPr>
      <t xml:space="preserve">외벽 하부 발화원 있음</t>
    </r>
    <r>
      <rPr>
        <sz val="9"/>
        <color rgb="FF4B5563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</si>
  <si>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EFFECT </t>
    </r>
    <r>
      <rPr>
        <b val="true"/>
        <sz val="10"/>
        <color rgb="FFFFFFFF"/>
        <rFont val="WenQuanYi Zen Hei"/>
        <family val="2"/>
      </rPr>
      <t xml:space="preserve">단열재 계열</t>
    </r>
  </si>
  <si>
    <r>
      <rPr>
        <b val="true"/>
        <sz val="10"/>
        <color rgb="FFFFFFFF"/>
        <rFont val="WenQuanYi Zen Hei"/>
        <family val="2"/>
      </rPr>
      <t xml:space="preserve">연료</t>
    </r>
    <r>
      <rPr>
        <b val="true"/>
        <sz val="10"/>
        <color rgb="FFFFFFFF"/>
        <rFont val="Arial"/>
        <family val="0"/>
        <charset val="1"/>
      </rPr>
      <t xml:space="preserve">(Fig. 33·34)</t>
    </r>
  </si>
  <si>
    <t xml:space="preserve">발화원</t>
  </si>
  <si>
    <t xml:space="preserve">수직 연결</t>
  </si>
  <si>
    <t xml:space="preserve">가능성</t>
  </si>
  <si>
    <t xml:space="preserve">결과</t>
  </si>
  <si>
    <r>
      <rPr>
        <b val="true"/>
        <sz val="10"/>
        <color rgb="FFFFFFFF"/>
        <rFont val="Arial"/>
        <family val="0"/>
        <charset val="1"/>
      </rPr>
      <t xml:space="preserve">EFFECT </t>
    </r>
    <r>
      <rPr>
        <b val="true"/>
        <sz val="10"/>
        <color rgb="FFFFFFFF"/>
        <rFont val="WenQuanYi Zen Hei"/>
        <family val="2"/>
      </rPr>
      <t xml:space="preserve">판정</t>
    </r>
  </si>
  <si>
    <r>
      <rPr>
        <b val="true"/>
        <sz val="10"/>
        <color rgb="FFFFFFFF"/>
        <rFont val="Arial"/>
        <family val="0"/>
        <charset val="1"/>
      </rPr>
      <t xml:space="preserve">R = P×S (</t>
    </r>
    <r>
      <rPr>
        <b val="true"/>
        <sz val="10"/>
        <color rgb="FFFFFFFF"/>
        <rFont val="WenQuanYi Zen Hei"/>
        <family val="2"/>
      </rPr>
      <t xml:space="preserve">최대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</si>
  <si>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R_S </t>
    </r>
    <r>
      <rPr>
        <b val="true"/>
        <sz val="10"/>
        <color rgb="FFFFFFFF"/>
        <rFont val="WenQuanYi Zen Hei"/>
        <family val="2"/>
      </rPr>
      <t xml:space="preserve">중규모 기반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평균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</si>
  <si>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재료 인자 </t>
    </r>
    <r>
      <rPr>
        <b val="true"/>
        <sz val="10"/>
        <color rgb="FFFFFFFF"/>
        <rFont val="Arial"/>
        <family val="0"/>
        <charset val="1"/>
      </rPr>
      <t xml:space="preserve">MF</t>
    </r>
  </si>
  <si>
    <t xml:space="preserve">SPF/XPS/EPS/PUR</t>
  </si>
  <si>
    <t xml:space="preserve">High</t>
  </si>
  <si>
    <r>
      <rPr>
        <sz val="10"/>
        <rFont val="Arial"/>
        <family val="0"/>
        <charset val="1"/>
      </rPr>
      <t xml:space="preserve">Medium (</t>
    </r>
    <r>
      <rPr>
        <sz val="10"/>
        <rFont val="WenQuanYi Zen Hei"/>
        <family val="2"/>
      </rPr>
      <t xml:space="preserve">외벽 하부 발화원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</si>
  <si>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연결 </t>
    </r>
    <r>
      <rPr>
        <sz val="10"/>
        <rFont val="Arial"/>
        <family val="0"/>
        <charset val="1"/>
      </rPr>
      <t xml:space="preserve">&gt; 3 m → </t>
    </r>
    <r>
      <rPr>
        <sz val="10"/>
        <rFont val="WenQuanYi Zen Hei"/>
        <family val="2"/>
      </rPr>
      <t xml:space="preserve">한 단계 상향</t>
    </r>
  </si>
  <si>
    <r>
      <rPr>
        <sz val="10"/>
        <rFont val="Arial"/>
        <family val="0"/>
        <charset val="1"/>
      </rPr>
      <t xml:space="preserve">Moderate–Extreme (</t>
    </r>
    <r>
      <rPr>
        <sz val="10"/>
        <rFont val="WenQuanYi Zen Hei"/>
        <family val="2"/>
      </rPr>
      <t xml:space="preserve">주거 </t>
    </r>
    <r>
      <rPr>
        <sz val="10"/>
        <rFont val="Arial"/>
        <family val="0"/>
        <charset val="1"/>
      </rPr>
      <t xml:space="preserve">all-out, 30–50 m)</t>
    </r>
  </si>
  <si>
    <t xml:space="preserve">D (Substantial)</t>
  </si>
  <si>
    <r>
      <rPr>
        <sz val="10"/>
        <rFont val="Arial"/>
        <family val="0"/>
        <charset val="1"/>
      </rPr>
      <t xml:space="preserve">PIR/Phenolic </t>
    </r>
    <r>
      <rPr>
        <sz val="10"/>
        <rFont val="WenQuanYi Zen Hei"/>
        <family val="2"/>
      </rPr>
      <t xml:space="preserve">또는 </t>
    </r>
    <r>
      <rPr>
        <sz val="10"/>
        <rFont val="Arial"/>
        <family val="0"/>
        <charset val="1"/>
      </rPr>
      <t xml:space="preserve">PUR</t>
    </r>
  </si>
  <si>
    <t xml:space="preserve">PIR/Phenolic</t>
  </si>
  <si>
    <r>
      <rPr>
        <sz val="9"/>
        <color rgb="FF4B5563"/>
        <rFont val="Arial"/>
        <family val="0"/>
        <charset val="1"/>
      </rPr>
      <t xml:space="preserve">EFFECT</t>
    </r>
    <r>
      <rPr>
        <sz val="9"/>
        <color rgb="FF4B5563"/>
        <rFont val="WenQuanYi Zen Hei"/>
        <family val="2"/>
      </rPr>
      <t xml:space="preserve">는 정성적 순위 도구입니다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보고서 초록</t>
    </r>
    <r>
      <rPr>
        <sz val="9"/>
        <color rgb="FF4B5563"/>
        <rFont val="Arial"/>
        <family val="0"/>
        <charset val="1"/>
      </rPr>
      <t xml:space="preserve">: </t>
    </r>
    <r>
      <rPr>
        <sz val="9"/>
        <color rgb="FF4B5563"/>
        <rFont val="WenQuanYi Zen Hei"/>
        <family val="2"/>
      </rPr>
      <t xml:space="preserve">통계</t>
    </r>
    <r>
      <rPr>
        <sz val="9"/>
        <color rgb="FF4B5563"/>
        <rFont val="Arial"/>
        <family val="0"/>
        <charset val="1"/>
      </rPr>
      <t xml:space="preserve">·</t>
    </r>
    <r>
      <rPr>
        <sz val="9"/>
        <color rgb="FF4B5563"/>
        <rFont val="WenQuanYi Zen Hei"/>
        <family val="2"/>
      </rPr>
      <t xml:space="preserve">시험자료 부족으로 정성 평가 채택</t>
    </r>
    <r>
      <rPr>
        <sz val="9"/>
        <color rgb="FF4B5563"/>
        <rFont val="Arial"/>
        <family val="0"/>
        <charset val="1"/>
      </rPr>
      <t xml:space="preserve">). </t>
    </r>
    <r>
      <rPr>
        <sz val="9"/>
        <color rgb="FF4B5563"/>
        <rFont val="WenQuanYi Zen Hei"/>
        <family val="2"/>
      </rPr>
      <t xml:space="preserve">같은 </t>
    </r>
    <r>
      <rPr>
        <sz val="9"/>
        <color rgb="FF4B5563"/>
        <rFont val="Arial"/>
        <family val="0"/>
        <charset val="1"/>
      </rPr>
      <t xml:space="preserve">'D'</t>
    </r>
    <r>
      <rPr>
        <sz val="9"/>
        <color rgb="FF4B5563"/>
        <rFont val="WenQuanYi Zen Hei"/>
        <family val="2"/>
      </rPr>
      <t xml:space="preserve">라도 시험 </t>
    </r>
    <r>
      <rPr>
        <sz val="9"/>
        <color rgb="FF4B5563"/>
        <rFont val="Arial"/>
        <family val="0"/>
        <charset val="1"/>
      </rPr>
      <t xml:space="preserve">t600</t>
    </r>
    <r>
      <rPr>
        <sz val="9"/>
        <color rgb="FF4B5563"/>
        <rFont val="WenQuanYi Zen Hei"/>
        <family val="2"/>
      </rPr>
      <t xml:space="preserve">은 </t>
    </r>
    <r>
      <rPr>
        <sz val="9"/>
        <color rgb="FF4B5563"/>
        <rFont val="Arial"/>
        <family val="0"/>
        <charset val="1"/>
      </rPr>
      <t xml:space="preserve">30–1350 s, </t>
    </r>
    <r>
      <rPr>
        <sz val="9"/>
        <color rgb="FF4B5563"/>
        <rFont val="WenQuanYi Zen Hei"/>
        <family val="2"/>
      </rPr>
      <t xml:space="preserve">재료 인자는 </t>
    </r>
    <r>
      <rPr>
        <sz val="9"/>
        <color rgb="FF4B5563"/>
        <rFont val="Arial"/>
        <family val="0"/>
        <charset val="1"/>
      </rPr>
      <t xml:space="preserve">33–630</t>
    </r>
    <r>
      <rPr>
        <sz val="9"/>
        <color rgb="FF4B5563"/>
        <rFont val="WenQuanYi Zen Hei"/>
        <family val="2"/>
      </rPr>
      <t xml:space="preserve">배로 갈립니다</t>
    </r>
    <r>
      <rPr>
        <sz val="9"/>
        <color rgb="FF4B5563"/>
        <rFont val="Arial"/>
        <family val="0"/>
        <charset val="1"/>
      </rPr>
      <t xml:space="preserve">.</t>
    </r>
  </si>
  <si>
    <r>
      <rPr>
        <sz val="9"/>
        <color rgb="FF4B5563"/>
        <rFont val="Arial"/>
        <family val="0"/>
        <charset val="1"/>
      </rPr>
      <t xml:space="preserve">EFFECT </t>
    </r>
    <r>
      <rPr>
        <sz val="9"/>
        <color rgb="FF4B5563"/>
        <rFont val="WenQuanYi Zen Hei"/>
        <family val="2"/>
      </rPr>
      <t xml:space="preserve">후속 과제</t>
    </r>
    <r>
      <rPr>
        <sz val="9"/>
        <color rgb="FF4B5563"/>
        <rFont val="Arial"/>
        <family val="0"/>
        <charset val="1"/>
      </rPr>
      <t xml:space="preserve">(13</t>
    </r>
    <r>
      <rPr>
        <sz val="9"/>
        <color rgb="FF4B5563"/>
        <rFont val="WenQuanYi Zen Hei"/>
        <family val="2"/>
      </rPr>
      <t xml:space="preserve">장</t>
    </r>
    <r>
      <rPr>
        <sz val="9"/>
        <color rgb="FF4B5563"/>
        <rFont val="Arial"/>
        <family val="0"/>
        <charset val="1"/>
      </rPr>
      <t xml:space="preserve">): '</t>
    </r>
    <r>
      <rPr>
        <sz val="9"/>
        <color rgb="FF4B5563"/>
        <rFont val="WenQuanYi Zen Hei"/>
        <family val="2"/>
      </rPr>
      <t xml:space="preserve">외벽 시스템 화재시험으로 외장재</t>
    </r>
    <r>
      <rPr>
        <sz val="9"/>
        <color rgb="FF4B5563"/>
        <rFont val="Arial"/>
        <family val="0"/>
        <charset val="1"/>
      </rPr>
      <t xml:space="preserve">·</t>
    </r>
    <r>
      <rPr>
        <sz val="9"/>
        <color rgb="FF4B5563"/>
        <rFont val="WenQuanYi Zen Hei"/>
        <family val="2"/>
      </rPr>
      <t xml:space="preserve">단열재</t>
    </r>
    <r>
      <rPr>
        <sz val="9"/>
        <color rgb="FF4B5563"/>
        <rFont val="Arial"/>
        <family val="0"/>
        <charset val="1"/>
      </rPr>
      <t xml:space="preserve">·</t>
    </r>
    <r>
      <rPr>
        <sz val="9"/>
        <color rgb="FF4B5563"/>
        <rFont val="WenQuanYi Zen Hei"/>
        <family val="2"/>
      </rPr>
      <t xml:space="preserve">공기층 조합의 점수 보강</t>
    </r>
    <r>
      <rPr>
        <sz val="9"/>
        <color rgb="FF4B5563"/>
        <rFont val="Arial"/>
        <family val="0"/>
        <charset val="1"/>
      </rPr>
      <t xml:space="preserve">' → </t>
    </r>
    <r>
      <rPr>
        <sz val="9"/>
        <color rgb="FF4B5563"/>
        <rFont val="WenQuanYi Zen Hei"/>
        <family val="2"/>
      </rPr>
      <t xml:space="preserve">이 계산서의 중규모</t>
    </r>
    <r>
      <rPr>
        <sz val="9"/>
        <color rgb="FF4B5563"/>
        <rFont val="Arial"/>
        <family val="0"/>
        <charset val="1"/>
      </rPr>
      <t xml:space="preserve">·</t>
    </r>
    <r>
      <rPr>
        <sz val="9"/>
        <color rgb="FF4B5563"/>
        <rFont val="WenQuanYi Zen Hei"/>
        <family val="2"/>
      </rPr>
      <t xml:space="preserve">소형시료 자료가 그 근거 역할을 합니다</t>
    </r>
    <r>
      <rPr>
        <sz val="9"/>
        <color rgb="FF4B5563"/>
        <rFont val="Arial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</si>
  <si>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⑫ 시험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해석 계획 — 어떤 불확실성을 줄이는가</t>
    </r>
  </si>
  <si>
    <r>
      <rPr>
        <sz val="9"/>
        <color rgb="FF4B5563"/>
        <rFont val="WenQuanYi Zen Hei"/>
        <family val="2"/>
      </rPr>
      <t xml:space="preserve">우선순위 </t>
    </r>
    <r>
      <rPr>
        <sz val="9"/>
        <color rgb="FF4B5563"/>
        <rFont val="Arial"/>
        <family val="0"/>
        <charset val="1"/>
      </rPr>
      <t xml:space="preserve">1 = </t>
    </r>
    <r>
      <rPr>
        <sz val="9"/>
        <color rgb="FF4B5563"/>
        <rFont val="WenQuanYi Zen Hei"/>
        <family val="2"/>
      </rPr>
      <t xml:space="preserve">판정을 바꿀 수 있는 항목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민감도</t>
    </r>
    <r>
      <rPr>
        <sz val="9"/>
        <color rgb="FF4B5563"/>
        <rFont val="Arial"/>
        <family val="0"/>
        <charset val="1"/>
      </rPr>
      <t xml:space="preserve">·</t>
    </r>
    <r>
      <rPr>
        <sz val="9"/>
        <color rgb="FF4B5563"/>
        <rFont val="WenQuanYi Zen Hei"/>
        <family val="2"/>
      </rPr>
      <t xml:space="preserve">정보가치 기준</t>
    </r>
    <r>
      <rPr>
        <sz val="9"/>
        <color rgb="FF4B5563"/>
        <rFont val="Arial"/>
        <family val="0"/>
        <charset val="1"/>
      </rPr>
      <t xml:space="preserve">).</t>
    </r>
  </si>
  <si>
    <r>
      <rPr>
        <b val="true"/>
        <sz val="10"/>
        <color rgb="FFFFFFFF"/>
        <rFont val="WenQuanYi Zen Hei"/>
        <family val="2"/>
      </rPr>
      <t xml:space="preserve">시험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해석</t>
    </r>
  </si>
  <si>
    <t xml:space="preserve">규격</t>
  </si>
  <si>
    <t xml:space="preserve">조건</t>
  </si>
  <si>
    <r>
      <rPr>
        <b val="true"/>
        <sz val="10"/>
        <color rgb="FFFFFFFF"/>
        <rFont val="WenQuanYi Zen Hei"/>
        <family val="2"/>
      </rPr>
      <t xml:space="preserve">시편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반복</t>
    </r>
  </si>
  <si>
    <t xml:space="preserve">산출 지표</t>
  </si>
  <si>
    <t xml:space="preserve">해결하는 불확실성</t>
  </si>
  <si>
    <t xml:space="preserve">우선순위</t>
  </si>
  <si>
    <t xml:space="preserve">L1</t>
  </si>
  <si>
    <t xml:space="preserve">콘칼로리미터</t>
  </si>
  <si>
    <t xml:space="preserve">ISO 5660-1 (KS F ISO 5660-1)</t>
  </si>
  <si>
    <r>
      <rPr>
        <sz val="10"/>
        <rFont val="Arial"/>
        <family val="0"/>
        <charset val="1"/>
      </rPr>
      <t xml:space="preserve">50 kW/m² 10</t>
    </r>
    <r>
      <rPr>
        <sz val="10"/>
        <rFont val="WenQuanYi Zen Hei"/>
        <family val="2"/>
      </rPr>
      <t xml:space="preserve">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준불연 판정</t>
    </r>
    <r>
      <rPr>
        <sz val="10"/>
        <rFont val="Arial"/>
        <family val="0"/>
        <charset val="1"/>
      </rPr>
      <t xml:space="preserve">) + 25·35·65 kW/m²(TRP·CHF)</t>
    </r>
  </si>
  <si>
    <r>
      <rPr>
        <sz val="10"/>
        <rFont val="Arial"/>
        <family val="0"/>
        <charset val="1"/>
      </rPr>
      <t xml:space="preserve">100×100 mm, </t>
    </r>
    <r>
      <rPr>
        <sz val="10"/>
        <rFont val="WenQuanYi Zen Hei"/>
        <family val="2"/>
      </rPr>
      <t xml:space="preserve">면재 포함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심재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각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회</t>
    </r>
  </si>
  <si>
    <t xml:space="preserve">t_ig, pHRR, THR_600, EHC, TSP, CO</t>
  </si>
  <si>
    <t xml:space="preserve">D1·D2·D3·D6·G</t>
  </si>
  <si>
    <r>
      <rPr>
        <sz val="10"/>
        <rFont val="WenQuanYi Zen Hei"/>
        <family val="2"/>
      </rPr>
      <t xml:space="preserve">가연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준불연 게이트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착화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발열</t>
    </r>
    <r>
      <rPr>
        <sz val="10"/>
        <rFont val="Arial"/>
        <family val="0"/>
        <charset val="1"/>
      </rPr>
      <t xml:space="preserve">(TGA </t>
    </r>
    <r>
      <rPr>
        <sz val="10"/>
        <rFont val="WenQuanYi Zen Hei"/>
        <family val="2"/>
      </rPr>
      <t xml:space="preserve">사각지대</t>
    </r>
    <r>
      <rPr>
        <sz val="10"/>
        <rFont val="Arial"/>
        <family val="0"/>
        <charset val="1"/>
      </rPr>
      <t xml:space="preserve">)</t>
    </r>
  </si>
  <si>
    <t xml:space="preserve">FT-IR (ATR)</t>
  </si>
  <si>
    <r>
      <rPr>
        <sz val="10"/>
        <rFont val="WenQuanYi Zen Hei"/>
        <family val="2"/>
      </rPr>
      <t xml:space="preserve">고체 정성분석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ASTM E1252)</t>
    </r>
  </si>
  <si>
    <r>
      <rPr>
        <sz val="10"/>
        <rFont val="Arial"/>
        <family val="0"/>
        <charset val="1"/>
      </rPr>
      <t xml:space="preserve">4000–400 cm⁻¹, </t>
    </r>
    <r>
      <rPr>
        <sz val="10"/>
        <rFont val="WenQuanYi Zen Hei"/>
        <family val="2"/>
      </rPr>
      <t xml:space="preserve">분해능 </t>
    </r>
    <r>
      <rPr>
        <sz val="10"/>
        <rFont val="Arial"/>
        <family val="0"/>
        <charset val="1"/>
      </rPr>
      <t xml:space="preserve">4 cm⁻¹, 32</t>
    </r>
    <r>
      <rPr>
        <sz val="10"/>
        <rFont val="WenQuanYi Zen Hei"/>
        <family val="2"/>
      </rPr>
      <t xml:space="preserve">회 누적</t>
    </r>
  </si>
  <si>
    <r>
      <rPr>
        <sz val="10"/>
        <rFont val="WenQuanYi Zen Hei"/>
        <family val="2"/>
      </rPr>
      <t xml:space="preserve">심재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면재 각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위치</t>
    </r>
  </si>
  <si>
    <r>
      <rPr>
        <sz val="10"/>
        <rFont val="WenQuanYi Zen Hei"/>
        <family val="2"/>
      </rPr>
      <t xml:space="preserve">고분자 식별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이소시아누레이트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난연</t>
    </r>
    <r>
      <rPr>
        <sz val="10"/>
        <rFont val="Arial"/>
        <family val="0"/>
        <charset val="1"/>
      </rPr>
      <t xml:space="preserve">(P) </t>
    </r>
    <r>
      <rPr>
        <sz val="10"/>
        <rFont val="WenQuanYi Zen Hei"/>
        <family val="2"/>
      </rPr>
      <t xml:space="preserve">지수</t>
    </r>
  </si>
  <si>
    <t xml:space="preserve">G (D1·D2)</t>
  </si>
  <si>
    <r>
      <rPr>
        <sz val="10"/>
        <rFont val="WenQuanYi Zen Hei"/>
        <family val="2"/>
      </rPr>
      <t xml:space="preserve">제품 식별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난연제 유무 → 전이함수 적용 여부</t>
    </r>
  </si>
  <si>
    <r>
      <rPr>
        <b val="true"/>
        <sz val="10"/>
        <rFont val="Arial"/>
        <family val="0"/>
        <charset val="1"/>
      </rPr>
      <t xml:space="preserve">TGA–FTIR (</t>
    </r>
    <r>
      <rPr>
        <b val="true"/>
        <sz val="10"/>
        <rFont val="WenQuanYi Zen Hei"/>
        <family val="2"/>
      </rPr>
      <t xml:space="preserve">발생가스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</si>
  <si>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N₂·</t>
    </r>
    <r>
      <rPr>
        <sz val="10"/>
        <rFont val="WenQuanYi Zen Hei"/>
        <family val="2"/>
      </rPr>
      <t xml:space="preserve">공기</t>
    </r>
    <r>
      <rPr>
        <sz val="10"/>
        <rFont val="Arial"/>
        <family val="0"/>
        <charset val="1"/>
      </rPr>
      <t xml:space="preserve">, 5 K/min (</t>
    </r>
    <r>
      <rPr>
        <sz val="10"/>
        <rFont val="WenQuanYi Zen Hei"/>
        <family val="2"/>
      </rPr>
      <t xml:space="preserve">기존 </t>
    </r>
    <r>
      <rPr>
        <sz val="10"/>
        <rFont val="Arial"/>
        <family val="0"/>
        <charset val="1"/>
      </rPr>
      <t xml:space="preserve">TGA</t>
    </r>
    <r>
      <rPr>
        <sz val="10"/>
        <rFont val="WenQuanYi Zen Hei"/>
        <family val="2"/>
      </rPr>
      <t xml:space="preserve">와 같게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전송관 </t>
    </r>
    <r>
      <rPr>
        <sz val="10"/>
        <rFont val="Arial"/>
        <family val="0"/>
        <charset val="1"/>
      </rPr>
      <t xml:space="preserve">200–250 °C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</si>
  <si>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</t>
    </r>
  </si>
  <si>
    <r>
      <rPr>
        <sz val="10"/>
        <rFont val="Arial"/>
        <family val="0"/>
        <charset val="1"/>
      </rPr>
      <t xml:space="preserve">HCN·CO·NCO·HCl </t>
    </r>
    <r>
      <rPr>
        <sz val="10"/>
        <rFont val="WenQuanYi Zen Hei"/>
        <family val="2"/>
      </rPr>
      <t xml:space="preserve">발생 온도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상대량</t>
    </r>
  </si>
  <si>
    <r>
      <rPr>
        <sz val="10"/>
        <rFont val="WenQuanYi Zen Hei"/>
        <family val="2"/>
      </rPr>
      <t xml:space="preserve">유해가스 → </t>
    </r>
    <r>
      <rPr>
        <sz val="10"/>
        <rFont val="Arial"/>
        <family val="0"/>
        <charset val="1"/>
      </rPr>
      <t xml:space="preserve">FDS </t>
    </r>
    <r>
      <rPr>
        <sz val="10"/>
        <rFont val="WenQuanYi Zen Hei"/>
        <family val="2"/>
      </rPr>
      <t xml:space="preserve">수율</t>
    </r>
    <r>
      <rPr>
        <sz val="10"/>
        <rFont val="Arial"/>
        <family val="0"/>
        <charset val="1"/>
      </rPr>
      <t xml:space="preserve">·FED</t>
    </r>
  </si>
  <si>
    <t xml:space="preserve">2</t>
  </si>
  <si>
    <r>
      <rPr>
        <b val="true"/>
        <sz val="10"/>
        <rFont val="Arial"/>
        <family val="0"/>
        <charset val="1"/>
      </rPr>
      <t xml:space="preserve">TGA–DSC </t>
    </r>
    <r>
      <rPr>
        <b val="true"/>
        <sz val="10"/>
        <rFont val="WenQuanYi Zen Hei"/>
        <family val="2"/>
      </rPr>
      <t xml:space="preserve">보완</t>
    </r>
  </si>
  <si>
    <t xml:space="preserve">ISO 11358-1 · ASTM E1269 / ISO 11357-4</t>
  </si>
  <si>
    <r>
      <rPr>
        <sz val="10"/>
        <rFont val="WenQuanYi Zen Hei"/>
        <family val="2"/>
      </rPr>
      <t xml:space="preserve">초기 질량 기록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블랭크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사파이어 보정</t>
    </r>
    <r>
      <rPr>
        <sz val="10"/>
        <rFont val="Arial"/>
        <family val="0"/>
        <charset val="1"/>
      </rPr>
      <t xml:space="preserve">, EPS </t>
    </r>
    <r>
      <rPr>
        <sz val="10"/>
        <rFont val="WenQuanYi Zen Hei"/>
        <family val="2"/>
      </rPr>
      <t xml:space="preserve">가연성 공기 재측정</t>
    </r>
  </si>
  <si>
    <r>
      <rPr>
        <sz val="10"/>
        <rFont val="Arial"/>
        <family val="0"/>
        <charset val="1"/>
      </rPr>
      <t xml:space="preserve">2–3</t>
    </r>
    <r>
      <rPr>
        <sz val="10"/>
        <rFont val="WenQuanYi Zen Hei"/>
        <family val="2"/>
      </rPr>
      <t xml:space="preserve">회</t>
    </r>
  </si>
  <si>
    <r>
      <rPr>
        <sz val="10"/>
        <rFont val="WenQuanYi Zen Hei"/>
        <family val="2"/>
      </rPr>
      <t xml:space="preserve">잔류량</t>
    </r>
    <r>
      <rPr>
        <sz val="10"/>
        <rFont val="Arial"/>
        <family val="0"/>
        <charset val="1"/>
      </rPr>
      <t xml:space="preserve">(NU_MATL), c_p, </t>
    </r>
    <r>
      <rPr>
        <sz val="10"/>
        <rFont val="WenQuanYi Zen Hei"/>
        <family val="2"/>
      </rPr>
      <t xml:space="preserve">반응열</t>
    </r>
  </si>
  <si>
    <r>
      <rPr>
        <sz val="10"/>
        <rFont val="Arial"/>
        <family val="0"/>
        <charset val="1"/>
      </rPr>
      <t xml:space="preserve">D3·D4 (+L3 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</si>
  <si>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조건부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종점 의존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판정 해소</t>
    </r>
  </si>
  <si>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선택</t>
    </r>
    <r>
      <rPr>
        <b val="true"/>
        <sz val="10"/>
        <rFont val="Arial"/>
        <family val="0"/>
        <charset val="1"/>
      </rPr>
      <t xml:space="preserve">) MCC</t>
    </r>
  </si>
  <si>
    <t xml:space="preserve">ASTM D7309</t>
  </si>
  <si>
    <t xml:space="preserve">1 K/s, 750 °C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</si>
  <si>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회</t>
    </r>
  </si>
  <si>
    <t xml:space="preserve">HRC, THR</t>
  </si>
  <si>
    <t xml:space="preserve">D2·D3</t>
  </si>
  <si>
    <r>
      <rPr>
        <sz val="10"/>
        <rFont val="Arial"/>
        <family val="0"/>
        <charset val="1"/>
      </rPr>
      <t xml:space="preserve">r_max </t>
    </r>
    <r>
      <rPr>
        <sz val="10"/>
        <rFont val="WenQuanYi Zen Hei"/>
        <family val="2"/>
      </rPr>
      <t xml:space="preserve">대신 </t>
    </r>
    <r>
      <rPr>
        <sz val="10"/>
        <rFont val="Arial"/>
        <family val="0"/>
        <charset val="1"/>
      </rPr>
      <t xml:space="preserve">HRC</t>
    </r>
    <r>
      <rPr>
        <sz val="10"/>
        <rFont val="WenQuanYi Zen Hei"/>
        <family val="2"/>
      </rPr>
      <t xml:space="preserve">로 확산식 개선</t>
    </r>
  </si>
  <si>
    <t xml:space="preserve">3</t>
  </si>
  <si>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선택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총발열량</t>
    </r>
  </si>
  <si>
    <t xml:space="preserve">ISO 1716</t>
  </si>
  <si>
    <t xml:space="preserve">봄베 열량계</t>
  </si>
  <si>
    <t xml:space="preserve">PCS (MJ/kg)</t>
  </si>
  <si>
    <r>
      <rPr>
        <sz val="10"/>
        <rFont val="Arial"/>
        <family val="0"/>
        <charset val="1"/>
      </rPr>
      <t xml:space="preserve">A2/B </t>
    </r>
    <r>
      <rPr>
        <sz val="10"/>
        <rFont val="WenQuanYi Zen Hei"/>
        <family val="2"/>
      </rPr>
      <t xml:space="preserve">분류 근거</t>
    </r>
  </si>
  <si>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선택</t>
    </r>
    <r>
      <rPr>
        <b val="true"/>
        <sz val="10"/>
        <rFont val="Arial"/>
        <family val="0"/>
        <charset val="1"/>
      </rPr>
      <t xml:space="preserve">) SEM/EDS·XRF</t>
    </r>
  </si>
  <si>
    <t xml:space="preserve">원소 분석</t>
  </si>
  <si>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위치</t>
    </r>
  </si>
  <si>
    <t xml:space="preserve">P·Br·Al·Mg·Sb</t>
  </si>
  <si>
    <r>
      <rPr>
        <sz val="10"/>
        <rFont val="WenQuanYi Zen Hei"/>
        <family val="2"/>
      </rPr>
      <t xml:space="preserve">난연제 확인</t>
    </r>
    <r>
      <rPr>
        <sz val="10"/>
        <rFont val="Arial"/>
        <family val="0"/>
        <charset val="1"/>
      </rPr>
      <t xml:space="preserve">(FT-IR </t>
    </r>
    <r>
      <rPr>
        <sz val="10"/>
        <rFont val="WenQuanYi Zen Hei"/>
        <family val="2"/>
      </rPr>
      <t xml:space="preserve">보완</t>
    </r>
    <r>
      <rPr>
        <sz val="10"/>
        <rFont val="Arial"/>
        <family val="0"/>
        <charset val="1"/>
      </rPr>
      <t xml:space="preserve">)</t>
    </r>
  </si>
  <si>
    <t xml:space="preserve">L2</t>
  </si>
  <si>
    <t xml:space="preserve">중공층 시험 보완</t>
  </si>
  <si>
    <t xml:space="preserve">현행 방법</t>
  </si>
  <si>
    <r>
      <rPr>
        <sz val="10"/>
        <rFont val="WenQuanYi Zen Hei"/>
        <family val="2"/>
      </rPr>
      <t xml:space="preserve">버너 소화 후 </t>
    </r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분 관찰</t>
    </r>
    <r>
      <rPr>
        <sz val="10"/>
        <rFont val="Arial"/>
        <family val="0"/>
        <charset val="1"/>
      </rPr>
      <t xml:space="preserve">, CO/CO₂·</t>
    </r>
    <r>
      <rPr>
        <sz val="10"/>
        <rFont val="WenQuanYi Zen Hei"/>
        <family val="2"/>
      </rPr>
      <t xml:space="preserve">열류속 계측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반복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회</t>
    </r>
  </si>
  <si>
    <r>
      <rPr>
        <sz val="10"/>
        <rFont val="WenQuanYi Zen Hei"/>
        <family val="2"/>
      </rPr>
      <t xml:space="preserve">재료당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회</t>
    </r>
  </si>
  <si>
    <r>
      <rPr>
        <sz val="10"/>
        <rFont val="Arial"/>
        <family val="0"/>
        <charset val="1"/>
      </rPr>
      <t xml:space="preserve">B·</t>
    </r>
    <r>
      <rPr>
        <sz val="10"/>
        <rFont val="WenQuanYi Zen Hei"/>
        <family val="2"/>
      </rPr>
      <t xml:space="preserve">지속시간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가스</t>
    </r>
  </si>
  <si>
    <t xml:space="preserve">D4·D5·D6</t>
  </si>
  <si>
    <r>
      <rPr>
        <sz val="10"/>
        <rFont val="Arial"/>
        <family val="0"/>
        <charset val="1"/>
      </rPr>
      <t xml:space="preserve">p_B </t>
    </r>
    <r>
      <rPr>
        <sz val="10"/>
        <rFont val="WenQuanYi Zen Hei"/>
        <family val="2"/>
      </rPr>
      <t xml:space="preserve">표본 확대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현재 </t>
    </r>
    <r>
      <rPr>
        <sz val="10"/>
        <rFont val="Arial"/>
        <family val="0"/>
        <charset val="1"/>
      </rPr>
      <t xml:space="preserve">2–3</t>
    </r>
    <r>
      <rPr>
        <sz val="10"/>
        <rFont val="WenQuanYi Zen Hei"/>
        <family val="2"/>
      </rPr>
      <t xml:space="preserve">회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</si>
  <si>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EPS </t>
    </r>
    <r>
      <rPr>
        <b val="true"/>
        <sz val="10"/>
        <rFont val="WenQuanYi Zen Hei"/>
        <family val="2"/>
      </rPr>
      <t xml:space="preserve">가연성 재시험</t>
    </r>
  </si>
  <si>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분 평가 완주</t>
    </r>
  </si>
  <si>
    <t xml:space="preserve">t600, B</t>
  </si>
  <si>
    <t xml:space="preserve">D2·D4</t>
  </si>
  <si>
    <t xml:space="preserve">정량평가 제외 해소</t>
  </si>
  <si>
    <r>
      <rPr>
        <b val="true"/>
        <sz val="10"/>
        <rFont val="WenQuanYi Zen Hei"/>
        <family val="2"/>
      </rPr>
      <t xml:space="preserve">배리어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차단재 포함 시험</t>
    </r>
  </si>
  <si>
    <r>
      <rPr>
        <sz val="10"/>
        <rFont val="WenQuanYi Zen Hei"/>
        <family val="2"/>
      </rPr>
      <t xml:space="preserve">현행 방법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층간 배리어</t>
    </r>
  </si>
  <si>
    <r>
      <rPr>
        <sz val="10"/>
        <rFont val="WenQuanYi Zen Hei"/>
        <family val="2"/>
      </rPr>
      <t xml:space="preserve">배리어 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아래 열전대</t>
    </r>
  </si>
  <si>
    <r>
      <rPr>
        <sz val="10"/>
        <rFont val="WenQuanYi Zen Hei"/>
        <family val="2"/>
      </rPr>
      <t xml:space="preserve">재료 </t>
    </r>
    <r>
      <rPr>
        <sz val="10"/>
        <rFont val="Arial"/>
        <family val="0"/>
        <charset val="1"/>
      </rPr>
      <t xml:space="preserve">2–3</t>
    </r>
    <r>
      <rPr>
        <sz val="10"/>
        <rFont val="WenQuanYi Zen Hei"/>
        <family val="2"/>
      </rPr>
      <t xml:space="preserve">종</t>
    </r>
  </si>
  <si>
    <r>
      <rPr>
        <sz val="10"/>
        <rFont val="WenQuanYi Zen Hei"/>
        <family val="2"/>
      </rPr>
      <t xml:space="preserve">배리어 통과 시각 </t>
    </r>
    <r>
      <rPr>
        <sz val="10"/>
        <rFont val="Arial"/>
        <family val="0"/>
        <charset val="1"/>
      </rPr>
      <t xml:space="preserve">t_b</t>
    </r>
  </si>
  <si>
    <r>
      <rPr>
        <sz val="10"/>
        <rFont val="Arial"/>
        <family val="0"/>
        <charset val="1"/>
      </rPr>
      <t xml:space="preserve">M1 </t>
    </r>
    <r>
      <rPr>
        <sz val="10"/>
        <rFont val="WenQuanYi Zen Hei"/>
        <family val="2"/>
      </rPr>
      <t xml:space="preserve">효과 </t>
    </r>
    <r>
      <rPr>
        <sz val="10"/>
        <rFont val="Arial"/>
        <family val="0"/>
        <charset val="1"/>
      </rPr>
      <t xml:space="preserve">p_cb·p_e1 </t>
    </r>
    <r>
      <rPr>
        <sz val="10"/>
        <rFont val="WenQuanYi Zen Hei"/>
        <family val="2"/>
      </rPr>
      <t xml:space="preserve">근거</t>
    </r>
  </si>
  <si>
    <t xml:space="preserve">L3</t>
  </si>
  <si>
    <r>
      <rPr>
        <b val="true"/>
        <sz val="10"/>
        <rFont val="Arial"/>
        <family val="0"/>
        <charset val="1"/>
      </rPr>
      <t xml:space="preserve">FDS </t>
    </r>
    <r>
      <rPr>
        <b val="true"/>
        <sz val="10"/>
        <rFont val="WenQuanYi Zen Hei"/>
        <family val="2"/>
      </rPr>
      <t xml:space="preserve">중규모 재현</t>
    </r>
  </si>
  <si>
    <t xml:space="preserve">FDS 6.9 (PyroSim)</t>
  </si>
  <si>
    <r>
      <rPr>
        <sz val="10"/>
        <rFont val="WenQuanYi Zen Hei"/>
        <family val="2"/>
      </rPr>
      <t xml:space="preserve">격자 민감도</t>
    </r>
    <r>
      <rPr>
        <sz val="10"/>
        <rFont val="Arial"/>
        <family val="0"/>
        <charset val="1"/>
      </rPr>
      <t xml:space="preserve">, TGA </t>
    </r>
    <r>
      <rPr>
        <sz val="10"/>
        <rFont val="WenQuanYi Zen Hei"/>
        <family val="2"/>
      </rPr>
      <t xml:space="preserve">반응 입력</t>
    </r>
    <r>
      <rPr>
        <sz val="10"/>
        <rFont val="Arial"/>
        <family val="0"/>
        <charset val="1"/>
      </rPr>
      <t xml:space="preserve">(PyroSim </t>
    </r>
    <r>
      <rPr>
        <sz val="10"/>
        <rFont val="WenQuanYi Zen Hei"/>
        <family val="2"/>
      </rPr>
      <t xml:space="preserve">자료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실측 </t>
    </r>
    <r>
      <rPr>
        <sz val="10"/>
        <rFont val="Arial"/>
        <family val="0"/>
        <charset val="1"/>
      </rPr>
      <t xml:space="preserve">k·ρ·c</t>
    </r>
  </si>
  <si>
    <r>
      <rPr>
        <sz val="10"/>
        <rFont val="WenQuanYi Zen Hei"/>
        <family val="2"/>
      </rPr>
      <t xml:space="preserve">재료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종</t>
    </r>
  </si>
  <si>
    <r>
      <rPr>
        <sz val="10"/>
        <rFont val="Arial"/>
        <family val="0"/>
        <charset val="1"/>
      </rPr>
      <t xml:space="preserve">t600·</t>
    </r>
    <r>
      <rPr>
        <sz val="10"/>
        <rFont val="WenQuanYi Zen Hei"/>
        <family val="2"/>
      </rPr>
      <t xml:space="preserve">온도이력 오차</t>
    </r>
  </si>
  <si>
    <t xml:space="preserve">D1·D2</t>
  </si>
  <si>
    <r>
      <rPr>
        <sz val="10"/>
        <rFont val="WenQuanYi Zen Hei"/>
        <family val="2"/>
      </rPr>
      <t xml:space="preserve">모델 검증</t>
    </r>
    <r>
      <rPr>
        <sz val="10"/>
        <rFont val="Arial"/>
        <family val="0"/>
        <charset val="1"/>
      </rPr>
      <t xml:space="preserve">(NFPA 551 8.2.2)</t>
    </r>
  </si>
  <si>
    <r>
      <rPr>
        <b val="true"/>
        <sz val="10"/>
        <rFont val="Arial"/>
        <family val="0"/>
        <charset val="1"/>
      </rPr>
      <t xml:space="preserve">FDS </t>
    </r>
    <r>
      <rPr>
        <b val="true"/>
        <sz val="10"/>
        <rFont val="WenQuanYi Zen Hei"/>
        <family val="2"/>
      </rPr>
      <t xml:space="preserve">건물 외벽 시나리오</t>
    </r>
  </si>
  <si>
    <t xml:space="preserve">FDS 6.9</t>
  </si>
  <si>
    <r>
      <rPr>
        <sz val="10"/>
        <rFont val="Arial"/>
        <family val="0"/>
        <charset val="1"/>
      </rPr>
      <t xml:space="preserve">IE1 </t>
    </r>
    <r>
      <rPr>
        <sz val="10"/>
        <rFont val="WenQuanYi Zen Hei"/>
        <family val="2"/>
      </rPr>
      <t xml:space="preserve">창 분출화염</t>
    </r>
    <r>
      <rPr>
        <sz val="10"/>
        <rFont val="Arial"/>
        <family val="0"/>
        <charset val="1"/>
      </rPr>
      <t xml:space="preserve">, IE2 </t>
    </r>
    <r>
      <rPr>
        <sz val="10"/>
        <rFont val="WenQuanYi Zen Hei"/>
        <family val="2"/>
      </rPr>
      <t xml:space="preserve">외부 화원</t>
    </r>
    <r>
      <rPr>
        <sz val="10"/>
        <rFont val="Arial"/>
        <family val="0"/>
        <charset val="1"/>
      </rPr>
      <t xml:space="preserve">, 3–6</t>
    </r>
    <r>
      <rPr>
        <sz val="10"/>
        <rFont val="WenQuanYi Zen Hei"/>
        <family val="2"/>
      </rPr>
      <t xml:space="preserve">개 층</t>
    </r>
  </si>
  <si>
    <r>
      <rPr>
        <sz val="10"/>
        <rFont val="WenQuanYi Zen Hei"/>
        <family val="2"/>
      </rPr>
      <t xml:space="preserve">재료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종 </t>
    </r>
    <r>
      <rPr>
        <sz val="10"/>
        <rFont val="Arial"/>
        <family val="0"/>
        <charset val="1"/>
      </rPr>
      <t xml:space="preserve">× 2</t>
    </r>
  </si>
  <si>
    <r>
      <rPr>
        <sz val="10"/>
        <rFont val="WenQuanYi Zen Hei"/>
        <family val="2"/>
      </rPr>
      <t xml:space="preserve">층별 도달시각 → </t>
    </r>
    <r>
      <rPr>
        <sz val="10"/>
        <rFont val="Arial"/>
        <family val="0"/>
        <charset val="1"/>
      </rPr>
      <t xml:space="preserve">s, </t>
    </r>
    <r>
      <rPr>
        <sz val="10"/>
        <rFont val="WenQuanYi Zen Hei"/>
        <family val="2"/>
      </rPr>
      <t xml:space="preserve">창 열류속</t>
    </r>
    <r>
      <rPr>
        <sz val="10"/>
        <rFont val="Arial"/>
        <family val="0"/>
        <charset val="1"/>
      </rPr>
      <t xml:space="preserve">, FED</t>
    </r>
  </si>
  <si>
    <t xml:space="preserve">D2·D3·D6</t>
  </si>
  <si>
    <r>
      <rPr>
        <sz val="10"/>
        <rFont val="Arial"/>
        <family val="0"/>
        <charset val="1"/>
      </rPr>
      <t xml:space="preserve">s (</t>
    </r>
    <r>
      <rPr>
        <sz val="10"/>
        <rFont val="WenQuanYi Zen Hei"/>
        <family val="2"/>
      </rPr>
      <t xml:space="preserve">건물 위험도의 최대 불확실성</t>
    </r>
    <r>
      <rPr>
        <sz val="10"/>
        <rFont val="Arial"/>
        <family val="0"/>
        <charset val="1"/>
      </rPr>
      <t xml:space="preserve">)</t>
    </r>
  </si>
  <si>
    <t xml:space="preserve">L3+</t>
  </si>
  <si>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선택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실대형 시험</t>
    </r>
  </si>
  <si>
    <t xml:space="preserve">KS F 8414</t>
  </si>
  <si>
    <r>
      <rPr>
        <sz val="10"/>
        <rFont val="Arial"/>
        <family val="0"/>
        <charset val="1"/>
      </rPr>
      <t xml:space="preserve">2–3</t>
    </r>
    <r>
      <rPr>
        <sz val="10"/>
        <rFont val="WenQuanYi Zen Hei"/>
        <family val="2"/>
      </rPr>
      <t xml:space="preserve">종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</si>
  <si>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</si>
  <si>
    <t xml:space="preserve">층간 확산시간</t>
  </si>
  <si>
    <r>
      <rPr>
        <sz val="10"/>
        <rFont val="Arial"/>
        <family val="0"/>
        <charset val="1"/>
      </rPr>
      <t xml:space="preserve">s </t>
    </r>
    <r>
      <rPr>
        <sz val="10"/>
        <rFont val="WenQuanYi Zen Hei"/>
        <family val="2"/>
      </rPr>
      <t xml:space="preserve">직접 보정</t>
    </r>
  </si>
  <si>
    <r>
      <rPr>
        <b val="true"/>
        <sz val="14"/>
        <rFont val="WenQuanYi Zen Hei"/>
        <family val="2"/>
      </rPr>
      <t xml:space="preserve">⑬ 검증 — 엑셀 수식과 파이썬</t>
    </r>
    <r>
      <rPr>
        <b val="true"/>
        <sz val="14"/>
        <rFont val="Arial"/>
        <family val="0"/>
        <charset val="1"/>
      </rPr>
      <t xml:space="preserve">(multiscale.py) </t>
    </r>
    <r>
      <rPr>
        <b val="true"/>
        <sz val="14"/>
        <rFont val="WenQuanYi Zen Hei"/>
        <family val="2"/>
      </rPr>
      <t xml:space="preserve">값 비교</t>
    </r>
  </si>
  <si>
    <r>
      <rPr>
        <sz val="9"/>
        <color rgb="FF4B5563"/>
        <rFont val="WenQuanYi Zen Hei"/>
        <family val="2"/>
      </rPr>
      <t xml:space="preserve">두 구현이 같은 값을 내면 계산 단계의 오류가 없다는 근거입니다</t>
    </r>
    <r>
      <rPr>
        <sz val="9"/>
        <color rgb="FF4B5563"/>
        <rFont val="Arial"/>
        <family val="0"/>
        <charset val="1"/>
      </rPr>
      <t xml:space="preserve">(NFPA 551 8.2.1.1).</t>
    </r>
  </si>
  <si>
    <t xml:space="preserve">파이썬</t>
  </si>
  <si>
    <t xml:space="preserve">엑셀</t>
  </si>
  <si>
    <t xml:space="preserve">상대차</t>
  </si>
  <si>
    <r>
      <rPr>
        <b val="true"/>
        <sz val="10"/>
        <rFont val="Arial"/>
        <family val="0"/>
        <charset val="1"/>
      </rPr>
      <t xml:space="preserve">τ (TGA </t>
    </r>
    <r>
      <rPr>
        <b val="true"/>
        <sz val="10"/>
        <rFont val="WenQuanYi Zen Hei"/>
        <family val="2"/>
      </rPr>
      <t xml:space="preserve">예측 편차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</si>
  <si>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준불연 제품 간 </t>
    </r>
    <r>
      <rPr>
        <b val="true"/>
        <sz val="10"/>
        <rFont val="Arial"/>
        <family val="0"/>
        <charset val="1"/>
      </rPr>
      <t xml:space="preserve">SD</t>
    </r>
  </si>
  <si>
    <r>
      <rPr>
        <b val="true"/>
        <sz val="10"/>
        <rFont val="Arial"/>
        <family val="0"/>
        <charset val="1"/>
      </rPr>
      <t xml:space="preserve">PIR_SC t600 </t>
    </r>
    <r>
      <rPr>
        <b val="true"/>
        <sz val="10"/>
        <rFont val="WenQuanYi Zen Hei"/>
        <family val="2"/>
      </rPr>
      <t xml:space="preserve">통합 </t>
    </r>
    <r>
      <rPr>
        <b val="true"/>
        <sz val="10"/>
        <rFont val="Arial"/>
        <family val="0"/>
        <charset val="1"/>
      </rPr>
      <t xml:space="preserve">(s)</t>
    </r>
  </si>
  <si>
    <r>
      <rPr>
        <b val="true"/>
        <sz val="10"/>
        <rFont val="Arial"/>
        <family val="0"/>
        <charset val="1"/>
      </rPr>
      <t xml:space="preserve">PIR_SC TGA </t>
    </r>
    <r>
      <rPr>
        <b val="true"/>
        <sz val="10"/>
        <rFont val="WenQuanYi Zen Hei"/>
        <family val="2"/>
      </rPr>
      <t xml:space="preserve">무게 </t>
    </r>
    <r>
      <rPr>
        <b val="true"/>
        <sz val="10"/>
        <rFont val="Arial"/>
        <family val="0"/>
        <charset val="1"/>
      </rPr>
      <t xml:space="preserve">w</t>
    </r>
  </si>
  <si>
    <r>
      <rPr>
        <b val="true"/>
        <sz val="10"/>
        <rFont val="Arial"/>
        <family val="0"/>
        <charset val="1"/>
      </rPr>
      <t xml:space="preserve">PIR_SC z (</t>
    </r>
    <r>
      <rPr>
        <b val="true"/>
        <sz val="10"/>
        <rFont val="WenQuanYi Zen Hei"/>
        <family val="2"/>
      </rPr>
      <t xml:space="preserve">확산 정합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</si>
  <si>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PIR_SC p_B </t>
    </r>
    <r>
      <rPr>
        <b val="true"/>
        <sz val="10"/>
        <rFont val="WenQuanYi Zen Hei"/>
        <family val="2"/>
      </rPr>
      <t xml:space="preserve">통합</t>
    </r>
  </si>
  <si>
    <r>
      <rPr>
        <b val="true"/>
        <sz val="10"/>
        <rFont val="Arial"/>
        <family val="0"/>
        <charset val="1"/>
      </rPr>
      <t xml:space="preserve">PIR_SC </t>
    </r>
    <r>
      <rPr>
        <b val="true"/>
        <sz val="10"/>
        <rFont val="WenQuanYi Zen Hei"/>
        <family val="2"/>
      </rPr>
      <t xml:space="preserve">예측확률 </t>
    </r>
    <r>
      <rPr>
        <b val="true"/>
        <sz val="10"/>
        <rFont val="Arial"/>
        <family val="0"/>
        <charset val="1"/>
      </rPr>
      <t xml:space="preserve">P(k)</t>
    </r>
  </si>
  <si>
    <r>
      <rPr>
        <b val="true"/>
        <sz val="10"/>
        <rFont val="Arial"/>
        <family val="0"/>
        <charset val="1"/>
      </rPr>
      <t xml:space="preserve">PF_out t600 </t>
    </r>
    <r>
      <rPr>
        <b val="true"/>
        <sz val="10"/>
        <rFont val="WenQuanYi Zen Hei"/>
        <family val="2"/>
      </rPr>
      <t xml:space="preserve">통합 </t>
    </r>
    <r>
      <rPr>
        <b val="true"/>
        <sz val="10"/>
        <rFont val="Arial"/>
        <family val="0"/>
        <charset val="1"/>
      </rPr>
      <t xml:space="preserve">(s)</t>
    </r>
  </si>
  <si>
    <r>
      <rPr>
        <b val="true"/>
        <sz val="10"/>
        <rFont val="Arial"/>
        <family val="0"/>
        <charset val="1"/>
      </rPr>
      <t xml:space="preserve">PF_out TGA </t>
    </r>
    <r>
      <rPr>
        <b val="true"/>
        <sz val="10"/>
        <rFont val="WenQuanYi Zen Hei"/>
        <family val="2"/>
      </rPr>
      <t xml:space="preserve">무게 </t>
    </r>
    <r>
      <rPr>
        <b val="true"/>
        <sz val="10"/>
        <rFont val="Arial"/>
        <family val="0"/>
        <charset val="1"/>
      </rPr>
      <t xml:space="preserve">w</t>
    </r>
  </si>
  <si>
    <r>
      <rPr>
        <b val="true"/>
        <sz val="10"/>
        <rFont val="Arial"/>
        <family val="0"/>
        <charset val="1"/>
      </rPr>
      <t xml:space="preserve">PF_out z (</t>
    </r>
    <r>
      <rPr>
        <b val="true"/>
        <sz val="10"/>
        <rFont val="WenQuanYi Zen Hei"/>
        <family val="2"/>
      </rPr>
      <t xml:space="preserve">확산 정합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</si>
  <si>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PF_out p_B </t>
    </r>
    <r>
      <rPr>
        <b val="true"/>
        <sz val="10"/>
        <rFont val="WenQuanYi Zen Hei"/>
        <family val="2"/>
      </rPr>
      <t xml:space="preserve">통합</t>
    </r>
  </si>
  <si>
    <r>
      <rPr>
        <b val="true"/>
        <sz val="10"/>
        <rFont val="Arial"/>
        <family val="0"/>
        <charset val="1"/>
      </rPr>
      <t xml:space="preserve">PF_out </t>
    </r>
    <r>
      <rPr>
        <b val="true"/>
        <sz val="10"/>
        <rFont val="WenQuanYi Zen Hei"/>
        <family val="2"/>
      </rPr>
      <t xml:space="preserve">예측확률 </t>
    </r>
    <r>
      <rPr>
        <b val="true"/>
        <sz val="10"/>
        <rFont val="Arial"/>
        <family val="0"/>
        <charset val="1"/>
      </rPr>
      <t xml:space="preserve">P(k)</t>
    </r>
  </si>
  <si>
    <r>
      <rPr>
        <b val="true"/>
        <sz val="10"/>
        <rFont val="Arial"/>
        <family val="0"/>
        <charset val="1"/>
      </rPr>
      <t xml:space="preserve">PF_in t600 </t>
    </r>
    <r>
      <rPr>
        <b val="true"/>
        <sz val="10"/>
        <rFont val="WenQuanYi Zen Hei"/>
        <family val="2"/>
      </rPr>
      <t xml:space="preserve">통합 </t>
    </r>
    <r>
      <rPr>
        <b val="true"/>
        <sz val="10"/>
        <rFont val="Arial"/>
        <family val="0"/>
        <charset val="1"/>
      </rPr>
      <t xml:space="preserve">(s)</t>
    </r>
  </si>
  <si>
    <r>
      <rPr>
        <b val="true"/>
        <sz val="10"/>
        <rFont val="Arial"/>
        <family val="0"/>
        <charset val="1"/>
      </rPr>
      <t xml:space="preserve">PF_in TGA </t>
    </r>
    <r>
      <rPr>
        <b val="true"/>
        <sz val="10"/>
        <rFont val="WenQuanYi Zen Hei"/>
        <family val="2"/>
      </rPr>
      <t xml:space="preserve">무게 </t>
    </r>
    <r>
      <rPr>
        <b val="true"/>
        <sz val="10"/>
        <rFont val="Arial"/>
        <family val="0"/>
        <charset val="1"/>
      </rPr>
      <t xml:space="preserve">w</t>
    </r>
  </si>
  <si>
    <r>
      <rPr>
        <b val="true"/>
        <sz val="10"/>
        <rFont val="Arial"/>
        <family val="0"/>
        <charset val="1"/>
      </rPr>
      <t xml:space="preserve">PF_in z (</t>
    </r>
    <r>
      <rPr>
        <b val="true"/>
        <sz val="10"/>
        <rFont val="WenQuanYi Zen Hei"/>
        <family val="2"/>
      </rPr>
      <t xml:space="preserve">확산 정합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</si>
  <si>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PF_in p_B </t>
    </r>
    <r>
      <rPr>
        <b val="true"/>
        <sz val="10"/>
        <rFont val="WenQuanYi Zen Hei"/>
        <family val="2"/>
      </rPr>
      <t xml:space="preserve">통합</t>
    </r>
  </si>
  <si>
    <r>
      <rPr>
        <b val="true"/>
        <sz val="10"/>
        <rFont val="Arial"/>
        <family val="0"/>
        <charset val="1"/>
      </rPr>
      <t xml:space="preserve">PF_in </t>
    </r>
    <r>
      <rPr>
        <b val="true"/>
        <sz val="10"/>
        <rFont val="WenQuanYi Zen Hei"/>
        <family val="2"/>
      </rPr>
      <t xml:space="preserve">예측확률 </t>
    </r>
    <r>
      <rPr>
        <b val="true"/>
        <sz val="10"/>
        <rFont val="Arial"/>
        <family val="0"/>
        <charset val="1"/>
      </rPr>
      <t xml:space="preserve">P(k)</t>
    </r>
  </si>
  <si>
    <r>
      <rPr>
        <b val="true"/>
        <sz val="10"/>
        <rFont val="Arial"/>
        <family val="0"/>
        <charset val="1"/>
      </rPr>
      <t xml:space="preserve">PIR_C z (</t>
    </r>
    <r>
      <rPr>
        <b val="true"/>
        <sz val="10"/>
        <rFont val="WenQuanYi Zen Hei"/>
        <family val="2"/>
      </rPr>
      <t xml:space="preserve">게이트 없음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</si>
  <si>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EPS_SC z (</t>
    </r>
    <r>
      <rPr>
        <b val="true"/>
        <sz val="10"/>
        <rFont val="WenQuanYi Zen Hei"/>
        <family val="2"/>
      </rPr>
      <t xml:space="preserve">게이트 없음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</si>
  <si>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EPS_SC </t>
    </r>
    <r>
      <rPr>
        <b val="true"/>
        <sz val="10"/>
        <rFont val="WenQuanYi Zen Hei"/>
        <family val="2"/>
      </rPr>
      <t xml:space="preserve">예측확률 </t>
    </r>
    <r>
      <rPr>
        <b val="true"/>
        <sz val="10"/>
        <rFont val="Arial"/>
        <family val="0"/>
        <charset val="1"/>
      </rPr>
      <t xml:space="preserve">P(k)</t>
    </r>
  </si>
  <si>
    <t xml:space="preserve">최대 상대차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</si>
</sst>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00"/>
    <numFmt numFmtId="166" formatCode="0.000"/>
    <numFmt numFmtId="167" formatCode="0"/>
    <numFmt numFmtId="168" formatCode="0.00"/>
    <numFmt numFmtId="169" formatCode="0.0"/>
    <numFmt numFmtId="170" formatCode="0.00000"/>
    <numFmt numFmtId="171" formatCode="0.000000"/>
    <numFmt numFmtId="172" formatCode="General"/>
    <numFmt numFmtId="173" formatCode="0%"/>
    <numFmt numFmtId="174" formatCode="0.00E+00"/>
    <numFmt numFmtId="175" formatCode="0.0%"/>
    <numFmt numFmtId="176" formatCode="0.0E+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sz val="9"/>
      <color rgb="FF4B5563"/>
      <name val="Arial"/>
      <family val="0"/>
      <charset val="1"/>
    </font>
    <font>
      <sz val="9"/>
      <color rgb="FF4B5563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WenQuanYi Zen Hei"/>
      <family val="2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6B7280"/>
      <name val="WenQuanYi Zen Hei"/>
      <family val="2"/>
    </font>
    <font>
      <i val="true"/>
      <sz val="10"/>
      <color rgb="FF6B728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WenQuanYi Zen Hei"/>
      <family val="2"/>
    </font>
  </fonts>
  <fills count="8">
    <fill>
      <patternFill patternType="none"/>
    </fill>
    <fill>
      <patternFill patternType="gray125"/>
    </fill>
    <fill>
      <patternFill patternType="solid">
        <fgColor rgb="FF23303D"/>
        <bgColor rgb="FF333300"/>
      </patternFill>
    </fill>
    <fill>
      <patternFill patternType="solid">
        <fgColor rgb="FFFDE2E2"/>
        <bgColor rgb="FFFEF2D3"/>
      </patternFill>
    </fill>
    <fill>
      <patternFill patternType="solid">
        <fgColor rgb="FFE2F3E2"/>
        <bgColor rgb="FFF3F4F6"/>
      </patternFill>
    </fill>
    <fill>
      <patternFill patternType="solid">
        <fgColor rgb="FFF3F4F6"/>
        <bgColor rgb="FFFFFFFF"/>
      </patternFill>
    </fill>
    <fill>
      <patternFill patternType="solid">
        <fgColor rgb="FFFFF2CC"/>
        <bgColor rgb="FFFEF2D3"/>
      </patternFill>
    </fill>
    <fill>
      <patternFill patternType="solid">
        <fgColor rgb="FFFEF2D3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3E2"/>
      <rgbColor rgb="FFFEF2D3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4B5563"/>
      <rgbColor rgb="FF2330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6"/>
  </cols>
  <sheetData>
    <row r="1" customFormat="false" ht="19.4" hidden="false" customHeight="false" outlineLevel="0" collapsed="false">
      <c r="A1" s="1" t="s">
        <v>0</v>
      </c>
    </row>
    <row r="3" customFormat="false" ht="45.75" hidden="false" customHeight="true" outlineLevel="0" collapsed="false">
      <c r="A3" s="2" t="s">
        <v>1</v>
      </c>
      <c r="B3" s="3" t="s">
        <v>2</v>
      </c>
    </row>
    <row r="4" customFormat="false" ht="45.75" hidden="false" customHeight="true" outlineLevel="0" collapsed="false">
      <c r="A4" s="2" t="s">
        <v>3</v>
      </c>
      <c r="B4" s="3" t="s">
        <v>4</v>
      </c>
    </row>
    <row r="5" customFormat="false" ht="45.75" hidden="false" customHeight="true" outlineLevel="0" collapsed="false">
      <c r="A5" s="2" t="s">
        <v>5</v>
      </c>
      <c r="B5" s="4" t="s">
        <v>6</v>
      </c>
    </row>
    <row r="6" customFormat="false" ht="45.75" hidden="false" customHeight="true" outlineLevel="0" collapsed="false">
      <c r="A6" s="2" t="s">
        <v>7</v>
      </c>
      <c r="B6" s="3" t="s">
        <v>8</v>
      </c>
    </row>
    <row r="7" customFormat="false" ht="45.75" hidden="false" customHeight="true" outlineLevel="0" collapsed="false">
      <c r="A7" s="2" t="s">
        <v>9</v>
      </c>
      <c r="B7" s="3" t="s">
        <v>10</v>
      </c>
    </row>
    <row r="8" customFormat="false" ht="45.75" hidden="false" customHeight="true" outlineLevel="0" collapsed="false">
      <c r="A8" s="2" t="s">
        <v>11</v>
      </c>
      <c r="B8" s="4" t="s">
        <v>12</v>
      </c>
    </row>
    <row r="9" customFormat="false" ht="45.75" hidden="false" customHeight="true" outlineLevel="0" collapsed="false">
      <c r="A9" s="2" t="s">
        <v>13</v>
      </c>
      <c r="B9" s="3" t="s">
        <v>14</v>
      </c>
    </row>
    <row r="10" customFormat="false" ht="45.75" hidden="false" customHeight="true" outlineLevel="0" collapsed="false">
      <c r="A10" s="2" t="s">
        <v>15</v>
      </c>
      <c r="B10" s="4" t="s">
        <v>16</v>
      </c>
    </row>
    <row r="11" customFormat="false" ht="45.75" hidden="false" customHeight="true" outlineLevel="0" collapsed="false">
      <c r="A11" s="2" t="s">
        <v>17</v>
      </c>
      <c r="B11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30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7" min="6" style="0" width="22"/>
  </cols>
  <sheetData>
    <row r="1" customFormat="false" ht="19.4" hidden="false" customHeight="false" outlineLevel="0" collapsed="false">
      <c r="A1" s="1" t="s">
        <v>19</v>
      </c>
    </row>
    <row r="2" customFormat="false" ht="15" hidden="false" customHeight="false" outlineLevel="0" collapsed="false">
      <c r="A2" s="5" t="s">
        <v>20</v>
      </c>
    </row>
    <row r="4" customFormat="false" ht="30" hidden="false" customHeight="true" outlineLevel="0" collapsed="false">
      <c r="A4" s="6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</row>
    <row r="5" customFormat="false" ht="57.75" hidden="false" customHeight="true" outlineLevel="0" collapsed="false">
      <c r="A5" s="8" t="s">
        <v>28</v>
      </c>
      <c r="B5" s="9" t="s">
        <v>29</v>
      </c>
      <c r="C5" s="10" t="s">
        <v>30</v>
      </c>
      <c r="D5" s="11" t="s">
        <v>31</v>
      </c>
      <c r="E5" s="10" t="s">
        <v>32</v>
      </c>
      <c r="F5" s="11" t="s">
        <v>33</v>
      </c>
      <c r="G5" s="4" t="s">
        <v>34</v>
      </c>
    </row>
    <row r="6" customFormat="false" ht="57.75" hidden="false" customHeight="true" outlineLevel="0" collapsed="false">
      <c r="A6" s="8" t="s">
        <v>35</v>
      </c>
      <c r="B6" s="9" t="s">
        <v>36</v>
      </c>
      <c r="C6" s="10" t="s">
        <v>37</v>
      </c>
      <c r="D6" s="11" t="s">
        <v>38</v>
      </c>
      <c r="E6" s="10" t="s">
        <v>39</v>
      </c>
      <c r="F6" s="11" t="s">
        <v>40</v>
      </c>
      <c r="G6" s="4" t="s">
        <v>41</v>
      </c>
    </row>
    <row r="7" customFormat="false" ht="57.75" hidden="false" customHeight="true" outlineLevel="0" collapsed="false">
      <c r="A7" s="8" t="s">
        <v>42</v>
      </c>
      <c r="B7" s="9" t="s">
        <v>43</v>
      </c>
      <c r="C7" s="12" t="s">
        <v>44</v>
      </c>
      <c r="D7" s="13" t="s">
        <v>45</v>
      </c>
      <c r="E7" s="10" t="s">
        <v>46</v>
      </c>
      <c r="F7" s="11" t="s">
        <v>47</v>
      </c>
      <c r="G7" s="4" t="s">
        <v>48</v>
      </c>
    </row>
    <row r="8" customFormat="false" ht="57.75" hidden="false" customHeight="true" outlineLevel="0" collapsed="false">
      <c r="A8" s="8" t="s">
        <v>49</v>
      </c>
      <c r="B8" s="11" t="s">
        <v>50</v>
      </c>
      <c r="C8" s="10" t="s">
        <v>51</v>
      </c>
      <c r="D8" s="13" t="s">
        <v>45</v>
      </c>
      <c r="E8" s="14" t="s">
        <v>52</v>
      </c>
      <c r="F8" s="11" t="s">
        <v>53</v>
      </c>
      <c r="G8" s="4" t="s">
        <v>54</v>
      </c>
    </row>
    <row r="9" customFormat="false" ht="57.75" hidden="false" customHeight="true" outlineLevel="0" collapsed="false">
      <c r="A9" s="8" t="s">
        <v>55</v>
      </c>
      <c r="B9" s="11" t="s">
        <v>56</v>
      </c>
      <c r="C9" s="14" t="s">
        <v>57</v>
      </c>
      <c r="D9" s="13" t="s">
        <v>45</v>
      </c>
      <c r="E9" s="14" t="s">
        <v>58</v>
      </c>
      <c r="F9" s="12" t="s">
        <v>59</v>
      </c>
      <c r="G9" s="4" t="s">
        <v>60</v>
      </c>
    </row>
    <row r="10" customFormat="false" ht="57.75" hidden="false" customHeight="true" outlineLevel="0" collapsed="false">
      <c r="A10" s="8" t="s">
        <v>61</v>
      </c>
      <c r="B10" s="9" t="s">
        <v>62</v>
      </c>
      <c r="C10" s="13" t="s">
        <v>45</v>
      </c>
      <c r="D10" s="9" t="s">
        <v>63</v>
      </c>
      <c r="E10" s="11" t="s">
        <v>64</v>
      </c>
      <c r="F10" s="9" t="s">
        <v>65</v>
      </c>
      <c r="G10" s="4" t="s">
        <v>66</v>
      </c>
    </row>
    <row r="11" customFormat="false" ht="57.75" hidden="false" customHeight="true" outlineLevel="0" collapsed="false">
      <c r="A11" s="8" t="s">
        <v>67</v>
      </c>
      <c r="B11" s="3" t="s">
        <v>68</v>
      </c>
      <c r="C11" s="14" t="s">
        <v>69</v>
      </c>
      <c r="D11" s="11" t="s">
        <v>70</v>
      </c>
      <c r="E11" s="14" t="s">
        <v>71</v>
      </c>
      <c r="F11" s="13" t="s">
        <v>45</v>
      </c>
      <c r="G11" s="3" t="s">
        <v>72</v>
      </c>
    </row>
    <row r="13" customFormat="false" ht="15" hidden="false" customHeight="false" outlineLevel="0" collapsed="false">
      <c r="A13" s="15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1" min="9" style="0" width="10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9"/>
    <col collapsed="false" customWidth="true" hidden="false" outlineLevel="0" max="19" min="19" style="0" width="10"/>
    <col collapsed="false" customWidth="true" hidden="false" outlineLevel="0" max="20" min="20" style="0" width="9"/>
    <col collapsed="false" customWidth="true" hidden="false" outlineLevel="0" max="21" min="21" style="0" width="12"/>
    <col collapsed="false" customWidth="true" hidden="false" outlineLevel="0" max="22" min="22" style="0" width="9"/>
  </cols>
  <sheetData>
    <row r="1" customFormat="false" ht="19.4" hidden="false" customHeight="false" outlineLevel="0" collapsed="false">
      <c r="A1" s="16" t="s">
        <v>74</v>
      </c>
    </row>
    <row r="2" customFormat="false" ht="15" hidden="false" customHeight="false" outlineLevel="0" collapsed="false">
      <c r="A2" s="5" t="s">
        <v>75</v>
      </c>
    </row>
    <row r="4" customFormat="false" ht="15" hidden="false" customHeight="true" outlineLevel="0" collapsed="false">
      <c r="A4" s="17" t="s">
        <v>76</v>
      </c>
      <c r="B4" s="17"/>
      <c r="C4" s="17"/>
      <c r="D4" s="17"/>
      <c r="E4" s="17"/>
      <c r="F4" s="17"/>
      <c r="G4" s="17"/>
      <c r="H4" s="17"/>
    </row>
    <row r="5" customFormat="false" ht="74.6" hidden="false" customHeight="false" outlineLevel="0" collapsed="false">
      <c r="A5" s="8" t="s">
        <v>77</v>
      </c>
      <c r="B5" s="3" t="s">
        <v>78</v>
      </c>
      <c r="C5" s="18" t="n">
        <v>0.0088</v>
      </c>
      <c r="D5" s="19" t="s">
        <v>79</v>
      </c>
    </row>
    <row r="6" customFormat="false" ht="74.6" hidden="false" customHeight="false" outlineLevel="0" collapsed="false">
      <c r="A6" s="8" t="s">
        <v>80</v>
      </c>
      <c r="B6" s="3" t="s">
        <v>81</v>
      </c>
      <c r="C6" s="20" t="n">
        <v>0.01</v>
      </c>
      <c r="D6" s="19" t="s">
        <v>82</v>
      </c>
    </row>
    <row r="7" customFormat="false" ht="52.2" hidden="false" customHeight="false" outlineLevel="0" collapsed="false">
      <c r="A7" s="8" t="s">
        <v>83</v>
      </c>
      <c r="B7" s="3" t="s">
        <v>84</v>
      </c>
      <c r="C7" s="21" t="n">
        <v>8</v>
      </c>
      <c r="D7" s="19" t="s">
        <v>85</v>
      </c>
    </row>
    <row r="8" customFormat="false" ht="87.3" hidden="false" customHeight="false" outlineLevel="0" collapsed="false">
      <c r="A8" s="8" t="s">
        <v>86</v>
      </c>
      <c r="B8" s="3" t="s">
        <v>87</v>
      </c>
      <c r="C8" s="21" t="n">
        <v>10</v>
      </c>
      <c r="D8" s="19" t="s">
        <v>88</v>
      </c>
    </row>
    <row r="9" customFormat="false" ht="98.5" hidden="false" customHeight="false" outlineLevel="0" collapsed="false">
      <c r="A9" s="8" t="s">
        <v>89</v>
      </c>
      <c r="B9" s="3" t="s">
        <v>90</v>
      </c>
      <c r="C9" s="21" t="n">
        <v>1079</v>
      </c>
      <c r="D9" s="19" t="s">
        <v>88</v>
      </c>
    </row>
    <row r="11" customFormat="false" ht="15" hidden="false" customHeight="true" outlineLevel="0" collapsed="false">
      <c r="A11" s="22" t="s">
        <v>91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customFormat="false" ht="43.5" hidden="false" customHeight="true" outlineLevel="0" collapsed="false">
      <c r="A12" s="6" t="s">
        <v>92</v>
      </c>
      <c r="B12" s="6" t="s">
        <v>93</v>
      </c>
      <c r="C12" s="6" t="s">
        <v>94</v>
      </c>
      <c r="D12" s="6" t="s">
        <v>95</v>
      </c>
      <c r="E12" s="6" t="s">
        <v>96</v>
      </c>
      <c r="F12" s="7" t="s">
        <v>97</v>
      </c>
      <c r="G12" s="7" t="s">
        <v>98</v>
      </c>
      <c r="H12" s="7" t="s">
        <v>99</v>
      </c>
      <c r="I12" s="7" t="s">
        <v>100</v>
      </c>
      <c r="J12" s="7" t="s">
        <v>101</v>
      </c>
      <c r="K12" s="6" t="s">
        <v>102</v>
      </c>
      <c r="L12" s="7" t="s">
        <v>103</v>
      </c>
      <c r="M12" s="6" t="s">
        <v>104</v>
      </c>
      <c r="N12" s="7" t="s">
        <v>105</v>
      </c>
      <c r="O12" s="7" t="s">
        <v>106</v>
      </c>
      <c r="P12" s="7" t="s">
        <v>107</v>
      </c>
      <c r="Q12" s="7" t="s">
        <v>108</v>
      </c>
      <c r="R12" s="7" t="s">
        <v>109</v>
      </c>
      <c r="S12" s="7" t="s">
        <v>110</v>
      </c>
      <c r="T12" s="7" t="s">
        <v>111</v>
      </c>
      <c r="U12" s="6" t="s">
        <v>112</v>
      </c>
      <c r="V12" s="7" t="s">
        <v>113</v>
      </c>
    </row>
    <row r="13" customFormat="false" ht="15" hidden="false" customHeight="false" outlineLevel="0" collapsed="false">
      <c r="A13" s="23" t="s">
        <v>114</v>
      </c>
      <c r="B13" s="24" t="s">
        <v>115</v>
      </c>
      <c r="C13" s="24" t="n">
        <v>50</v>
      </c>
      <c r="D13" s="24" t="n">
        <v>50</v>
      </c>
      <c r="E13" s="25" t="s">
        <v>116</v>
      </c>
      <c r="F13" s="25" t="n">
        <v>42</v>
      </c>
      <c r="G13" s="25" t="n">
        <v>180</v>
      </c>
      <c r="H13" s="25" t="n">
        <v>65</v>
      </c>
      <c r="I13" s="26" t="n">
        <v>6.5</v>
      </c>
      <c r="J13" s="26" t="n">
        <v>14</v>
      </c>
      <c r="K13" s="25" t="n">
        <v>9.5</v>
      </c>
      <c r="L13" s="25" t="n">
        <v>0</v>
      </c>
      <c r="M13" s="24" t="s">
        <v>117</v>
      </c>
      <c r="N13" s="25" t="n">
        <v>1.2</v>
      </c>
      <c r="O13" s="26" t="n">
        <v>0.05</v>
      </c>
      <c r="P13" s="26" t="n">
        <f aca="false">IF(OR(G13="",H13=""),"",G13/H13)</f>
        <v>2.76923076923077</v>
      </c>
      <c r="Q13" s="27" t="n">
        <f aca="false">IF(OR(F13="",G13=""),"",F13/G13)</f>
        <v>0.233333333333333</v>
      </c>
      <c r="R13" s="28" t="n">
        <f aca="false">IF(OR(J13="",K13=""),"",J13*A_exp/(K13/1000))</f>
        <v>12.9684210526316</v>
      </c>
      <c r="S13" s="29" t="n">
        <f aca="false">IF(OR(J13="",G13=""),"",J13*1000/G13)</f>
        <v>77.7777777777778</v>
      </c>
      <c r="T13" s="26" t="n">
        <f aca="false">IF(OR(F13="",G13="",J13=""),"",k_f*G13-1-S13/F13)</f>
        <v>-1.05185185185185</v>
      </c>
      <c r="U13" s="25" t="str">
        <f aca="false">IF(OR(C13&lt;&gt;50,I13="",L13="",M13=""),"",IF(AND(I13&lt;=thr_lim,L13&lt;dur_lim,M13="N"),"충족","미충족"))</f>
        <v>충족</v>
      </c>
      <c r="V13" s="30" t="n">
        <f aca="false">IF(F13="","",1/SQRT(F13))</f>
        <v>0.154303349962092</v>
      </c>
    </row>
    <row r="14" customFormat="false" ht="15" hidden="false" customHeight="false" outlineLevel="0" collapsed="false">
      <c r="A14" s="31"/>
      <c r="B14" s="32"/>
      <c r="C14" s="32"/>
      <c r="D14" s="32"/>
      <c r="E14" s="32"/>
      <c r="F14" s="32"/>
      <c r="G14" s="32"/>
      <c r="H14" s="32"/>
      <c r="I14" s="33"/>
      <c r="J14" s="33"/>
      <c r="K14" s="32"/>
      <c r="L14" s="32"/>
      <c r="M14" s="32"/>
      <c r="N14" s="32"/>
      <c r="O14" s="33"/>
      <c r="P14" s="34" t="str">
        <f aca="false">IF(OR(G14="",H14=""),"",G14/H14)</f>
        <v/>
      </c>
      <c r="Q14" s="35" t="str">
        <f aca="false">IF(OR(F14="",G14=""),"",F14/G14)</f>
        <v/>
      </c>
      <c r="R14" s="36" t="str">
        <f aca="false">IF(OR(J14="",K14=""),"",J14*A_exp/(K14/1000))</f>
        <v/>
      </c>
      <c r="S14" s="37" t="str">
        <f aca="false">IF(OR(J14="",G14=""),"",J14*1000/G14)</f>
        <v/>
      </c>
      <c r="T14" s="34" t="str">
        <f aca="false">IF(OR(F14="",G14="",J14=""),"",k_f*G14-1-S14/F14)</f>
        <v/>
      </c>
      <c r="U14" s="19" t="str">
        <f aca="false">IF(OR(C14&lt;&gt;50,I14="",L14="",M14=""),"",IF(AND(I14&lt;=thr_lim,L14&lt;dur_lim,M14="N"),"충족","미충족"))</f>
        <v/>
      </c>
      <c r="V14" s="38" t="str">
        <f aca="false">IF(F14="","",1/SQRT(F14))</f>
        <v/>
      </c>
    </row>
    <row r="15" customFormat="false" ht="15" hidden="false" customHeight="false" outlineLevel="0" collapsed="false">
      <c r="A15" s="31"/>
      <c r="B15" s="32"/>
      <c r="C15" s="32"/>
      <c r="D15" s="32"/>
      <c r="E15" s="32"/>
      <c r="F15" s="32"/>
      <c r="G15" s="32"/>
      <c r="H15" s="32"/>
      <c r="I15" s="33"/>
      <c r="J15" s="33"/>
      <c r="K15" s="32"/>
      <c r="L15" s="32"/>
      <c r="M15" s="32"/>
      <c r="N15" s="32"/>
      <c r="O15" s="33"/>
      <c r="P15" s="34" t="str">
        <f aca="false">IF(OR(G15="",H15=""),"",G15/H15)</f>
        <v/>
      </c>
      <c r="Q15" s="35" t="str">
        <f aca="false">IF(OR(F15="",G15=""),"",F15/G15)</f>
        <v/>
      </c>
      <c r="R15" s="36" t="str">
        <f aca="false">IF(OR(J15="",K15=""),"",J15*A_exp/(K15/1000))</f>
        <v/>
      </c>
      <c r="S15" s="37" t="str">
        <f aca="false">IF(OR(J15="",G15=""),"",J15*1000/G15)</f>
        <v/>
      </c>
      <c r="T15" s="34" t="str">
        <f aca="false">IF(OR(F15="",G15="",J15=""),"",k_f*G15-1-S15/F15)</f>
        <v/>
      </c>
      <c r="U15" s="19" t="str">
        <f aca="false">IF(OR(C15&lt;&gt;50,I15="",L15="",M15=""),"",IF(AND(I15&lt;=thr_lim,L15&lt;dur_lim,M15="N"),"충족","미충족"))</f>
        <v/>
      </c>
      <c r="V15" s="38" t="str">
        <f aca="false">IF(F15="","",1/SQRT(F15))</f>
        <v/>
      </c>
    </row>
    <row r="16" customFormat="false" ht="15" hidden="false" customHeight="false" outlineLevel="0" collapsed="false">
      <c r="A16" s="31"/>
      <c r="B16" s="32"/>
      <c r="C16" s="32"/>
      <c r="D16" s="32"/>
      <c r="E16" s="32"/>
      <c r="F16" s="32"/>
      <c r="G16" s="32"/>
      <c r="H16" s="32"/>
      <c r="I16" s="33"/>
      <c r="J16" s="33"/>
      <c r="K16" s="32"/>
      <c r="L16" s="32"/>
      <c r="M16" s="32"/>
      <c r="N16" s="32"/>
      <c r="O16" s="33"/>
      <c r="P16" s="34" t="str">
        <f aca="false">IF(OR(G16="",H16=""),"",G16/H16)</f>
        <v/>
      </c>
      <c r="Q16" s="35" t="str">
        <f aca="false">IF(OR(F16="",G16=""),"",F16/G16)</f>
        <v/>
      </c>
      <c r="R16" s="36" t="str">
        <f aca="false">IF(OR(J16="",K16=""),"",J16*A_exp/(K16/1000))</f>
        <v/>
      </c>
      <c r="S16" s="37" t="str">
        <f aca="false">IF(OR(J16="",G16=""),"",J16*1000/G16)</f>
        <v/>
      </c>
      <c r="T16" s="34" t="str">
        <f aca="false">IF(OR(F16="",G16="",J16=""),"",k_f*G16-1-S16/F16)</f>
        <v/>
      </c>
      <c r="U16" s="19" t="str">
        <f aca="false">IF(OR(C16&lt;&gt;50,I16="",L16="",M16=""),"",IF(AND(I16&lt;=thr_lim,L16&lt;dur_lim,M16="N"),"충족","미충족"))</f>
        <v/>
      </c>
      <c r="V16" s="38" t="str">
        <f aca="false">IF(F16="","",1/SQRT(F16))</f>
        <v/>
      </c>
    </row>
    <row r="17" customFormat="false" ht="15" hidden="false" customHeight="false" outlineLevel="0" collapsed="false">
      <c r="A17" s="31"/>
      <c r="B17" s="32"/>
      <c r="C17" s="32"/>
      <c r="D17" s="32"/>
      <c r="E17" s="32"/>
      <c r="F17" s="32"/>
      <c r="G17" s="32"/>
      <c r="H17" s="32"/>
      <c r="I17" s="33"/>
      <c r="J17" s="33"/>
      <c r="K17" s="32"/>
      <c r="L17" s="32"/>
      <c r="M17" s="32"/>
      <c r="N17" s="32"/>
      <c r="O17" s="33"/>
      <c r="P17" s="34" t="str">
        <f aca="false">IF(OR(G17="",H17=""),"",G17/H17)</f>
        <v/>
      </c>
      <c r="Q17" s="35" t="str">
        <f aca="false">IF(OR(F17="",G17=""),"",F17/G17)</f>
        <v/>
      </c>
      <c r="R17" s="36" t="str">
        <f aca="false">IF(OR(J17="",K17=""),"",J17*A_exp/(K17/1000))</f>
        <v/>
      </c>
      <c r="S17" s="37" t="str">
        <f aca="false">IF(OR(J17="",G17=""),"",J17*1000/G17)</f>
        <v/>
      </c>
      <c r="T17" s="34" t="str">
        <f aca="false">IF(OR(F17="",G17="",J17=""),"",k_f*G17-1-S17/F17)</f>
        <v/>
      </c>
      <c r="U17" s="19" t="str">
        <f aca="false">IF(OR(C17&lt;&gt;50,I17="",L17="",M17=""),"",IF(AND(I17&lt;=thr_lim,L17&lt;dur_lim,M17="N"),"충족","미충족"))</f>
        <v/>
      </c>
      <c r="V17" s="38" t="str">
        <f aca="false">IF(F17="","",1/SQRT(F17))</f>
        <v/>
      </c>
    </row>
    <row r="18" customFormat="false" ht="15" hidden="false" customHeight="false" outlineLevel="0" collapsed="false">
      <c r="A18" s="31"/>
      <c r="B18" s="32"/>
      <c r="C18" s="32"/>
      <c r="D18" s="32"/>
      <c r="E18" s="32"/>
      <c r="F18" s="32"/>
      <c r="G18" s="32"/>
      <c r="H18" s="32"/>
      <c r="I18" s="33"/>
      <c r="J18" s="33"/>
      <c r="K18" s="32"/>
      <c r="L18" s="32"/>
      <c r="M18" s="32"/>
      <c r="N18" s="32"/>
      <c r="O18" s="33"/>
      <c r="P18" s="34" t="str">
        <f aca="false">IF(OR(G18="",H18=""),"",G18/H18)</f>
        <v/>
      </c>
      <c r="Q18" s="35" t="str">
        <f aca="false">IF(OR(F18="",G18=""),"",F18/G18)</f>
        <v/>
      </c>
      <c r="R18" s="36" t="str">
        <f aca="false">IF(OR(J18="",K18=""),"",J18*A_exp/(K18/1000))</f>
        <v/>
      </c>
      <c r="S18" s="37" t="str">
        <f aca="false">IF(OR(J18="",G18=""),"",J18*1000/G18)</f>
        <v/>
      </c>
      <c r="T18" s="34" t="str">
        <f aca="false">IF(OR(F18="",G18="",J18=""),"",k_f*G18-1-S18/F18)</f>
        <v/>
      </c>
      <c r="U18" s="19" t="str">
        <f aca="false">IF(OR(C18&lt;&gt;50,I18="",L18="",M18=""),"",IF(AND(I18&lt;=thr_lim,L18&lt;dur_lim,M18="N"),"충족","미충족"))</f>
        <v/>
      </c>
      <c r="V18" s="38" t="str">
        <f aca="false">IF(F18="","",1/SQRT(F18))</f>
        <v/>
      </c>
    </row>
    <row r="19" customFormat="false" ht="15" hidden="false" customHeight="false" outlineLevel="0" collapsed="false">
      <c r="A19" s="31"/>
      <c r="B19" s="32"/>
      <c r="C19" s="32"/>
      <c r="D19" s="32"/>
      <c r="E19" s="32"/>
      <c r="F19" s="32"/>
      <c r="G19" s="32"/>
      <c r="H19" s="32"/>
      <c r="I19" s="33"/>
      <c r="J19" s="33"/>
      <c r="K19" s="32"/>
      <c r="L19" s="32"/>
      <c r="M19" s="32"/>
      <c r="N19" s="32"/>
      <c r="O19" s="33"/>
      <c r="P19" s="34" t="str">
        <f aca="false">IF(OR(G19="",H19=""),"",G19/H19)</f>
        <v/>
      </c>
      <c r="Q19" s="35" t="str">
        <f aca="false">IF(OR(F19="",G19=""),"",F19/G19)</f>
        <v/>
      </c>
      <c r="R19" s="36" t="str">
        <f aca="false">IF(OR(J19="",K19=""),"",J19*A_exp/(K19/1000))</f>
        <v/>
      </c>
      <c r="S19" s="37" t="str">
        <f aca="false">IF(OR(J19="",G19=""),"",J19*1000/G19)</f>
        <v/>
      </c>
      <c r="T19" s="34" t="str">
        <f aca="false">IF(OR(F19="",G19="",J19=""),"",k_f*G19-1-S19/F19)</f>
        <v/>
      </c>
      <c r="U19" s="19" t="str">
        <f aca="false">IF(OR(C19&lt;&gt;50,I19="",L19="",M19=""),"",IF(AND(I19&lt;=thr_lim,L19&lt;dur_lim,M19="N"),"충족","미충족"))</f>
        <v/>
      </c>
      <c r="V19" s="38" t="str">
        <f aca="false">IF(F19="","",1/SQRT(F19))</f>
        <v/>
      </c>
    </row>
    <row r="20" customFormat="false" ht="15" hidden="false" customHeight="false" outlineLevel="0" collapsed="false">
      <c r="A20" s="31"/>
      <c r="B20" s="32"/>
      <c r="C20" s="32"/>
      <c r="D20" s="32"/>
      <c r="E20" s="32"/>
      <c r="F20" s="32"/>
      <c r="G20" s="32"/>
      <c r="H20" s="32"/>
      <c r="I20" s="33"/>
      <c r="J20" s="33"/>
      <c r="K20" s="32"/>
      <c r="L20" s="32"/>
      <c r="M20" s="32"/>
      <c r="N20" s="32"/>
      <c r="O20" s="33"/>
      <c r="P20" s="34" t="str">
        <f aca="false">IF(OR(G20="",H20=""),"",G20/H20)</f>
        <v/>
      </c>
      <c r="Q20" s="35" t="str">
        <f aca="false">IF(OR(F20="",G20=""),"",F20/G20)</f>
        <v/>
      </c>
      <c r="R20" s="36" t="str">
        <f aca="false">IF(OR(J20="",K20=""),"",J20*A_exp/(K20/1000))</f>
        <v/>
      </c>
      <c r="S20" s="37" t="str">
        <f aca="false">IF(OR(J20="",G20=""),"",J20*1000/G20)</f>
        <v/>
      </c>
      <c r="T20" s="34" t="str">
        <f aca="false">IF(OR(F20="",G20="",J20=""),"",k_f*G20-1-S20/F20)</f>
        <v/>
      </c>
      <c r="U20" s="19" t="str">
        <f aca="false">IF(OR(C20&lt;&gt;50,I20="",L20="",M20=""),"",IF(AND(I20&lt;=thr_lim,L20&lt;dur_lim,M20="N"),"충족","미충족"))</f>
        <v/>
      </c>
      <c r="V20" s="38" t="str">
        <f aca="false">IF(F20="","",1/SQRT(F20))</f>
        <v/>
      </c>
    </row>
    <row r="21" customFormat="false" ht="15" hidden="false" customHeight="false" outlineLevel="0" collapsed="false">
      <c r="A21" s="31"/>
      <c r="B21" s="32"/>
      <c r="C21" s="32"/>
      <c r="D21" s="32"/>
      <c r="E21" s="32"/>
      <c r="F21" s="32"/>
      <c r="G21" s="32"/>
      <c r="H21" s="32"/>
      <c r="I21" s="33"/>
      <c r="J21" s="33"/>
      <c r="K21" s="32"/>
      <c r="L21" s="32"/>
      <c r="M21" s="32"/>
      <c r="N21" s="32"/>
      <c r="O21" s="33"/>
      <c r="P21" s="34" t="str">
        <f aca="false">IF(OR(G21="",H21=""),"",G21/H21)</f>
        <v/>
      </c>
      <c r="Q21" s="35" t="str">
        <f aca="false">IF(OR(F21="",G21=""),"",F21/G21)</f>
        <v/>
      </c>
      <c r="R21" s="36" t="str">
        <f aca="false">IF(OR(J21="",K21=""),"",J21*A_exp/(K21/1000))</f>
        <v/>
      </c>
      <c r="S21" s="37" t="str">
        <f aca="false">IF(OR(J21="",G21=""),"",J21*1000/G21)</f>
        <v/>
      </c>
      <c r="T21" s="34" t="str">
        <f aca="false">IF(OR(F21="",G21="",J21=""),"",k_f*G21-1-S21/F21)</f>
        <v/>
      </c>
      <c r="U21" s="19" t="str">
        <f aca="false">IF(OR(C21&lt;&gt;50,I21="",L21="",M21=""),"",IF(AND(I21&lt;=thr_lim,L21&lt;dur_lim,M21="N"),"충족","미충족"))</f>
        <v/>
      </c>
      <c r="V21" s="38" t="str">
        <f aca="false">IF(F21="","",1/SQRT(F21))</f>
        <v/>
      </c>
    </row>
    <row r="22" customFormat="false" ht="15" hidden="false" customHeight="false" outlineLevel="0" collapsed="false">
      <c r="A22" s="31"/>
      <c r="B22" s="32"/>
      <c r="C22" s="32"/>
      <c r="D22" s="32"/>
      <c r="E22" s="32"/>
      <c r="F22" s="32"/>
      <c r="G22" s="32"/>
      <c r="H22" s="32"/>
      <c r="I22" s="33"/>
      <c r="J22" s="33"/>
      <c r="K22" s="32"/>
      <c r="L22" s="32"/>
      <c r="M22" s="32"/>
      <c r="N22" s="32"/>
      <c r="O22" s="33"/>
      <c r="P22" s="34" t="str">
        <f aca="false">IF(OR(G22="",H22=""),"",G22/H22)</f>
        <v/>
      </c>
      <c r="Q22" s="35" t="str">
        <f aca="false">IF(OR(F22="",G22=""),"",F22/G22)</f>
        <v/>
      </c>
      <c r="R22" s="36" t="str">
        <f aca="false">IF(OR(J22="",K22=""),"",J22*A_exp/(K22/1000))</f>
        <v/>
      </c>
      <c r="S22" s="37" t="str">
        <f aca="false">IF(OR(J22="",G22=""),"",J22*1000/G22)</f>
        <v/>
      </c>
      <c r="T22" s="34" t="str">
        <f aca="false">IF(OR(F22="",G22="",J22=""),"",k_f*G22-1-S22/F22)</f>
        <v/>
      </c>
      <c r="U22" s="19" t="str">
        <f aca="false">IF(OR(C22&lt;&gt;50,I22="",L22="",M22=""),"",IF(AND(I22&lt;=thr_lim,L22&lt;dur_lim,M22="N"),"충족","미충족"))</f>
        <v/>
      </c>
      <c r="V22" s="38" t="str">
        <f aca="false">IF(F22="","",1/SQRT(F22))</f>
        <v/>
      </c>
    </row>
    <row r="23" customFormat="false" ht="15" hidden="false" customHeight="false" outlineLevel="0" collapsed="false">
      <c r="A23" s="31"/>
      <c r="B23" s="32"/>
      <c r="C23" s="32"/>
      <c r="D23" s="32"/>
      <c r="E23" s="32"/>
      <c r="F23" s="32"/>
      <c r="G23" s="32"/>
      <c r="H23" s="32"/>
      <c r="I23" s="33"/>
      <c r="J23" s="33"/>
      <c r="K23" s="32"/>
      <c r="L23" s="32"/>
      <c r="M23" s="32"/>
      <c r="N23" s="32"/>
      <c r="O23" s="33"/>
      <c r="P23" s="34" t="str">
        <f aca="false">IF(OR(G23="",H23=""),"",G23/H23)</f>
        <v/>
      </c>
      <c r="Q23" s="35" t="str">
        <f aca="false">IF(OR(F23="",G23=""),"",F23/G23)</f>
        <v/>
      </c>
      <c r="R23" s="36" t="str">
        <f aca="false">IF(OR(J23="",K23=""),"",J23*A_exp/(K23/1000))</f>
        <v/>
      </c>
      <c r="S23" s="37" t="str">
        <f aca="false">IF(OR(J23="",G23=""),"",J23*1000/G23)</f>
        <v/>
      </c>
      <c r="T23" s="34" t="str">
        <f aca="false">IF(OR(F23="",G23="",J23=""),"",k_f*G23-1-S23/F23)</f>
        <v/>
      </c>
      <c r="U23" s="19" t="str">
        <f aca="false">IF(OR(C23&lt;&gt;50,I23="",L23="",M23=""),"",IF(AND(I23&lt;=thr_lim,L23&lt;dur_lim,M23="N"),"충족","미충족"))</f>
        <v/>
      </c>
      <c r="V23" s="38" t="str">
        <f aca="false">IF(F23="","",1/SQRT(F23))</f>
        <v/>
      </c>
    </row>
    <row r="24" customFormat="false" ht="15" hidden="false" customHeight="false" outlineLevel="0" collapsed="false">
      <c r="A24" s="31"/>
      <c r="B24" s="32"/>
      <c r="C24" s="32"/>
      <c r="D24" s="32"/>
      <c r="E24" s="32"/>
      <c r="F24" s="32"/>
      <c r="G24" s="32"/>
      <c r="H24" s="32"/>
      <c r="I24" s="33"/>
      <c r="J24" s="33"/>
      <c r="K24" s="32"/>
      <c r="L24" s="32"/>
      <c r="M24" s="32"/>
      <c r="N24" s="32"/>
      <c r="O24" s="33"/>
      <c r="P24" s="34" t="str">
        <f aca="false">IF(OR(G24="",H24=""),"",G24/H24)</f>
        <v/>
      </c>
      <c r="Q24" s="35" t="str">
        <f aca="false">IF(OR(F24="",G24=""),"",F24/G24)</f>
        <v/>
      </c>
      <c r="R24" s="36" t="str">
        <f aca="false">IF(OR(J24="",K24=""),"",J24*A_exp/(K24/1000))</f>
        <v/>
      </c>
      <c r="S24" s="37" t="str">
        <f aca="false">IF(OR(J24="",G24=""),"",J24*1000/G24)</f>
        <v/>
      </c>
      <c r="T24" s="34" t="str">
        <f aca="false">IF(OR(F24="",G24="",J24=""),"",k_f*G24-1-S24/F24)</f>
        <v/>
      </c>
      <c r="U24" s="19" t="str">
        <f aca="false">IF(OR(C24&lt;&gt;50,I24="",L24="",M24=""),"",IF(AND(I24&lt;=thr_lim,L24&lt;dur_lim,M24="N"),"충족","미충족"))</f>
        <v/>
      </c>
      <c r="V24" s="38" t="str">
        <f aca="false">IF(F24="","",1/SQRT(F24))</f>
        <v/>
      </c>
    </row>
    <row r="25" customFormat="false" ht="15" hidden="false" customHeight="false" outlineLevel="0" collapsed="false">
      <c r="A25" s="31"/>
      <c r="B25" s="32"/>
      <c r="C25" s="32"/>
      <c r="D25" s="32"/>
      <c r="E25" s="32"/>
      <c r="F25" s="32"/>
      <c r="G25" s="32"/>
      <c r="H25" s="32"/>
      <c r="I25" s="33"/>
      <c r="J25" s="33"/>
      <c r="K25" s="32"/>
      <c r="L25" s="32"/>
      <c r="M25" s="32"/>
      <c r="N25" s="32"/>
      <c r="O25" s="33"/>
      <c r="P25" s="34" t="str">
        <f aca="false">IF(OR(G25="",H25=""),"",G25/H25)</f>
        <v/>
      </c>
      <c r="Q25" s="35" t="str">
        <f aca="false">IF(OR(F25="",G25=""),"",F25/G25)</f>
        <v/>
      </c>
      <c r="R25" s="36" t="str">
        <f aca="false">IF(OR(J25="",K25=""),"",J25*A_exp/(K25/1000))</f>
        <v/>
      </c>
      <c r="S25" s="37" t="str">
        <f aca="false">IF(OR(J25="",G25=""),"",J25*1000/G25)</f>
        <v/>
      </c>
      <c r="T25" s="34" t="str">
        <f aca="false">IF(OR(F25="",G25="",J25=""),"",k_f*G25-1-S25/F25)</f>
        <v/>
      </c>
      <c r="U25" s="19" t="str">
        <f aca="false">IF(OR(C25&lt;&gt;50,I25="",L25="",M25=""),"",IF(AND(I25&lt;=thr_lim,L25&lt;dur_lim,M25="N"),"충족","미충족"))</f>
        <v/>
      </c>
      <c r="V25" s="38" t="str">
        <f aca="false">IF(F25="","",1/SQRT(F25))</f>
        <v/>
      </c>
    </row>
    <row r="26" customFormat="false" ht="15" hidden="false" customHeight="false" outlineLevel="0" collapsed="false">
      <c r="A26" s="31"/>
      <c r="B26" s="32"/>
      <c r="C26" s="32"/>
      <c r="D26" s="32"/>
      <c r="E26" s="32"/>
      <c r="F26" s="32"/>
      <c r="G26" s="32"/>
      <c r="H26" s="32"/>
      <c r="I26" s="33"/>
      <c r="J26" s="33"/>
      <c r="K26" s="32"/>
      <c r="L26" s="32"/>
      <c r="M26" s="32"/>
      <c r="N26" s="32"/>
      <c r="O26" s="33"/>
      <c r="P26" s="34" t="str">
        <f aca="false">IF(OR(G26="",H26=""),"",G26/H26)</f>
        <v/>
      </c>
      <c r="Q26" s="35" t="str">
        <f aca="false">IF(OR(F26="",G26=""),"",F26/G26)</f>
        <v/>
      </c>
      <c r="R26" s="36" t="str">
        <f aca="false">IF(OR(J26="",K26=""),"",J26*A_exp/(K26/1000))</f>
        <v/>
      </c>
      <c r="S26" s="37" t="str">
        <f aca="false">IF(OR(J26="",G26=""),"",J26*1000/G26)</f>
        <v/>
      </c>
      <c r="T26" s="34" t="str">
        <f aca="false">IF(OR(F26="",G26="",J26=""),"",k_f*G26-1-S26/F26)</f>
        <v/>
      </c>
      <c r="U26" s="19" t="str">
        <f aca="false">IF(OR(C26&lt;&gt;50,I26="",L26="",M26=""),"",IF(AND(I26&lt;=thr_lim,L26&lt;dur_lim,M26="N"),"충족","미충족"))</f>
        <v/>
      </c>
      <c r="V26" s="38" t="str">
        <f aca="false">IF(F26="","",1/SQRT(F26))</f>
        <v/>
      </c>
    </row>
    <row r="27" customFormat="false" ht="15" hidden="false" customHeight="false" outlineLevel="0" collapsed="false">
      <c r="A27" s="31"/>
      <c r="B27" s="32"/>
      <c r="C27" s="32"/>
      <c r="D27" s="32"/>
      <c r="E27" s="32"/>
      <c r="F27" s="32"/>
      <c r="G27" s="32"/>
      <c r="H27" s="32"/>
      <c r="I27" s="33"/>
      <c r="J27" s="33"/>
      <c r="K27" s="32"/>
      <c r="L27" s="32"/>
      <c r="M27" s="32"/>
      <c r="N27" s="32"/>
      <c r="O27" s="33"/>
      <c r="P27" s="34" t="str">
        <f aca="false">IF(OR(G27="",H27=""),"",G27/H27)</f>
        <v/>
      </c>
      <c r="Q27" s="35" t="str">
        <f aca="false">IF(OR(F27="",G27=""),"",F27/G27)</f>
        <v/>
      </c>
      <c r="R27" s="36" t="str">
        <f aca="false">IF(OR(J27="",K27=""),"",J27*A_exp/(K27/1000))</f>
        <v/>
      </c>
      <c r="S27" s="37" t="str">
        <f aca="false">IF(OR(J27="",G27=""),"",J27*1000/G27)</f>
        <v/>
      </c>
      <c r="T27" s="34" t="str">
        <f aca="false">IF(OR(F27="",G27="",J27=""),"",k_f*G27-1-S27/F27)</f>
        <v/>
      </c>
      <c r="U27" s="19" t="str">
        <f aca="false">IF(OR(C27&lt;&gt;50,I27="",L27="",M27=""),"",IF(AND(I27&lt;=thr_lim,L27&lt;dur_lim,M27="N"),"충족","미충족"))</f>
        <v/>
      </c>
      <c r="V27" s="38" t="str">
        <f aca="false">IF(F27="","",1/SQRT(F27))</f>
        <v/>
      </c>
    </row>
    <row r="28" customFormat="false" ht="15" hidden="false" customHeight="false" outlineLevel="0" collapsed="false">
      <c r="A28" s="31"/>
      <c r="B28" s="32"/>
      <c r="C28" s="32"/>
      <c r="D28" s="32"/>
      <c r="E28" s="32"/>
      <c r="F28" s="32"/>
      <c r="G28" s="32"/>
      <c r="H28" s="32"/>
      <c r="I28" s="33"/>
      <c r="J28" s="33"/>
      <c r="K28" s="32"/>
      <c r="L28" s="32"/>
      <c r="M28" s="32"/>
      <c r="N28" s="32"/>
      <c r="O28" s="33"/>
      <c r="P28" s="34" t="str">
        <f aca="false">IF(OR(G28="",H28=""),"",G28/H28)</f>
        <v/>
      </c>
      <c r="Q28" s="35" t="str">
        <f aca="false">IF(OR(F28="",G28=""),"",F28/G28)</f>
        <v/>
      </c>
      <c r="R28" s="36" t="str">
        <f aca="false">IF(OR(J28="",K28=""),"",J28*A_exp/(K28/1000))</f>
        <v/>
      </c>
      <c r="S28" s="37" t="str">
        <f aca="false">IF(OR(J28="",G28=""),"",J28*1000/G28)</f>
        <v/>
      </c>
      <c r="T28" s="34" t="str">
        <f aca="false">IF(OR(F28="",G28="",J28=""),"",k_f*G28-1-S28/F28)</f>
        <v/>
      </c>
      <c r="U28" s="19" t="str">
        <f aca="false">IF(OR(C28&lt;&gt;50,I28="",L28="",M28=""),"",IF(AND(I28&lt;=thr_lim,L28&lt;dur_lim,M28="N"),"충족","미충족"))</f>
        <v/>
      </c>
      <c r="V28" s="38" t="str">
        <f aca="false">IF(F28="","",1/SQRT(F28))</f>
        <v/>
      </c>
    </row>
    <row r="29" customFormat="false" ht="15" hidden="false" customHeight="false" outlineLevel="0" collapsed="false">
      <c r="A29" s="31"/>
      <c r="B29" s="32"/>
      <c r="C29" s="32"/>
      <c r="D29" s="32"/>
      <c r="E29" s="32"/>
      <c r="F29" s="32"/>
      <c r="G29" s="32"/>
      <c r="H29" s="32"/>
      <c r="I29" s="33"/>
      <c r="J29" s="33"/>
      <c r="K29" s="32"/>
      <c r="L29" s="32"/>
      <c r="M29" s="32"/>
      <c r="N29" s="32"/>
      <c r="O29" s="33"/>
      <c r="P29" s="34" t="str">
        <f aca="false">IF(OR(G29="",H29=""),"",G29/H29)</f>
        <v/>
      </c>
      <c r="Q29" s="35" t="str">
        <f aca="false">IF(OR(F29="",G29=""),"",F29/G29)</f>
        <v/>
      </c>
      <c r="R29" s="36" t="str">
        <f aca="false">IF(OR(J29="",K29=""),"",J29*A_exp/(K29/1000))</f>
        <v/>
      </c>
      <c r="S29" s="37" t="str">
        <f aca="false">IF(OR(J29="",G29=""),"",J29*1000/G29)</f>
        <v/>
      </c>
      <c r="T29" s="34" t="str">
        <f aca="false">IF(OR(F29="",G29="",J29=""),"",k_f*G29-1-S29/F29)</f>
        <v/>
      </c>
      <c r="U29" s="19" t="str">
        <f aca="false">IF(OR(C29&lt;&gt;50,I29="",L29="",M29=""),"",IF(AND(I29&lt;=thr_lim,L29&lt;dur_lim,M29="N"),"충족","미충족"))</f>
        <v/>
      </c>
      <c r="V29" s="38" t="str">
        <f aca="false">IF(F29="","",1/SQRT(F29))</f>
        <v/>
      </c>
    </row>
    <row r="30" customFormat="false" ht="15" hidden="false" customHeight="false" outlineLevel="0" collapsed="false">
      <c r="A30" s="31"/>
      <c r="B30" s="32"/>
      <c r="C30" s="32"/>
      <c r="D30" s="32"/>
      <c r="E30" s="32"/>
      <c r="F30" s="32"/>
      <c r="G30" s="32"/>
      <c r="H30" s="32"/>
      <c r="I30" s="33"/>
      <c r="J30" s="33"/>
      <c r="K30" s="32"/>
      <c r="L30" s="32"/>
      <c r="M30" s="32"/>
      <c r="N30" s="32"/>
      <c r="O30" s="33"/>
      <c r="P30" s="34" t="str">
        <f aca="false">IF(OR(G30="",H30=""),"",G30/H30)</f>
        <v/>
      </c>
      <c r="Q30" s="35" t="str">
        <f aca="false">IF(OR(F30="",G30=""),"",F30/G30)</f>
        <v/>
      </c>
      <c r="R30" s="36" t="str">
        <f aca="false">IF(OR(J30="",K30=""),"",J30*A_exp/(K30/1000))</f>
        <v/>
      </c>
      <c r="S30" s="37" t="str">
        <f aca="false">IF(OR(J30="",G30=""),"",J30*1000/G30)</f>
        <v/>
      </c>
      <c r="T30" s="34" t="str">
        <f aca="false">IF(OR(F30="",G30="",J30=""),"",k_f*G30-1-S30/F30)</f>
        <v/>
      </c>
      <c r="U30" s="19" t="str">
        <f aca="false">IF(OR(C30&lt;&gt;50,I30="",L30="",M30=""),"",IF(AND(I30&lt;=thr_lim,L30&lt;dur_lim,M30="N"),"충족","미충족"))</f>
        <v/>
      </c>
      <c r="V30" s="38" t="str">
        <f aca="false">IF(F30="","",1/SQRT(F30))</f>
        <v/>
      </c>
    </row>
    <row r="31" customFormat="false" ht="15" hidden="false" customHeight="false" outlineLevel="0" collapsed="false">
      <c r="A31" s="31"/>
      <c r="B31" s="32"/>
      <c r="C31" s="32"/>
      <c r="D31" s="32"/>
      <c r="E31" s="32"/>
      <c r="F31" s="32"/>
      <c r="G31" s="32"/>
      <c r="H31" s="32"/>
      <c r="I31" s="33"/>
      <c r="J31" s="33"/>
      <c r="K31" s="32"/>
      <c r="L31" s="32"/>
      <c r="M31" s="32"/>
      <c r="N31" s="32"/>
      <c r="O31" s="33"/>
      <c r="P31" s="34" t="str">
        <f aca="false">IF(OR(G31="",H31=""),"",G31/H31)</f>
        <v/>
      </c>
      <c r="Q31" s="35" t="str">
        <f aca="false">IF(OR(F31="",G31=""),"",F31/G31)</f>
        <v/>
      </c>
      <c r="R31" s="36" t="str">
        <f aca="false">IF(OR(J31="",K31=""),"",J31*A_exp/(K31/1000))</f>
        <v/>
      </c>
      <c r="S31" s="37" t="str">
        <f aca="false">IF(OR(J31="",G31=""),"",J31*1000/G31)</f>
        <v/>
      </c>
      <c r="T31" s="34" t="str">
        <f aca="false">IF(OR(F31="",G31="",J31=""),"",k_f*G31-1-S31/F31)</f>
        <v/>
      </c>
      <c r="U31" s="19" t="str">
        <f aca="false">IF(OR(C31&lt;&gt;50,I31="",L31="",M31=""),"",IF(AND(I31&lt;=thr_lim,L31&lt;dur_lim,M31="N"),"충족","미충족"))</f>
        <v/>
      </c>
      <c r="V31" s="38" t="str">
        <f aca="false">IF(F31="","",1/SQRT(F31))</f>
        <v/>
      </c>
    </row>
    <row r="32" customFormat="false" ht="15" hidden="false" customHeight="false" outlineLevel="0" collapsed="false">
      <c r="A32" s="31"/>
      <c r="B32" s="32"/>
      <c r="C32" s="32"/>
      <c r="D32" s="32"/>
      <c r="E32" s="32"/>
      <c r="F32" s="32"/>
      <c r="G32" s="32"/>
      <c r="H32" s="32"/>
      <c r="I32" s="33"/>
      <c r="J32" s="33"/>
      <c r="K32" s="32"/>
      <c r="L32" s="32"/>
      <c r="M32" s="32"/>
      <c r="N32" s="32"/>
      <c r="O32" s="33"/>
      <c r="P32" s="34" t="str">
        <f aca="false">IF(OR(G32="",H32=""),"",G32/H32)</f>
        <v/>
      </c>
      <c r="Q32" s="35" t="str">
        <f aca="false">IF(OR(F32="",G32=""),"",F32/G32)</f>
        <v/>
      </c>
      <c r="R32" s="36" t="str">
        <f aca="false">IF(OR(J32="",K32=""),"",J32*A_exp/(K32/1000))</f>
        <v/>
      </c>
      <c r="S32" s="37" t="str">
        <f aca="false">IF(OR(J32="",G32=""),"",J32*1000/G32)</f>
        <v/>
      </c>
      <c r="T32" s="34" t="str">
        <f aca="false">IF(OR(F32="",G32="",J32=""),"",k_f*G32-1-S32/F32)</f>
        <v/>
      </c>
      <c r="U32" s="19" t="str">
        <f aca="false">IF(OR(C32&lt;&gt;50,I32="",L32="",M32=""),"",IF(AND(I32&lt;=thr_lim,L32&lt;dur_lim,M32="N"),"충족","미충족"))</f>
        <v/>
      </c>
      <c r="V32" s="38" t="str">
        <f aca="false">IF(F32="","",1/SQRT(F32))</f>
        <v/>
      </c>
    </row>
    <row r="33" customFormat="false" ht="15" hidden="false" customHeight="false" outlineLevel="0" collapsed="false">
      <c r="A33" s="31"/>
      <c r="B33" s="32"/>
      <c r="C33" s="32"/>
      <c r="D33" s="32"/>
      <c r="E33" s="32"/>
      <c r="F33" s="32"/>
      <c r="G33" s="32"/>
      <c r="H33" s="32"/>
      <c r="I33" s="33"/>
      <c r="J33" s="33"/>
      <c r="K33" s="32"/>
      <c r="L33" s="32"/>
      <c r="M33" s="32"/>
      <c r="N33" s="32"/>
      <c r="O33" s="33"/>
      <c r="P33" s="34" t="str">
        <f aca="false">IF(OR(G33="",H33=""),"",G33/H33)</f>
        <v/>
      </c>
      <c r="Q33" s="35" t="str">
        <f aca="false">IF(OR(F33="",G33=""),"",F33/G33)</f>
        <v/>
      </c>
      <c r="R33" s="36" t="str">
        <f aca="false">IF(OR(J33="",K33=""),"",J33*A_exp/(K33/1000))</f>
        <v/>
      </c>
      <c r="S33" s="37" t="str">
        <f aca="false">IF(OR(J33="",G33=""),"",J33*1000/G33)</f>
        <v/>
      </c>
      <c r="T33" s="34" t="str">
        <f aca="false">IF(OR(F33="",G33="",J33=""),"",k_f*G33-1-S33/F33)</f>
        <v/>
      </c>
      <c r="U33" s="19" t="str">
        <f aca="false">IF(OR(C33&lt;&gt;50,I33="",L33="",M33=""),"",IF(AND(I33&lt;=thr_lim,L33&lt;dur_lim,M33="N"),"충족","미충족"))</f>
        <v/>
      </c>
      <c r="V33" s="38" t="str">
        <f aca="false">IF(F33="","",1/SQRT(F33))</f>
        <v/>
      </c>
    </row>
    <row r="34" customFormat="false" ht="15" hidden="false" customHeight="false" outlineLevel="0" collapsed="false">
      <c r="A34" s="31"/>
      <c r="B34" s="32"/>
      <c r="C34" s="32"/>
      <c r="D34" s="32"/>
      <c r="E34" s="32"/>
      <c r="F34" s="32"/>
      <c r="G34" s="32"/>
      <c r="H34" s="32"/>
      <c r="I34" s="33"/>
      <c r="J34" s="33"/>
      <c r="K34" s="32"/>
      <c r="L34" s="32"/>
      <c r="M34" s="32"/>
      <c r="N34" s="32"/>
      <c r="O34" s="33"/>
      <c r="P34" s="34" t="str">
        <f aca="false">IF(OR(G34="",H34=""),"",G34/H34)</f>
        <v/>
      </c>
      <c r="Q34" s="35" t="str">
        <f aca="false">IF(OR(F34="",G34=""),"",F34/G34)</f>
        <v/>
      </c>
      <c r="R34" s="36" t="str">
        <f aca="false">IF(OR(J34="",K34=""),"",J34*A_exp/(K34/1000))</f>
        <v/>
      </c>
      <c r="S34" s="37" t="str">
        <f aca="false">IF(OR(J34="",G34=""),"",J34*1000/G34)</f>
        <v/>
      </c>
      <c r="T34" s="34" t="str">
        <f aca="false">IF(OR(F34="",G34="",J34=""),"",k_f*G34-1-S34/F34)</f>
        <v/>
      </c>
      <c r="U34" s="19" t="str">
        <f aca="false">IF(OR(C34&lt;&gt;50,I34="",L34="",M34=""),"",IF(AND(I34&lt;=thr_lim,L34&lt;dur_lim,M34="N"),"충족","미충족"))</f>
        <v/>
      </c>
      <c r="V34" s="38" t="str">
        <f aca="false">IF(F34="","",1/SQRT(F34))</f>
        <v/>
      </c>
    </row>
    <row r="35" customFormat="false" ht="15" hidden="false" customHeight="false" outlineLevel="0" collapsed="false">
      <c r="A35" s="31"/>
      <c r="B35" s="32"/>
      <c r="C35" s="32"/>
      <c r="D35" s="32"/>
      <c r="E35" s="32"/>
      <c r="F35" s="32"/>
      <c r="G35" s="32"/>
      <c r="H35" s="32"/>
      <c r="I35" s="33"/>
      <c r="J35" s="33"/>
      <c r="K35" s="32"/>
      <c r="L35" s="32"/>
      <c r="M35" s="32"/>
      <c r="N35" s="32"/>
      <c r="O35" s="33"/>
      <c r="P35" s="34" t="str">
        <f aca="false">IF(OR(G35="",H35=""),"",G35/H35)</f>
        <v/>
      </c>
      <c r="Q35" s="35" t="str">
        <f aca="false">IF(OR(F35="",G35=""),"",F35/G35)</f>
        <v/>
      </c>
      <c r="R35" s="36" t="str">
        <f aca="false">IF(OR(J35="",K35=""),"",J35*A_exp/(K35/1000))</f>
        <v/>
      </c>
      <c r="S35" s="37" t="str">
        <f aca="false">IF(OR(J35="",G35=""),"",J35*1000/G35)</f>
        <v/>
      </c>
      <c r="T35" s="34" t="str">
        <f aca="false">IF(OR(F35="",G35="",J35=""),"",k_f*G35-1-S35/F35)</f>
        <v/>
      </c>
      <c r="U35" s="19" t="str">
        <f aca="false">IF(OR(C35&lt;&gt;50,I35="",L35="",M35=""),"",IF(AND(I35&lt;=thr_lim,L35&lt;dur_lim,M35="N"),"충족","미충족"))</f>
        <v/>
      </c>
      <c r="V35" s="38" t="str">
        <f aca="false">IF(F35="","",1/SQRT(F35))</f>
        <v/>
      </c>
    </row>
    <row r="36" customFormat="false" ht="15" hidden="false" customHeight="false" outlineLevel="0" collapsed="false">
      <c r="A36" s="31"/>
      <c r="B36" s="32"/>
      <c r="C36" s="32"/>
      <c r="D36" s="32"/>
      <c r="E36" s="32"/>
      <c r="F36" s="32"/>
      <c r="G36" s="32"/>
      <c r="H36" s="32"/>
      <c r="I36" s="33"/>
      <c r="J36" s="33"/>
      <c r="K36" s="32"/>
      <c r="L36" s="32"/>
      <c r="M36" s="32"/>
      <c r="N36" s="32"/>
      <c r="O36" s="33"/>
      <c r="P36" s="34" t="str">
        <f aca="false">IF(OR(G36="",H36=""),"",G36/H36)</f>
        <v/>
      </c>
      <c r="Q36" s="35" t="str">
        <f aca="false">IF(OR(F36="",G36=""),"",F36/G36)</f>
        <v/>
      </c>
      <c r="R36" s="36" t="str">
        <f aca="false">IF(OR(J36="",K36=""),"",J36*A_exp/(K36/1000))</f>
        <v/>
      </c>
      <c r="S36" s="37" t="str">
        <f aca="false">IF(OR(J36="",G36=""),"",J36*1000/G36)</f>
        <v/>
      </c>
      <c r="T36" s="34" t="str">
        <f aca="false">IF(OR(F36="",G36="",J36=""),"",k_f*G36-1-S36/F36)</f>
        <v/>
      </c>
      <c r="U36" s="19" t="str">
        <f aca="false">IF(OR(C36&lt;&gt;50,I36="",L36="",M36=""),"",IF(AND(I36&lt;=thr_lim,L36&lt;dur_lim,M36="N"),"충족","미충족"))</f>
        <v/>
      </c>
      <c r="V36" s="38" t="str">
        <f aca="false">IF(F36="","",1/SQRT(F36))</f>
        <v/>
      </c>
    </row>
    <row r="37" customFormat="false" ht="15" hidden="false" customHeight="false" outlineLevel="0" collapsed="false">
      <c r="A37" s="31"/>
      <c r="B37" s="32"/>
      <c r="C37" s="32"/>
      <c r="D37" s="32"/>
      <c r="E37" s="32"/>
      <c r="F37" s="32"/>
      <c r="G37" s="32"/>
      <c r="H37" s="32"/>
      <c r="I37" s="33"/>
      <c r="J37" s="33"/>
      <c r="K37" s="32"/>
      <c r="L37" s="32"/>
      <c r="M37" s="32"/>
      <c r="N37" s="32"/>
      <c r="O37" s="33"/>
      <c r="P37" s="34" t="str">
        <f aca="false">IF(OR(G37="",H37=""),"",G37/H37)</f>
        <v/>
      </c>
      <c r="Q37" s="35" t="str">
        <f aca="false">IF(OR(F37="",G37=""),"",F37/G37)</f>
        <v/>
      </c>
      <c r="R37" s="36" t="str">
        <f aca="false">IF(OR(J37="",K37=""),"",J37*A_exp/(K37/1000))</f>
        <v/>
      </c>
      <c r="S37" s="37" t="str">
        <f aca="false">IF(OR(J37="",G37=""),"",J37*1000/G37)</f>
        <v/>
      </c>
      <c r="T37" s="34" t="str">
        <f aca="false">IF(OR(F37="",G37="",J37=""),"",k_f*G37-1-S37/F37)</f>
        <v/>
      </c>
      <c r="U37" s="19" t="str">
        <f aca="false">IF(OR(C37&lt;&gt;50,I37="",L37="",M37=""),"",IF(AND(I37&lt;=thr_lim,L37&lt;dur_lim,M37="N"),"충족","미충족"))</f>
        <v/>
      </c>
      <c r="V37" s="38" t="str">
        <f aca="false">IF(F37="","",1/SQRT(F37))</f>
        <v/>
      </c>
    </row>
    <row r="39" customFormat="false" ht="15" hidden="false" customHeight="false" outlineLevel="0" collapsed="false">
      <c r="A39" s="5" t="s">
        <v>118</v>
      </c>
    </row>
    <row r="41" customFormat="false" ht="28.35" hidden="false" customHeight="true" outlineLevel="0" collapsed="false">
      <c r="A41" s="22" t="s">
        <v>119</v>
      </c>
      <c r="B41" s="22"/>
      <c r="C41" s="22"/>
      <c r="D41" s="22"/>
      <c r="E41" s="22"/>
      <c r="F41" s="22"/>
      <c r="G41" s="22"/>
      <c r="H41" s="22"/>
    </row>
    <row r="42" customFormat="false" ht="35.05" hidden="false" customHeight="false" outlineLevel="0" collapsed="false">
      <c r="A42" s="6" t="s">
        <v>92</v>
      </c>
      <c r="B42" s="7" t="s">
        <v>120</v>
      </c>
      <c r="C42" s="6" t="s">
        <v>121</v>
      </c>
      <c r="D42" s="7" t="s">
        <v>113</v>
      </c>
      <c r="E42" s="7" t="s">
        <v>122</v>
      </c>
      <c r="F42" s="7" t="s">
        <v>123</v>
      </c>
    </row>
    <row r="43" customFormat="false" ht="15" hidden="false" customHeight="false" outlineLevel="0" collapsed="false">
      <c r="A43" s="23" t="s">
        <v>114</v>
      </c>
      <c r="B43" s="39" t="n">
        <v>25</v>
      </c>
      <c r="C43" s="25" t="n">
        <v>330</v>
      </c>
      <c r="D43" s="40" t="n">
        <f aca="false">IF(C43="","",1/SQRT(C43))</f>
        <v>0.055048188256318</v>
      </c>
      <c r="E43" s="41" t="n">
        <f aca="false">IFERROR(1/SLOPE(D43:D46,B43:B46),"")</f>
        <v>313.281142805061</v>
      </c>
      <c r="F43" s="42" t="n">
        <f aca="false">IFERROR(-INTERCEPT(D43:D46,B43:B46)/SLOPE(D43:D46,B43:B46),"")</f>
        <v>6.91355554924547</v>
      </c>
    </row>
    <row r="44" customFormat="false" ht="15" hidden="false" customHeight="false" outlineLevel="0" collapsed="false">
      <c r="A44" s="23" t="s">
        <v>114</v>
      </c>
      <c r="B44" s="39" t="n">
        <v>35</v>
      </c>
      <c r="C44" s="25" t="n">
        <v>120</v>
      </c>
      <c r="D44" s="40" t="n">
        <f aca="false">IF(C44="","",1/SQRT(C44))</f>
        <v>0.0912870929175277</v>
      </c>
    </row>
    <row r="45" customFormat="false" ht="15" hidden="false" customHeight="false" outlineLevel="0" collapsed="false">
      <c r="A45" s="23" t="s">
        <v>114</v>
      </c>
      <c r="B45" s="39" t="n">
        <v>50</v>
      </c>
      <c r="C45" s="25" t="n">
        <v>50</v>
      </c>
      <c r="D45" s="40" t="n">
        <f aca="false">IF(C45="","",1/SQRT(C45))</f>
        <v>0.14142135623731</v>
      </c>
    </row>
    <row r="46" customFormat="false" ht="15" hidden="false" customHeight="false" outlineLevel="0" collapsed="false">
      <c r="A46" s="23" t="s">
        <v>114</v>
      </c>
      <c r="B46" s="39" t="n">
        <v>65</v>
      </c>
      <c r="C46" s="25" t="n">
        <v>30</v>
      </c>
      <c r="D46" s="40" t="n">
        <f aca="false">IF(C46="","",1/SQRT(C46))</f>
        <v>0.182574185835055</v>
      </c>
    </row>
    <row r="47" customFormat="false" ht="15" hidden="false" customHeight="false" outlineLevel="0" collapsed="false">
      <c r="A47" s="8" t="s">
        <v>124</v>
      </c>
      <c r="B47" s="43" t="n">
        <v>25</v>
      </c>
      <c r="C47" s="32"/>
      <c r="D47" s="38" t="str">
        <f aca="false">IF(C47="","",1/SQRT(C47))</f>
        <v/>
      </c>
      <c r="E47" s="41" t="str">
        <f aca="false">IFERROR(1/SLOPE(D47:D50,B47:B50),"")</f>
        <v/>
      </c>
      <c r="F47" s="42" t="str">
        <f aca="false">IFERROR(-INTERCEPT(D47:D50,B47:B50)/SLOPE(D47:D50,B47:B50),"")</f>
        <v/>
      </c>
    </row>
    <row r="48" customFormat="false" ht="15" hidden="false" customHeight="false" outlineLevel="0" collapsed="false">
      <c r="A48" s="8" t="s">
        <v>124</v>
      </c>
      <c r="B48" s="43" t="n">
        <v>35</v>
      </c>
      <c r="C48" s="32"/>
      <c r="D48" s="38" t="str">
        <f aca="false">IF(C48="","",1/SQRT(C48))</f>
        <v/>
      </c>
    </row>
    <row r="49" customFormat="false" ht="15" hidden="false" customHeight="false" outlineLevel="0" collapsed="false">
      <c r="A49" s="8" t="s">
        <v>124</v>
      </c>
      <c r="B49" s="43" t="n">
        <v>50</v>
      </c>
      <c r="C49" s="32"/>
      <c r="D49" s="38" t="str">
        <f aca="false">IF(C49="","",1/SQRT(C49))</f>
        <v/>
      </c>
    </row>
    <row r="50" customFormat="false" ht="15" hidden="false" customHeight="false" outlineLevel="0" collapsed="false">
      <c r="A50" s="8" t="s">
        <v>124</v>
      </c>
      <c r="B50" s="43" t="n">
        <v>65</v>
      </c>
      <c r="C50" s="32"/>
      <c r="D50" s="38" t="str">
        <f aca="false">IF(C50="","",1/SQRT(C50))</f>
        <v/>
      </c>
    </row>
    <row r="51" customFormat="false" ht="15" hidden="false" customHeight="false" outlineLevel="0" collapsed="false">
      <c r="A51" s="8" t="s">
        <v>125</v>
      </c>
      <c r="B51" s="43" t="n">
        <v>25</v>
      </c>
      <c r="C51" s="32"/>
      <c r="D51" s="38" t="str">
        <f aca="false">IF(C51="","",1/SQRT(C51))</f>
        <v/>
      </c>
      <c r="E51" s="41" t="str">
        <f aca="false">IFERROR(1/SLOPE(D51:D54,B51:B54),"")</f>
        <v/>
      </c>
      <c r="F51" s="42" t="str">
        <f aca="false">IFERROR(-INTERCEPT(D51:D54,B51:B54)/SLOPE(D51:D54,B51:B54),"")</f>
        <v/>
      </c>
    </row>
    <row r="52" customFormat="false" ht="15" hidden="false" customHeight="false" outlineLevel="0" collapsed="false">
      <c r="A52" s="8" t="s">
        <v>125</v>
      </c>
      <c r="B52" s="43" t="n">
        <v>35</v>
      </c>
      <c r="C52" s="32"/>
      <c r="D52" s="38" t="str">
        <f aca="false">IF(C52="","",1/SQRT(C52))</f>
        <v/>
      </c>
    </row>
    <row r="53" customFormat="false" ht="15" hidden="false" customHeight="false" outlineLevel="0" collapsed="false">
      <c r="A53" s="8" t="s">
        <v>125</v>
      </c>
      <c r="B53" s="43" t="n">
        <v>50</v>
      </c>
      <c r="C53" s="32"/>
      <c r="D53" s="38" t="str">
        <f aca="false">IF(C53="","",1/SQRT(C53))</f>
        <v/>
      </c>
    </row>
    <row r="54" customFormat="false" ht="15" hidden="false" customHeight="false" outlineLevel="0" collapsed="false">
      <c r="A54" s="8" t="s">
        <v>125</v>
      </c>
      <c r="B54" s="43" t="n">
        <v>65</v>
      </c>
      <c r="C54" s="32"/>
      <c r="D54" s="38" t="str">
        <f aca="false">IF(C54="","",1/SQRT(C54))</f>
        <v/>
      </c>
    </row>
    <row r="55" customFormat="false" ht="15" hidden="false" customHeight="false" outlineLevel="0" collapsed="false">
      <c r="A55" s="8" t="s">
        <v>126</v>
      </c>
      <c r="B55" s="43" t="n">
        <v>25</v>
      </c>
      <c r="C55" s="32"/>
      <c r="D55" s="38" t="str">
        <f aca="false">IF(C55="","",1/SQRT(C55))</f>
        <v/>
      </c>
      <c r="E55" s="41" t="str">
        <f aca="false">IFERROR(1/SLOPE(D55:D58,B55:B58),"")</f>
        <v/>
      </c>
      <c r="F55" s="42" t="str">
        <f aca="false">IFERROR(-INTERCEPT(D55:D58,B55:B58)/SLOPE(D55:D58,B55:B58),"")</f>
        <v/>
      </c>
    </row>
    <row r="56" customFormat="false" ht="15" hidden="false" customHeight="false" outlineLevel="0" collapsed="false">
      <c r="A56" s="8" t="s">
        <v>126</v>
      </c>
      <c r="B56" s="43" t="n">
        <v>35</v>
      </c>
      <c r="C56" s="32"/>
      <c r="D56" s="38" t="str">
        <f aca="false">IF(C56="","",1/SQRT(C56))</f>
        <v/>
      </c>
    </row>
    <row r="57" customFormat="false" ht="15" hidden="false" customHeight="false" outlineLevel="0" collapsed="false">
      <c r="A57" s="8" t="s">
        <v>126</v>
      </c>
      <c r="B57" s="43" t="n">
        <v>50</v>
      </c>
      <c r="C57" s="32"/>
      <c r="D57" s="38" t="str">
        <f aca="false">IF(C57="","",1/SQRT(C57))</f>
        <v/>
      </c>
    </row>
    <row r="58" customFormat="false" ht="15" hidden="false" customHeight="false" outlineLevel="0" collapsed="false">
      <c r="A58" s="8" t="s">
        <v>126</v>
      </c>
      <c r="B58" s="43" t="n">
        <v>65</v>
      </c>
      <c r="C58" s="32"/>
      <c r="D58" s="38" t="str">
        <f aca="false">IF(C58="","",1/SQRT(C58))</f>
        <v/>
      </c>
    </row>
    <row r="59" customFormat="false" ht="15" hidden="false" customHeight="false" outlineLevel="0" collapsed="false">
      <c r="A59" s="8" t="s">
        <v>127</v>
      </c>
      <c r="B59" s="43" t="n">
        <v>25</v>
      </c>
      <c r="C59" s="32"/>
      <c r="D59" s="38" t="str">
        <f aca="false">IF(C59="","",1/SQRT(C59))</f>
        <v/>
      </c>
      <c r="E59" s="41" t="str">
        <f aca="false">IFERROR(1/SLOPE(D59:D62,B59:B62),"")</f>
        <v/>
      </c>
      <c r="F59" s="42" t="str">
        <f aca="false">IFERROR(-INTERCEPT(D59:D62,B59:B62)/SLOPE(D59:D62,B59:B62),"")</f>
        <v/>
      </c>
    </row>
    <row r="60" customFormat="false" ht="15" hidden="false" customHeight="false" outlineLevel="0" collapsed="false">
      <c r="A60" s="8" t="s">
        <v>127</v>
      </c>
      <c r="B60" s="43" t="n">
        <v>35</v>
      </c>
      <c r="C60" s="32"/>
      <c r="D60" s="38" t="str">
        <f aca="false">IF(C60="","",1/SQRT(C60))</f>
        <v/>
      </c>
    </row>
    <row r="61" customFormat="false" ht="15" hidden="false" customHeight="false" outlineLevel="0" collapsed="false">
      <c r="A61" s="8" t="s">
        <v>127</v>
      </c>
      <c r="B61" s="43" t="n">
        <v>50</v>
      </c>
      <c r="C61" s="32"/>
      <c r="D61" s="38" t="str">
        <f aca="false">IF(C61="","",1/SQRT(C61))</f>
        <v/>
      </c>
    </row>
    <row r="62" customFormat="false" ht="15" hidden="false" customHeight="false" outlineLevel="0" collapsed="false">
      <c r="A62" s="8" t="s">
        <v>127</v>
      </c>
      <c r="B62" s="43" t="n">
        <v>65</v>
      </c>
      <c r="C62" s="32"/>
      <c r="D62" s="38" t="str">
        <f aca="false">IF(C62="","",1/SQRT(C62))</f>
        <v/>
      </c>
    </row>
    <row r="63" customFormat="false" ht="15" hidden="false" customHeight="false" outlineLevel="0" collapsed="false">
      <c r="A63" s="8" t="s">
        <v>128</v>
      </c>
      <c r="B63" s="43" t="n">
        <v>25</v>
      </c>
      <c r="C63" s="32"/>
      <c r="D63" s="38" t="str">
        <f aca="false">IF(C63="","",1/SQRT(C63))</f>
        <v/>
      </c>
      <c r="E63" s="41" t="str">
        <f aca="false">IFERROR(1/SLOPE(D63:D66,B63:B66),"")</f>
        <v/>
      </c>
      <c r="F63" s="42" t="str">
        <f aca="false">IFERROR(-INTERCEPT(D63:D66,B63:B66)/SLOPE(D63:D66,B63:B66),"")</f>
        <v/>
      </c>
    </row>
    <row r="64" customFormat="false" ht="15" hidden="false" customHeight="false" outlineLevel="0" collapsed="false">
      <c r="A64" s="8" t="s">
        <v>128</v>
      </c>
      <c r="B64" s="43" t="n">
        <v>35</v>
      </c>
      <c r="C64" s="32"/>
      <c r="D64" s="38" t="str">
        <f aca="false">IF(C64="","",1/SQRT(C64))</f>
        <v/>
      </c>
    </row>
    <row r="65" customFormat="false" ht="15" hidden="false" customHeight="false" outlineLevel="0" collapsed="false">
      <c r="A65" s="8" t="s">
        <v>128</v>
      </c>
      <c r="B65" s="43" t="n">
        <v>50</v>
      </c>
      <c r="C65" s="32"/>
      <c r="D65" s="38" t="str">
        <f aca="false">IF(C65="","",1/SQRT(C65))</f>
        <v/>
      </c>
    </row>
    <row r="66" customFormat="false" ht="15" hidden="false" customHeight="false" outlineLevel="0" collapsed="false">
      <c r="A66" s="8" t="s">
        <v>128</v>
      </c>
      <c r="B66" s="43" t="n">
        <v>65</v>
      </c>
      <c r="C66" s="32"/>
      <c r="D66" s="38" t="str">
        <f aca="false">IF(C66="","",1/SQRT(C66))</f>
        <v/>
      </c>
    </row>
    <row r="67" customFormat="false" ht="15" hidden="false" customHeight="false" outlineLevel="0" collapsed="false">
      <c r="A67" s="8" t="s">
        <v>129</v>
      </c>
      <c r="B67" s="43" t="n">
        <v>25</v>
      </c>
      <c r="C67" s="32"/>
      <c r="D67" s="38" t="str">
        <f aca="false">IF(C67="","",1/SQRT(C67))</f>
        <v/>
      </c>
      <c r="E67" s="41" t="str">
        <f aca="false">IFERROR(1/SLOPE(D67:D70,B67:B70),"")</f>
        <v/>
      </c>
      <c r="F67" s="42" t="str">
        <f aca="false">IFERROR(-INTERCEPT(D67:D70,B67:B70)/SLOPE(D67:D70,B67:B70),"")</f>
        <v/>
      </c>
    </row>
    <row r="68" customFormat="false" ht="15" hidden="false" customHeight="false" outlineLevel="0" collapsed="false">
      <c r="A68" s="8" t="s">
        <v>129</v>
      </c>
      <c r="B68" s="43" t="n">
        <v>35</v>
      </c>
      <c r="C68" s="32"/>
      <c r="D68" s="38" t="str">
        <f aca="false">IF(C68="","",1/SQRT(C68))</f>
        <v/>
      </c>
    </row>
    <row r="69" customFormat="false" ht="15" hidden="false" customHeight="false" outlineLevel="0" collapsed="false">
      <c r="A69" s="8" t="s">
        <v>129</v>
      </c>
      <c r="B69" s="43" t="n">
        <v>50</v>
      </c>
      <c r="C69" s="32"/>
      <c r="D69" s="38" t="str">
        <f aca="false">IF(C69="","",1/SQRT(C69))</f>
        <v/>
      </c>
    </row>
    <row r="70" customFormat="false" ht="15" hidden="false" customHeight="false" outlineLevel="0" collapsed="false">
      <c r="A70" s="8" t="s">
        <v>129</v>
      </c>
      <c r="B70" s="43" t="n">
        <v>65</v>
      </c>
      <c r="C70" s="32"/>
      <c r="D70" s="38" t="str">
        <f aca="false">IF(C70="","",1/SQRT(C70))</f>
        <v/>
      </c>
    </row>
    <row r="72" customFormat="false" ht="15" hidden="false" customHeight="true" outlineLevel="0" collapsed="false">
      <c r="A72" s="22" t="s">
        <v>130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</row>
    <row r="73" customFormat="false" ht="31.5" hidden="false" customHeight="true" outlineLevel="0" collapsed="false">
      <c r="A73" s="6" t="s">
        <v>92</v>
      </c>
      <c r="B73" s="6" t="s">
        <v>131</v>
      </c>
      <c r="C73" s="7" t="s">
        <v>97</v>
      </c>
      <c r="D73" s="7" t="s">
        <v>98</v>
      </c>
      <c r="E73" s="7" t="s">
        <v>100</v>
      </c>
      <c r="F73" s="7" t="s">
        <v>132</v>
      </c>
      <c r="G73" s="6" t="s">
        <v>133</v>
      </c>
      <c r="H73" s="7" t="s">
        <v>134</v>
      </c>
      <c r="I73" s="7" t="s">
        <v>135</v>
      </c>
      <c r="J73" s="7" t="s">
        <v>136</v>
      </c>
      <c r="K73" s="6" t="s">
        <v>7</v>
      </c>
    </row>
    <row r="74" customFormat="false" ht="39.55" hidden="false" customHeight="false" outlineLevel="0" collapsed="false">
      <c r="A74" s="8" t="s">
        <v>124</v>
      </c>
      <c r="B74" s="19" t="n">
        <f aca="false">COUNTIFS($A$14:$A$37,$A74,$C$14:$C$37,50,$F$14:$F$37,"&gt;0")</f>
        <v>0</v>
      </c>
      <c r="C74" s="37" t="str">
        <f aca="false">IF(B74=0,"",AVERAGEIFS($F$14:$F$37,$A$14:$A$37,$A74,$C$14:$C$37,50,$F$14:$F$37,"&gt;0"))</f>
        <v/>
      </c>
      <c r="D74" s="37" t="str">
        <f aca="false">IF(B74=0,"",AVERAGEIFS($G$14:$G$37,$A$14:$A$37,$A74,$C$14:$C$37,50,$G$14:$G$37,"&gt;0"))</f>
        <v/>
      </c>
      <c r="E74" s="36" t="str">
        <f aca="false">IF(B74=0,"",AVERAGEIFS($I$14:$I$37,$A$14:$A$37,$A74,$C$14:$C$37,50,$I$14:$I$37,"&gt;0"))</f>
        <v/>
      </c>
      <c r="F74" s="34" t="str">
        <f aca="false">IF(B74=0,"",AVERAGEIFS($T$14:$T$37,$A$14:$A$37,$A74,$C$14:$C$37,50,$F$14:$F$37,"&gt;0",$G$14:$G$37,"&gt;0",$J$14:$J$37,"&gt;0"))</f>
        <v/>
      </c>
      <c r="G74" s="44" t="str">
        <f aca="false">IF(COUNTIFS($A$14:$A$37,$A74,$C$14:$C$37,50)=0,"",IF(COUNTIFS($A$14:$A$37,$A74,$C$14:$C$37,50,$U$14:$U$37,"충족")=COUNTIFS($A$14:$A$37,$A74,$C$14:$C$37,50),"충족","미충족"))</f>
        <v/>
      </c>
      <c r="H74" s="45" t="str">
        <f aca="false">E47</f>
        <v/>
      </c>
      <c r="I74" s="38" t="str">
        <f aca="false">IFERROR(D74^(1/3)/H74,"")</f>
        <v/>
      </c>
      <c r="J74" s="41" t="str">
        <f aca="false">IFERROR(t600_ref_cone*(I77/I74)^2,"")</f>
        <v/>
      </c>
      <c r="K74" s="3" t="str">
        <f aca="false">IF(G74="","(콘 미측정: 인증서 등급 사용)",IF(G74="충족","준불연 → TGA 전이함수 적용 가능","가연성 → TGA 미적용, 중규모 필수"))</f>
        <v>(콘 미측정: 인증서 등급 사용)</v>
      </c>
    </row>
    <row r="75" customFormat="false" ht="39.55" hidden="false" customHeight="false" outlineLevel="0" collapsed="false">
      <c r="A75" s="8" t="s">
        <v>125</v>
      </c>
      <c r="B75" s="19" t="n">
        <f aca="false">COUNTIFS($A$14:$A$37,$A75,$C$14:$C$37,50,$F$14:$F$37,"&gt;0")</f>
        <v>0</v>
      </c>
      <c r="C75" s="37" t="str">
        <f aca="false">IF(B75=0,"",AVERAGEIFS($F$14:$F$37,$A$14:$A$37,$A75,$C$14:$C$37,50,$F$14:$F$37,"&gt;0"))</f>
        <v/>
      </c>
      <c r="D75" s="37" t="str">
        <f aca="false">IF(B75=0,"",AVERAGEIFS($G$14:$G$37,$A$14:$A$37,$A75,$C$14:$C$37,50,$G$14:$G$37,"&gt;0"))</f>
        <v/>
      </c>
      <c r="E75" s="36" t="str">
        <f aca="false">IF(B75=0,"",AVERAGEIFS($I$14:$I$37,$A$14:$A$37,$A75,$C$14:$C$37,50,$I$14:$I$37,"&gt;0"))</f>
        <v/>
      </c>
      <c r="F75" s="34" t="str">
        <f aca="false">IF(B75=0,"",AVERAGEIFS($T$14:$T$37,$A$14:$A$37,$A75,$C$14:$C$37,50,$F$14:$F$37,"&gt;0",$G$14:$G$37,"&gt;0",$J$14:$J$37,"&gt;0"))</f>
        <v/>
      </c>
      <c r="G75" s="44" t="str">
        <f aca="false">IF(COUNTIFS($A$14:$A$37,$A75,$C$14:$C$37,50)=0,"",IF(COUNTIFS($A$14:$A$37,$A75,$C$14:$C$37,50,$U$14:$U$37,"충족")=COUNTIFS($A$14:$A$37,$A75,$C$14:$C$37,50),"충족","미충족"))</f>
        <v/>
      </c>
      <c r="H75" s="45" t="str">
        <f aca="false">E51</f>
        <v/>
      </c>
      <c r="I75" s="38" t="str">
        <f aca="false">IFERROR(D75^(1/3)/H75,"")</f>
        <v/>
      </c>
      <c r="J75" s="41" t="str">
        <f aca="false">IFERROR(t600_ref_cone*(I77/I75)^2,"")</f>
        <v/>
      </c>
      <c r="K75" s="3" t="str">
        <f aca="false">IF(G75="","(콘 미측정: 인증서 등급 사용)",IF(G75="충족","준불연 → TGA 전이함수 적용 가능","가연성 → TGA 미적용, 중규모 필수"))</f>
        <v>(콘 미측정: 인증서 등급 사용)</v>
      </c>
    </row>
    <row r="76" customFormat="false" ht="39.55" hidden="false" customHeight="false" outlineLevel="0" collapsed="false">
      <c r="A76" s="8" t="s">
        <v>126</v>
      </c>
      <c r="B76" s="19" t="n">
        <f aca="false">COUNTIFS($A$14:$A$37,$A76,$C$14:$C$37,50,$F$14:$F$37,"&gt;0")</f>
        <v>0</v>
      </c>
      <c r="C76" s="37" t="str">
        <f aca="false">IF(B76=0,"",AVERAGEIFS($F$14:$F$37,$A$14:$A$37,$A76,$C$14:$C$37,50,$F$14:$F$37,"&gt;0"))</f>
        <v/>
      </c>
      <c r="D76" s="37" t="str">
        <f aca="false">IF(B76=0,"",AVERAGEIFS($G$14:$G$37,$A$14:$A$37,$A76,$C$14:$C$37,50,$G$14:$G$37,"&gt;0"))</f>
        <v/>
      </c>
      <c r="E76" s="36" t="str">
        <f aca="false">IF(B76=0,"",AVERAGEIFS($I$14:$I$37,$A$14:$A$37,$A76,$C$14:$C$37,50,$I$14:$I$37,"&gt;0"))</f>
        <v/>
      </c>
      <c r="F76" s="34" t="str">
        <f aca="false">IF(B76=0,"",AVERAGEIFS($T$14:$T$37,$A$14:$A$37,$A76,$C$14:$C$37,50,$F$14:$F$37,"&gt;0",$G$14:$G$37,"&gt;0",$J$14:$J$37,"&gt;0"))</f>
        <v/>
      </c>
      <c r="G76" s="44" t="str">
        <f aca="false">IF(COUNTIFS($A$14:$A$37,$A76,$C$14:$C$37,50)=0,"",IF(COUNTIFS($A$14:$A$37,$A76,$C$14:$C$37,50,$U$14:$U$37,"충족")=COUNTIFS($A$14:$A$37,$A76,$C$14:$C$37,50),"충족","미충족"))</f>
        <v/>
      </c>
      <c r="H76" s="45" t="str">
        <f aca="false">E55</f>
        <v/>
      </c>
      <c r="I76" s="38" t="str">
        <f aca="false">IFERROR(D76^(1/3)/H76,"")</f>
        <v/>
      </c>
      <c r="J76" s="41" t="str">
        <f aca="false">IFERROR(t600_ref_cone*(I77/I76)^2,"")</f>
        <v/>
      </c>
      <c r="K76" s="3" t="str">
        <f aca="false">IF(G76="","(콘 미측정: 인증서 등급 사용)",IF(G76="충족","준불연 → TGA 전이함수 적용 가능","가연성 → TGA 미적용, 중규모 필수"))</f>
        <v>(콘 미측정: 인증서 등급 사용)</v>
      </c>
    </row>
    <row r="77" customFormat="false" ht="39.55" hidden="false" customHeight="false" outlineLevel="0" collapsed="false">
      <c r="A77" s="8" t="s">
        <v>127</v>
      </c>
      <c r="B77" s="19" t="n">
        <f aca="false">COUNTIFS($A$14:$A$37,$A77,$C$14:$C$37,50,$F$14:$F$37,"&gt;0")</f>
        <v>0</v>
      </c>
      <c r="C77" s="37" t="str">
        <f aca="false">IF(B77=0,"",AVERAGEIFS($F$14:$F$37,$A$14:$A$37,$A77,$C$14:$C$37,50,$F$14:$F$37,"&gt;0"))</f>
        <v/>
      </c>
      <c r="D77" s="37" t="str">
        <f aca="false">IF(B77=0,"",AVERAGEIFS($G$14:$G$37,$A$14:$A$37,$A77,$C$14:$C$37,50,$G$14:$G$37,"&gt;0"))</f>
        <v/>
      </c>
      <c r="E77" s="36" t="str">
        <f aca="false">IF(B77=0,"",AVERAGEIFS($I$14:$I$37,$A$14:$A$37,$A77,$C$14:$C$37,50,$I$14:$I$37,"&gt;0"))</f>
        <v/>
      </c>
      <c r="F77" s="34" t="str">
        <f aca="false">IF(B77=0,"",AVERAGEIFS($T$14:$T$37,$A$14:$A$37,$A77,$C$14:$C$37,50,$F$14:$F$37,"&gt;0",$G$14:$G$37,"&gt;0",$J$14:$J$37,"&gt;0"))</f>
        <v/>
      </c>
      <c r="G77" s="44" t="str">
        <f aca="false">IF(COUNTIFS($A$14:$A$37,$A77,$C$14:$C$37,50)=0,"",IF(COUNTIFS($A$14:$A$37,$A77,$C$14:$C$37,50,$U$14:$U$37,"충족")=COUNTIFS($A$14:$A$37,$A77,$C$14:$C$37,50),"충족","미충족"))</f>
        <v/>
      </c>
      <c r="H77" s="45" t="str">
        <f aca="false">E59</f>
        <v/>
      </c>
      <c r="I77" s="38" t="str">
        <f aca="false">IFERROR(D77^(1/3)/H77,"")</f>
        <v/>
      </c>
      <c r="J77" s="41" t="str">
        <f aca="false">IFERROR(t600_ref_cone*(I77/I77)^2,"")</f>
        <v/>
      </c>
      <c r="K77" s="3" t="str">
        <f aca="false">IF(G77="","(콘 미측정: 인증서 등급 사용)",IF(G77="충족","준불연 → TGA 전이함수 적용 가능","가연성 → TGA 미적용, 중규모 필수"))</f>
        <v>(콘 미측정: 인증서 등급 사용)</v>
      </c>
    </row>
    <row r="78" customFormat="false" ht="39.55" hidden="false" customHeight="false" outlineLevel="0" collapsed="false">
      <c r="A78" s="8" t="s">
        <v>128</v>
      </c>
      <c r="B78" s="19" t="n">
        <f aca="false">COUNTIFS($A$14:$A$37,$A78,$C$14:$C$37,50,$F$14:$F$37,"&gt;0")</f>
        <v>0</v>
      </c>
      <c r="C78" s="37" t="str">
        <f aca="false">IF(B78=0,"",AVERAGEIFS($F$14:$F$37,$A$14:$A$37,$A78,$C$14:$C$37,50,$F$14:$F$37,"&gt;0"))</f>
        <v/>
      </c>
      <c r="D78" s="37" t="str">
        <f aca="false">IF(B78=0,"",AVERAGEIFS($G$14:$G$37,$A$14:$A$37,$A78,$C$14:$C$37,50,$G$14:$G$37,"&gt;0"))</f>
        <v/>
      </c>
      <c r="E78" s="36" t="str">
        <f aca="false">IF(B78=0,"",AVERAGEIFS($I$14:$I$37,$A$14:$A$37,$A78,$C$14:$C$37,50,$I$14:$I$37,"&gt;0"))</f>
        <v/>
      </c>
      <c r="F78" s="34" t="str">
        <f aca="false">IF(B78=0,"",AVERAGEIFS($T$14:$T$37,$A$14:$A$37,$A78,$C$14:$C$37,50,$F$14:$F$37,"&gt;0",$G$14:$G$37,"&gt;0",$J$14:$J$37,"&gt;0"))</f>
        <v/>
      </c>
      <c r="G78" s="44" t="str">
        <f aca="false">IF(COUNTIFS($A$14:$A$37,$A78,$C$14:$C$37,50)=0,"",IF(COUNTIFS($A$14:$A$37,$A78,$C$14:$C$37,50,$U$14:$U$37,"충족")=COUNTIFS($A$14:$A$37,$A78,$C$14:$C$37,50),"충족","미충족"))</f>
        <v/>
      </c>
      <c r="H78" s="45" t="str">
        <f aca="false">E63</f>
        <v/>
      </c>
      <c r="I78" s="38" t="str">
        <f aca="false">IFERROR(D78^(1/3)/H78,"")</f>
        <v/>
      </c>
      <c r="J78" s="41" t="str">
        <f aca="false">IFERROR(t600_ref_cone*(I77/I78)^2,"")</f>
        <v/>
      </c>
      <c r="K78" s="3" t="str">
        <f aca="false">IF(G78="","(콘 미측정: 인증서 등급 사용)",IF(G78="충족","준불연 → TGA 전이함수 적용 가능","가연성 → TGA 미적용, 중규모 필수"))</f>
        <v>(콘 미측정: 인증서 등급 사용)</v>
      </c>
    </row>
    <row r="79" customFormat="false" ht="39.55" hidden="false" customHeight="false" outlineLevel="0" collapsed="false">
      <c r="A79" s="8" t="s">
        <v>129</v>
      </c>
      <c r="B79" s="19" t="n">
        <f aca="false">COUNTIFS($A$14:$A$37,$A79,$C$14:$C$37,50,$F$14:$F$37,"&gt;0")</f>
        <v>0</v>
      </c>
      <c r="C79" s="37" t="str">
        <f aca="false">IF(B79=0,"",AVERAGEIFS($F$14:$F$37,$A$14:$A$37,$A79,$C$14:$C$37,50,$F$14:$F$37,"&gt;0"))</f>
        <v/>
      </c>
      <c r="D79" s="37" t="str">
        <f aca="false">IF(B79=0,"",AVERAGEIFS($G$14:$G$37,$A$14:$A$37,$A79,$C$14:$C$37,50,$G$14:$G$37,"&gt;0"))</f>
        <v/>
      </c>
      <c r="E79" s="36" t="str">
        <f aca="false">IF(B79=0,"",AVERAGEIFS($I$14:$I$37,$A$14:$A$37,$A79,$C$14:$C$37,50,$I$14:$I$37,"&gt;0"))</f>
        <v/>
      </c>
      <c r="F79" s="34" t="str">
        <f aca="false">IF(B79=0,"",AVERAGEIFS($T$14:$T$37,$A$14:$A$37,$A79,$C$14:$C$37,50,$F$14:$F$37,"&gt;0",$G$14:$G$37,"&gt;0",$J$14:$J$37,"&gt;0"))</f>
        <v/>
      </c>
      <c r="G79" s="44" t="str">
        <f aca="false">IF(COUNTIFS($A$14:$A$37,$A79,$C$14:$C$37,50)=0,"",IF(COUNTIFS($A$14:$A$37,$A79,$C$14:$C$37,50,$U$14:$U$37,"충족")=COUNTIFS($A$14:$A$37,$A79,$C$14:$C$37,50),"충족","미충족"))</f>
        <v/>
      </c>
      <c r="H79" s="45" t="str">
        <f aca="false">E67</f>
        <v/>
      </c>
      <c r="I79" s="38" t="str">
        <f aca="false">IFERROR(D79^(1/3)/H79,"")</f>
        <v/>
      </c>
      <c r="J79" s="41" t="str">
        <f aca="false">IFERROR(t600_ref_cone*(I77/I79)^2,"")</f>
        <v/>
      </c>
      <c r="K79" s="3" t="str">
        <f aca="false">IF(G79="","(콘 미측정: 인증서 등급 사용)",IF(G79="충족","준불연 → TGA 전이함수 적용 가능","가연성 → TGA 미적용, 중규모 필수"))</f>
        <v>(콘 미측정: 인증서 등급 사용)</v>
      </c>
    </row>
    <row r="81" customFormat="false" ht="15" hidden="false" customHeight="false" outlineLevel="0" collapsed="false">
      <c r="A81" s="5" t="s">
        <v>137</v>
      </c>
    </row>
  </sheetData>
  <mergeCells count="4">
    <mergeCell ref="A4:H4"/>
    <mergeCell ref="A11:V11"/>
    <mergeCell ref="A41:H41"/>
    <mergeCell ref="A72:K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9" min="7" style="0" width="8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22"/>
    <col collapsed="false" customWidth="true" hidden="false" outlineLevel="0" max="16" min="15" style="0" width="11"/>
    <col collapsed="false" customWidth="true" hidden="false" outlineLevel="0" max="17" min="17" style="0" width="10"/>
    <col collapsed="false" customWidth="true" hidden="false" outlineLevel="0" max="18" min="18" style="0" width="6"/>
    <col collapsed="false" customWidth="true" hidden="false" outlineLevel="0" max="20" min="19" style="0" width="8"/>
    <col collapsed="false" customWidth="true" hidden="false" outlineLevel="0" max="22" min="21" style="0" width="9"/>
    <col collapsed="false" customWidth="true" hidden="false" outlineLevel="0" max="23" min="23" style="0" width="16"/>
  </cols>
  <sheetData>
    <row r="1" customFormat="false" ht="19.4" hidden="false" customHeight="false" outlineLevel="0" collapsed="false">
      <c r="A1" s="16" t="s">
        <v>138</v>
      </c>
    </row>
    <row r="2" customFormat="false" ht="15" hidden="false" customHeight="false" outlineLevel="0" collapsed="false">
      <c r="A2" s="5" t="s">
        <v>139</v>
      </c>
    </row>
    <row r="4" customFormat="false" ht="43.5" hidden="false" customHeight="true" outlineLevel="0" collapsed="false">
      <c r="A4" s="6" t="s">
        <v>92</v>
      </c>
      <c r="B4" s="6" t="s">
        <v>140</v>
      </c>
      <c r="C4" s="6" t="s">
        <v>141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146</v>
      </c>
      <c r="I4" s="7" t="s">
        <v>145</v>
      </c>
      <c r="J4" s="7" t="s">
        <v>147</v>
      </c>
      <c r="K4" s="7" t="s">
        <v>148</v>
      </c>
      <c r="L4" s="6" t="s">
        <v>149</v>
      </c>
      <c r="M4" s="6" t="s">
        <v>150</v>
      </c>
      <c r="N4" s="6" t="s">
        <v>7</v>
      </c>
      <c r="O4" s="7" t="s">
        <v>151</v>
      </c>
      <c r="P4" s="7" t="s">
        <v>152</v>
      </c>
      <c r="Q4" s="7" t="s">
        <v>153</v>
      </c>
      <c r="R4" s="7" t="s">
        <v>154</v>
      </c>
      <c r="S4" s="7" t="s">
        <v>155</v>
      </c>
      <c r="T4" s="7" t="s">
        <v>156</v>
      </c>
      <c r="U4" s="7" t="s">
        <v>157</v>
      </c>
      <c r="V4" s="7" t="s">
        <v>158</v>
      </c>
      <c r="W4" s="6" t="s">
        <v>159</v>
      </c>
    </row>
    <row r="5" customFormat="false" ht="26.85" hidden="false" customHeight="false" outlineLevel="0" collapsed="false">
      <c r="A5" s="8" t="s">
        <v>160</v>
      </c>
      <c r="B5" s="4" t="s">
        <v>161</v>
      </c>
      <c r="C5" s="32" t="s">
        <v>162</v>
      </c>
      <c r="D5" s="46" t="n">
        <v>274.5113</v>
      </c>
      <c r="E5" s="46" t="n">
        <v>274.5</v>
      </c>
      <c r="F5" s="47" t="n">
        <v>2.4377</v>
      </c>
      <c r="G5" s="47" t="n">
        <v>0.4041</v>
      </c>
      <c r="H5" s="47" t="n">
        <v>0.026</v>
      </c>
      <c r="I5" s="47" t="n">
        <v>0.0056</v>
      </c>
      <c r="J5" s="47" t="n">
        <v>2.6483</v>
      </c>
      <c r="K5" s="47" t="n">
        <v>0.279</v>
      </c>
      <c r="L5" s="48" t="s">
        <v>163</v>
      </c>
      <c r="M5" s="19" t="str">
        <f aca="false">IF(H5&lt;f_melt,"용융형","탄화형")</f>
        <v>용융형</v>
      </c>
      <c r="N5" s="14" t="str">
        <f aca="false">IF(C5="c","가연성 → TGA 미적용",IF(H5&lt;f_melt,"용융형 → 확산식 미적용","적용"))</f>
        <v>가연성 → TGA 미적용</v>
      </c>
      <c r="O5" s="37" t="n">
        <f aca="false">t_ig_sys+C_sys/F5</f>
        <v>421.010481191287</v>
      </c>
      <c r="P5" s="41" t="n">
        <f aca="false">IFERROR(INDEX(loo_t600,MATCH(A5,loo_key,0)),O5)</f>
        <v>421.010481191287</v>
      </c>
      <c r="Q5" s="34" t="n">
        <f aca="false">t_ref/P5</f>
        <v>2.13771400050034</v>
      </c>
      <c r="R5" s="19" t="str">
        <f aca="false">IF(N5&lt;&gt;"적용","—",IF(Q5&gt;=2,4,IF(Q5&gt;=1,3,IF(Q5&gt;=0.5,2,1))))</f>
        <v>—</v>
      </c>
      <c r="S5" s="35" t="n">
        <f aca="false">MIN(0.95,MAX(0.05,(H5-f_lo)/(f_hi-f_lo)))</f>
        <v>0.05</v>
      </c>
      <c r="T5" s="35" t="n">
        <f aca="false">n0*S5</f>
        <v>0.1</v>
      </c>
      <c r="U5" s="35" t="n">
        <f aca="false">n0*(1-S5)</f>
        <v>1.9</v>
      </c>
      <c r="V5" s="49" t="n">
        <f aca="false">T5/(T5+U5)</f>
        <v>0.05</v>
      </c>
      <c r="W5" s="3" t="str">
        <f aca="false">IF(M5="용융형","A 예상(용융·순간연소)",IF(C5="c","A 예상(가연성 전면착화)","—"))</f>
        <v>A 예상(용융·순간연소)</v>
      </c>
    </row>
    <row r="6" customFormat="false" ht="26.85" hidden="false" customHeight="false" outlineLevel="0" collapsed="false">
      <c r="A6" s="8" t="s">
        <v>164</v>
      </c>
      <c r="B6" s="4" t="s">
        <v>165</v>
      </c>
      <c r="C6" s="32" t="s">
        <v>166</v>
      </c>
      <c r="D6" s="46" t="n">
        <v>301.4463</v>
      </c>
      <c r="E6" s="46" t="n">
        <v>245.75</v>
      </c>
      <c r="F6" s="47" t="n">
        <v>1.0224</v>
      </c>
      <c r="G6" s="47" t="n">
        <v>0.0423</v>
      </c>
      <c r="H6" s="47" t="n">
        <v>0.3333</v>
      </c>
      <c r="I6" s="47" t="n">
        <v>0.0171</v>
      </c>
      <c r="J6" s="47" t="n">
        <v>1.1513</v>
      </c>
      <c r="K6" s="47" t="n">
        <v>0.5378</v>
      </c>
      <c r="L6" s="48" t="s">
        <v>167</v>
      </c>
      <c r="M6" s="19" t="str">
        <f aca="false">IF(H6&lt;f_melt,"용융형","탄화형")</f>
        <v>용융형</v>
      </c>
      <c r="N6" s="14" t="str">
        <f aca="false">IF(C6="c","가연성 → TGA 미적용",IF(H6&lt;f_melt,"용융형 → 확산식 미적용","적용"))</f>
        <v>용융형 → 확산식 미적용</v>
      </c>
      <c r="O6" s="37" t="n">
        <f aca="false">t_ig_sys+C_sys/F6</f>
        <v>661.199628325509</v>
      </c>
      <c r="P6" s="41" t="n">
        <f aca="false">IFERROR(INDEX(loo_t600,MATCH(A6,loo_key,0)),O6)</f>
        <v>661.199628325509</v>
      </c>
      <c r="Q6" s="34" t="n">
        <f aca="false">t_ref/P6</f>
        <v>1.36116228963899</v>
      </c>
      <c r="R6" s="19" t="str">
        <f aca="false">IF(N6&lt;&gt;"적용","—",IF(Q6&gt;=2,4,IF(Q6&gt;=1,3,IF(Q6&gt;=0.5,2,1))))</f>
        <v>—</v>
      </c>
      <c r="S6" s="35" t="n">
        <f aca="false">MIN(0.95,MAX(0.05,(H6-f_lo)/(f_hi-f_lo)))</f>
        <v>0.05</v>
      </c>
      <c r="T6" s="35" t="n">
        <f aca="false">n0*S6</f>
        <v>0.1</v>
      </c>
      <c r="U6" s="35" t="n">
        <f aca="false">n0*(1-S6)</f>
        <v>1.9</v>
      </c>
      <c r="V6" s="49" t="n">
        <f aca="false">T6/(T6+U6)</f>
        <v>0.05</v>
      </c>
      <c r="W6" s="3" t="str">
        <f aca="false">IF(M6="용융형","A 예상(용융·순간연소)",IF(C6="c","A 예상(가연성 전면착화)","—"))</f>
        <v>A 예상(용융·순간연소)</v>
      </c>
    </row>
    <row r="7" customFormat="false" ht="26.85" hidden="false" customHeight="false" outlineLevel="0" collapsed="false">
      <c r="A7" s="8" t="s">
        <v>168</v>
      </c>
      <c r="B7" s="4" t="s">
        <v>169</v>
      </c>
      <c r="C7" s="32" t="s">
        <v>162</v>
      </c>
      <c r="D7" s="46" t="n">
        <v>463.4172</v>
      </c>
      <c r="E7" s="46" t="n">
        <v>263.25</v>
      </c>
      <c r="F7" s="47" t="n">
        <v>0.7496</v>
      </c>
      <c r="G7" s="47" t="n">
        <v>0.0019</v>
      </c>
      <c r="H7" s="47" t="n">
        <v>0.6655</v>
      </c>
      <c r="I7" s="47" t="n">
        <v>0.0029</v>
      </c>
      <c r="J7" s="47" t="n">
        <v>0.7048</v>
      </c>
      <c r="K7" s="47" t="n">
        <v>0.4603</v>
      </c>
      <c r="L7" s="48" t="s">
        <v>170</v>
      </c>
      <c r="M7" s="19" t="str">
        <f aca="false">IF(H7&lt;f_melt,"용융형","탄화형")</f>
        <v>탄화형</v>
      </c>
      <c r="N7" s="14" t="str">
        <f aca="false">IF(C7="c","가연성 → TGA 미적용",IF(H7&lt;f_melt,"용융형 → 확산식 미적용","적용"))</f>
        <v>가연성 → TGA 미적용</v>
      </c>
      <c r="O7" s="37" t="n">
        <f aca="false">t_ig_sys+C_sys/F7</f>
        <v>811.756270010672</v>
      </c>
      <c r="P7" s="41" t="n">
        <f aca="false">IFERROR(INDEX(loo_t600,MATCH(A7,loo_key,0)),O7)</f>
        <v>811.756270010672</v>
      </c>
      <c r="Q7" s="34" t="n">
        <f aca="false">t_ref/P7</f>
        <v>1.10870717387642</v>
      </c>
      <c r="R7" s="19" t="str">
        <f aca="false">IF(N7&lt;&gt;"적용","—",IF(Q7&gt;=2,4,IF(Q7&gt;=1,3,IF(Q7&gt;=0.5,2,1))))</f>
        <v>—</v>
      </c>
      <c r="S7" s="35" t="n">
        <f aca="false">MIN(0.95,MAX(0.05,(H7-f_lo)/(f_hi-f_lo)))</f>
        <v>0.655</v>
      </c>
      <c r="T7" s="35" t="n">
        <f aca="false">n0*S7</f>
        <v>1.31</v>
      </c>
      <c r="U7" s="35" t="n">
        <f aca="false">n0*(1-S7)</f>
        <v>0.69</v>
      </c>
      <c r="V7" s="49" t="n">
        <f aca="false">T7/(T7+U7)</f>
        <v>0.655</v>
      </c>
      <c r="W7" s="3" t="str">
        <f aca="false">IF(M7="용융형","A 예상(용융·순간연소)",IF(C7="c","A 예상(가연성 전면착화)","—"))</f>
        <v>A 예상(가연성 전면착화)</v>
      </c>
    </row>
    <row r="8" customFormat="false" ht="15" hidden="false" customHeight="false" outlineLevel="0" collapsed="false">
      <c r="A8" s="8" t="s">
        <v>171</v>
      </c>
      <c r="B8" s="4" t="s">
        <v>172</v>
      </c>
      <c r="C8" s="32" t="s">
        <v>166</v>
      </c>
      <c r="D8" s="46" t="n">
        <v>402.9464</v>
      </c>
      <c r="E8" s="46" t="n">
        <v>223.75</v>
      </c>
      <c r="F8" s="47" t="n">
        <v>0.5752</v>
      </c>
      <c r="G8" s="47" t="n">
        <v>0.0559</v>
      </c>
      <c r="H8" s="47" t="n">
        <v>0.6288</v>
      </c>
      <c r="I8" s="47" t="n">
        <v>0.007</v>
      </c>
      <c r="J8" s="47" t="n">
        <v>0.5289</v>
      </c>
      <c r="K8" s="47" t="n">
        <v>0.4298</v>
      </c>
      <c r="L8" s="48" t="s">
        <v>173</v>
      </c>
      <c r="M8" s="19" t="str">
        <f aca="false">IF(H8&lt;f_melt,"용융형","탄화형")</f>
        <v>탄화형</v>
      </c>
      <c r="N8" s="14" t="str">
        <f aca="false">IF(C8="c","가연성 → TGA 미적용",IF(H8&lt;f_melt,"용융형 → 확산식 미적용","적용"))</f>
        <v>적용</v>
      </c>
      <c r="O8" s="37" t="n">
        <f aca="false">t_ig_sys+C_sys/F8</f>
        <v>982.83814325452</v>
      </c>
      <c r="P8" s="41" t="n">
        <f aca="false">IFERROR(INDEX(loo_t600,MATCH(A8,loo_key,0)),O8)</f>
        <v>925.76</v>
      </c>
      <c r="Q8" s="34" t="n">
        <f aca="false">t_ref/P8</f>
        <v>0.972174213619081</v>
      </c>
      <c r="R8" s="19" t="n">
        <f aca="false">IF(N8&lt;&gt;"적용","—",IF(Q8&gt;=2,4,IF(Q8&gt;=1,3,IF(Q8&gt;=0.5,2,1))))</f>
        <v>2</v>
      </c>
      <c r="S8" s="35" t="n">
        <f aca="false">MIN(0.95,MAX(0.05,(H8-f_lo)/(f_hi-f_lo)))</f>
        <v>0.288000000000001</v>
      </c>
      <c r="T8" s="35" t="n">
        <f aca="false">n0*S8</f>
        <v>0.576000000000001</v>
      </c>
      <c r="U8" s="35" t="n">
        <f aca="false">n0*(1-S8)</f>
        <v>1.424</v>
      </c>
      <c r="V8" s="49" t="n">
        <f aca="false">T8/(T8+U8)</f>
        <v>0.288000000000001</v>
      </c>
      <c r="W8" s="3" t="str">
        <f aca="false">IF(M8="용융형","A 예상(용융·순간연소)",IF(C8="c","A 예상(가연성 전면착화)","—"))</f>
        <v>—</v>
      </c>
    </row>
    <row r="9" customFormat="false" ht="15" hidden="false" customHeight="false" outlineLevel="0" collapsed="false">
      <c r="A9" s="8" t="s">
        <v>174</v>
      </c>
      <c r="B9" s="4" t="s">
        <v>175</v>
      </c>
      <c r="C9" s="32" t="s">
        <v>166</v>
      </c>
      <c r="D9" s="46" t="n">
        <v>339.5544</v>
      </c>
      <c r="E9" s="46" t="n">
        <v>197.5</v>
      </c>
      <c r="F9" s="47" t="n">
        <v>0.4064</v>
      </c>
      <c r="G9" s="47" t="n">
        <v>0.0026</v>
      </c>
      <c r="H9" s="47" t="n">
        <v>0.7032</v>
      </c>
      <c r="I9" s="47" t="n">
        <v>0.0008</v>
      </c>
      <c r="J9" s="47" t="n">
        <v>0.2732</v>
      </c>
      <c r="K9" s="47" t="n">
        <v>0.6352</v>
      </c>
      <c r="L9" s="48" t="s">
        <v>170</v>
      </c>
      <c r="M9" s="19" t="str">
        <f aca="false">IF(H9&lt;f_melt,"용융형","탄화형")</f>
        <v>탄화형</v>
      </c>
      <c r="N9" s="14" t="str">
        <f aca="false">IF(C9="c","가연성 → TGA 미적용",IF(H9&lt;f_melt,"용융형 → 확산식 미적용","적용"))</f>
        <v>적용</v>
      </c>
      <c r="O9" s="37" t="n">
        <f aca="false">t_ig_sys+C_sys/F9</f>
        <v>1288.26402559055</v>
      </c>
      <c r="P9" s="41" t="n">
        <f aca="false">IFERROR(INDEX(loo_t600,MATCH(A9,loo_key,0)),O9)</f>
        <v>1260.9</v>
      </c>
      <c r="Q9" s="34" t="n">
        <f aca="false">t_ref/P9</f>
        <v>0.713775874375446</v>
      </c>
      <c r="R9" s="19" t="n">
        <f aca="false">IF(N9&lt;&gt;"적용","—",IF(Q9&gt;=2,4,IF(Q9&gt;=1,3,IF(Q9&gt;=0.5,2,1))))</f>
        <v>2</v>
      </c>
      <c r="S9" s="35" t="n">
        <f aca="false">MIN(0.95,MAX(0.05,(H9-f_lo)/(f_hi-f_lo)))</f>
        <v>0.95</v>
      </c>
      <c r="T9" s="35" t="n">
        <f aca="false">n0*S9</f>
        <v>1.9</v>
      </c>
      <c r="U9" s="35" t="n">
        <f aca="false">n0*(1-S9)</f>
        <v>0.1</v>
      </c>
      <c r="V9" s="49" t="n">
        <f aca="false">T9/(T9+U9)</f>
        <v>0.95</v>
      </c>
      <c r="W9" s="3" t="str">
        <f aca="false">IF(M9="용융형","A 예상(용융·순간연소)",IF(C9="c","A 예상(가연성 전면착화)","—"))</f>
        <v>—</v>
      </c>
    </row>
    <row r="10" customFormat="false" ht="15" hidden="false" customHeight="false" outlineLevel="0" collapsed="false">
      <c r="A10" s="8" t="s">
        <v>176</v>
      </c>
      <c r="B10" s="4" t="s">
        <v>177</v>
      </c>
      <c r="C10" s="32" t="s">
        <v>166</v>
      </c>
      <c r="D10" s="46" t="n">
        <v>398.3672</v>
      </c>
      <c r="E10" s="46" t="n">
        <v>176</v>
      </c>
      <c r="F10" s="47" t="n">
        <v>1.1737</v>
      </c>
      <c r="G10" s="47" t="n">
        <v>0.0078</v>
      </c>
      <c r="H10" s="47" t="n">
        <v>0.6512</v>
      </c>
      <c r="I10" s="47" t="n">
        <v>0.0031</v>
      </c>
      <c r="J10" s="47" t="n">
        <v>0.2491</v>
      </c>
      <c r="K10" s="47" t="n">
        <v>0.7167</v>
      </c>
      <c r="L10" s="48" t="s">
        <v>170</v>
      </c>
      <c r="M10" s="19" t="str">
        <f aca="false">IF(H10&lt;f_melt,"용융형","탄화형")</f>
        <v>탄화형</v>
      </c>
      <c r="N10" s="14" t="str">
        <f aca="false">IF(C10="c","가연성 → TGA 미적용",IF(H10&lt;f_melt,"용융형 → 확산식 미적용","적용"))</f>
        <v>적용</v>
      </c>
      <c r="O10" s="37" t="n">
        <f aca="false">t_ig_sys+C_sys/F10</f>
        <v>607.870196813496</v>
      </c>
      <c r="P10" s="41" t="n">
        <f aca="false">IFERROR(INDEX(loo_t600,MATCH(A10,loo_key,0)),O10)</f>
        <v>664.06</v>
      </c>
      <c r="Q10" s="34" t="n">
        <f aca="false">t_ref/P10</f>
        <v>1.35529921995</v>
      </c>
      <c r="R10" s="19" t="n">
        <f aca="false">IF(N10&lt;&gt;"적용","—",IF(Q10&gt;=2,4,IF(Q10&gt;=1,3,IF(Q10&gt;=0.5,2,1))))</f>
        <v>3</v>
      </c>
      <c r="S10" s="35" t="n">
        <f aca="false">MIN(0.95,MAX(0.05,(H10-f_lo)/(f_hi-f_lo)))</f>
        <v>0.512</v>
      </c>
      <c r="T10" s="35" t="n">
        <f aca="false">n0*S10</f>
        <v>1.024</v>
      </c>
      <c r="U10" s="35" t="n">
        <f aca="false">n0*(1-S10)</f>
        <v>0.975999999999999</v>
      </c>
      <c r="V10" s="49" t="n">
        <f aca="false">T10/(T10+U10)</f>
        <v>0.512</v>
      </c>
      <c r="W10" s="3" t="str">
        <f aca="false">IF(M10="용융형","A 예상(용융·순간연소)",IF(C10="c","A 예상(가연성 전면착화)","—"))</f>
        <v>—</v>
      </c>
    </row>
    <row r="12" customFormat="false" ht="15" hidden="false" customHeight="false" outlineLevel="0" collapsed="false">
      <c r="A12" s="5" t="s">
        <v>178</v>
      </c>
    </row>
    <row r="13" customFormat="false" ht="15" hidden="false" customHeight="false" outlineLevel="0" collapsed="false">
      <c r="A13" s="5" t="s">
        <v>179</v>
      </c>
    </row>
    <row r="14" customFormat="false" ht="15" hidden="false" customHeight="false" outlineLevel="0" collapsed="false">
      <c r="A14" s="5" t="s">
        <v>180</v>
      </c>
    </row>
  </sheetData>
  <dataValidations count="1">
    <dataValidation allowBlank="true" errorStyle="stop" operator="between" showDropDown="false" showErrorMessage="false" showInputMessage="false" sqref="C5:C10" type="list">
      <formula1>"c,sc"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4" min="3" style="0" width="30"/>
    <col collapsed="false" customWidth="true" hidden="false" outlineLevel="0" max="16" min="5" style="0" width="13"/>
  </cols>
  <sheetData>
    <row r="1" customFormat="false" ht="19.4" hidden="false" customHeight="false" outlineLevel="0" collapsed="false">
      <c r="A1" s="16" t="s">
        <v>181</v>
      </c>
    </row>
    <row r="2" customFormat="false" ht="15" hidden="false" customHeight="false" outlineLevel="0" collapsed="false">
      <c r="A2" s="15" t="s">
        <v>182</v>
      </c>
    </row>
    <row r="4" customFormat="false" ht="15" hidden="false" customHeight="true" outlineLevel="0" collapsed="false">
      <c r="A4" s="22" t="s">
        <v>183</v>
      </c>
      <c r="B4" s="22"/>
      <c r="C4" s="22"/>
      <c r="D4" s="22"/>
    </row>
    <row r="5" customFormat="false" ht="15" hidden="false" customHeight="false" outlineLevel="0" collapsed="false">
      <c r="A5" s="6" t="s">
        <v>184</v>
      </c>
      <c r="B5" s="6" t="s">
        <v>185</v>
      </c>
      <c r="C5" s="6" t="s">
        <v>186</v>
      </c>
      <c r="D5" s="6" t="s">
        <v>187</v>
      </c>
    </row>
    <row r="6" customFormat="false" ht="15" hidden="false" customHeight="false" outlineLevel="0" collapsed="false">
      <c r="A6" s="2" t="s">
        <v>188</v>
      </c>
      <c r="B6" s="4" t="s">
        <v>189</v>
      </c>
      <c r="C6" s="3" t="s">
        <v>190</v>
      </c>
      <c r="D6" s="3" t="s">
        <v>191</v>
      </c>
    </row>
    <row r="7" customFormat="false" ht="15" hidden="false" customHeight="false" outlineLevel="0" collapsed="false">
      <c r="A7" s="2" t="s">
        <v>188</v>
      </c>
      <c r="B7" s="4" t="s">
        <v>192</v>
      </c>
      <c r="C7" s="3" t="s">
        <v>193</v>
      </c>
      <c r="D7" s="3" t="s">
        <v>191</v>
      </c>
    </row>
    <row r="8" customFormat="false" ht="15" hidden="false" customHeight="false" outlineLevel="0" collapsed="false">
      <c r="A8" s="2" t="s">
        <v>188</v>
      </c>
      <c r="B8" s="4" t="s">
        <v>194</v>
      </c>
      <c r="C8" s="3" t="s">
        <v>195</v>
      </c>
      <c r="D8" s="3" t="s">
        <v>196</v>
      </c>
    </row>
    <row r="9" customFormat="false" ht="15" hidden="false" customHeight="false" outlineLevel="0" collapsed="false">
      <c r="A9" s="8" t="s">
        <v>197</v>
      </c>
      <c r="B9" s="4" t="s">
        <v>198</v>
      </c>
      <c r="C9" s="4" t="s">
        <v>199</v>
      </c>
      <c r="D9" s="4" t="s">
        <v>200</v>
      </c>
    </row>
    <row r="10" customFormat="false" ht="15" hidden="false" customHeight="false" outlineLevel="0" collapsed="false">
      <c r="A10" s="8" t="s">
        <v>197</v>
      </c>
      <c r="B10" s="4" t="s">
        <v>201</v>
      </c>
      <c r="C10" s="3" t="s">
        <v>202</v>
      </c>
      <c r="D10" s="3" t="s">
        <v>203</v>
      </c>
    </row>
    <row r="11" customFormat="false" ht="15" hidden="false" customHeight="false" outlineLevel="0" collapsed="false">
      <c r="A11" s="8" t="s">
        <v>197</v>
      </c>
      <c r="B11" s="4" t="s">
        <v>204</v>
      </c>
      <c r="C11" s="4" t="s">
        <v>205</v>
      </c>
      <c r="D11" s="3" t="s">
        <v>191</v>
      </c>
    </row>
    <row r="12" customFormat="false" ht="15" hidden="false" customHeight="false" outlineLevel="0" collapsed="false">
      <c r="A12" s="8" t="s">
        <v>197</v>
      </c>
      <c r="B12" s="4" t="s">
        <v>206</v>
      </c>
      <c r="C12" s="3" t="s">
        <v>207</v>
      </c>
      <c r="D12" s="3" t="s">
        <v>208</v>
      </c>
    </row>
    <row r="13" customFormat="false" ht="15" hidden="false" customHeight="false" outlineLevel="0" collapsed="false">
      <c r="A13" s="8" t="s">
        <v>197</v>
      </c>
      <c r="B13" s="4" t="s">
        <v>209</v>
      </c>
      <c r="C13" s="3" t="s">
        <v>210</v>
      </c>
      <c r="D13" s="3" t="s">
        <v>211</v>
      </c>
    </row>
    <row r="14" customFormat="false" ht="15" hidden="false" customHeight="false" outlineLevel="0" collapsed="false">
      <c r="A14" s="8" t="s">
        <v>197</v>
      </c>
      <c r="B14" s="4" t="s">
        <v>212</v>
      </c>
      <c r="C14" s="3" t="s">
        <v>213</v>
      </c>
      <c r="D14" s="3" t="s">
        <v>214</v>
      </c>
    </row>
    <row r="15" customFormat="false" ht="15" hidden="false" customHeight="false" outlineLevel="0" collapsed="false">
      <c r="A15" s="2" t="s">
        <v>215</v>
      </c>
      <c r="B15" s="4" t="s">
        <v>216</v>
      </c>
      <c r="C15" s="4" t="s">
        <v>217</v>
      </c>
      <c r="D15" s="3" t="s">
        <v>191</v>
      </c>
    </row>
    <row r="16" customFormat="false" ht="15" hidden="false" customHeight="false" outlineLevel="0" collapsed="false">
      <c r="A16" s="2" t="s">
        <v>215</v>
      </c>
      <c r="B16" s="4" t="s">
        <v>218</v>
      </c>
      <c r="C16" s="3" t="s">
        <v>193</v>
      </c>
      <c r="D16" s="3" t="s">
        <v>219</v>
      </c>
    </row>
    <row r="17" customFormat="false" ht="15" hidden="false" customHeight="false" outlineLevel="0" collapsed="false">
      <c r="A17" s="2" t="s">
        <v>215</v>
      </c>
      <c r="B17" s="4" t="s">
        <v>220</v>
      </c>
      <c r="C17" s="3" t="s">
        <v>221</v>
      </c>
      <c r="D17" s="3" t="s">
        <v>222</v>
      </c>
    </row>
    <row r="18" customFormat="false" ht="15" hidden="false" customHeight="false" outlineLevel="0" collapsed="false">
      <c r="A18" s="2" t="s">
        <v>215</v>
      </c>
      <c r="B18" s="4" t="s">
        <v>223</v>
      </c>
      <c r="C18" s="3" t="s">
        <v>224</v>
      </c>
      <c r="D18" s="3" t="s">
        <v>191</v>
      </c>
    </row>
    <row r="19" customFormat="false" ht="15" hidden="false" customHeight="false" outlineLevel="0" collapsed="false">
      <c r="A19" s="2" t="s">
        <v>225</v>
      </c>
      <c r="B19" s="4" t="s">
        <v>226</v>
      </c>
      <c r="C19" s="4" t="s">
        <v>227</v>
      </c>
      <c r="D19" s="3" t="s">
        <v>228</v>
      </c>
    </row>
    <row r="20" customFormat="false" ht="15" hidden="false" customHeight="false" outlineLevel="0" collapsed="false">
      <c r="A20" s="2" t="s">
        <v>225</v>
      </c>
      <c r="B20" s="4" t="s">
        <v>229</v>
      </c>
      <c r="C20" s="4" t="s">
        <v>230</v>
      </c>
      <c r="D20" s="3" t="s">
        <v>231</v>
      </c>
    </row>
    <row r="21" customFormat="false" ht="15" hidden="false" customHeight="false" outlineLevel="0" collapsed="false">
      <c r="A21" s="2" t="s">
        <v>225</v>
      </c>
      <c r="B21" s="4" t="s">
        <v>232</v>
      </c>
      <c r="C21" s="4" t="s">
        <v>233</v>
      </c>
      <c r="D21" s="3" t="s">
        <v>234</v>
      </c>
    </row>
    <row r="22" customFormat="false" ht="15" hidden="false" customHeight="false" outlineLevel="0" collapsed="false">
      <c r="A22" s="2" t="s">
        <v>235</v>
      </c>
      <c r="B22" s="4" t="s">
        <v>236</v>
      </c>
      <c r="C22" s="4" t="s">
        <v>217</v>
      </c>
      <c r="D22" s="3" t="s">
        <v>237</v>
      </c>
    </row>
    <row r="23" customFormat="false" ht="15" hidden="false" customHeight="false" outlineLevel="0" collapsed="false">
      <c r="A23" s="2" t="s">
        <v>238</v>
      </c>
      <c r="B23" s="4" t="s">
        <v>239</v>
      </c>
      <c r="C23" s="4" t="s">
        <v>217</v>
      </c>
      <c r="D23" s="3" t="s">
        <v>240</v>
      </c>
    </row>
    <row r="24" customFormat="false" ht="15" hidden="false" customHeight="false" outlineLevel="0" collapsed="false">
      <c r="A24" s="2" t="s">
        <v>241</v>
      </c>
      <c r="B24" s="4" t="s">
        <v>242</v>
      </c>
      <c r="C24" s="4" t="s">
        <v>243</v>
      </c>
      <c r="D24" s="4" t="s">
        <v>244</v>
      </c>
    </row>
    <row r="26" customFormat="false" ht="15" hidden="false" customHeight="true" outlineLevel="0" collapsed="false">
      <c r="A26" s="22" t="s">
        <v>245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</row>
    <row r="27" customFormat="false" ht="31.5" hidden="false" customHeight="true" outlineLevel="0" collapsed="false">
      <c r="A27" s="6" t="s">
        <v>92</v>
      </c>
      <c r="B27" s="6" t="s">
        <v>246</v>
      </c>
      <c r="C27" s="6" t="s">
        <v>247</v>
      </c>
      <c r="D27" s="6" t="s">
        <v>248</v>
      </c>
      <c r="E27" s="6" t="s">
        <v>249</v>
      </c>
      <c r="F27" s="7" t="s">
        <v>250</v>
      </c>
      <c r="G27" s="7" t="s">
        <v>251</v>
      </c>
      <c r="H27" s="7" t="s">
        <v>252</v>
      </c>
      <c r="I27" s="7" t="s">
        <v>253</v>
      </c>
      <c r="J27" s="7" t="s">
        <v>254</v>
      </c>
      <c r="K27" s="7" t="s">
        <v>255</v>
      </c>
      <c r="L27" s="6" t="s">
        <v>256</v>
      </c>
      <c r="M27" s="6" t="s">
        <v>257</v>
      </c>
      <c r="N27" s="6" t="s">
        <v>258</v>
      </c>
      <c r="O27" s="6" t="s">
        <v>259</v>
      </c>
      <c r="P27" s="6" t="s">
        <v>260</v>
      </c>
    </row>
    <row r="28" customFormat="false" ht="15" hidden="false" customHeight="false" outlineLevel="0" collapsed="false">
      <c r="A28" s="23" t="s">
        <v>114</v>
      </c>
      <c r="B28" s="25" t="s">
        <v>261</v>
      </c>
      <c r="C28" s="24" t="s">
        <v>262</v>
      </c>
      <c r="D28" s="24" t="s">
        <v>263</v>
      </c>
      <c r="E28" s="24" t="s">
        <v>263</v>
      </c>
      <c r="F28" s="25" t="n">
        <v>0.42</v>
      </c>
      <c r="G28" s="25" t="n">
        <v>0.6</v>
      </c>
      <c r="H28" s="25" t="n">
        <v>0.02</v>
      </c>
      <c r="I28" s="25" t="n">
        <v>0.15</v>
      </c>
      <c r="J28" s="25" t="n">
        <v>0.6</v>
      </c>
      <c r="K28" s="25"/>
      <c r="L28" s="27" t="n">
        <f aca="false">IF(OR(F28="",G28=""),"",F28/G28)</f>
        <v>0.7</v>
      </c>
      <c r="M28" s="27" t="n">
        <f aca="false">IF(OR(H28="",G28=""),"",H28/G28)</f>
        <v>0.0333333333333333</v>
      </c>
      <c r="N28" s="27" t="n">
        <f aca="false">IF(OR(I28="",J28=""),"",I28/J28)</f>
        <v>0.25</v>
      </c>
      <c r="O28" s="27" t="str">
        <f aca="false">IF(OR(K28="",J28=""),"",K28/J28)</f>
        <v/>
      </c>
      <c r="P28" s="25" t="str">
        <f aca="false">IF(OR(D28="",E28=""),"",IF(D28=E28,"일치","불일치"))</f>
        <v>일치</v>
      </c>
    </row>
    <row r="29" customFormat="false" ht="15" hidden="false" customHeight="false" outlineLevel="0" collapsed="false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5" t="str">
        <f aca="false">IF(OR(F29="",G29=""),"",F29/G29)</f>
        <v/>
      </c>
      <c r="M29" s="35" t="str">
        <f aca="false">IF(OR(H29="",G29=""),"",H29/G29)</f>
        <v/>
      </c>
      <c r="N29" s="35" t="str">
        <f aca="false">IF(OR(I29="",J29=""),"",I29/J29)</f>
        <v/>
      </c>
      <c r="O29" s="35" t="str">
        <f aca="false">IF(OR(K29="",J29=""),"",K29/J29)</f>
        <v/>
      </c>
      <c r="P29" s="19" t="str">
        <f aca="false">IF(OR(D29="",E29=""),"",IF(D29=E29,"일치","불일치"))</f>
        <v/>
      </c>
    </row>
    <row r="30" customFormat="false" ht="15" hidden="false" customHeight="false" outlineLevel="0" collapsed="false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5" t="str">
        <f aca="false">IF(OR(F30="",G30=""),"",F30/G30)</f>
        <v/>
      </c>
      <c r="M30" s="35" t="str">
        <f aca="false">IF(OR(H30="",G30=""),"",H30/G30)</f>
        <v/>
      </c>
      <c r="N30" s="35" t="str">
        <f aca="false">IF(OR(I30="",J30=""),"",I30/J30)</f>
        <v/>
      </c>
      <c r="O30" s="35" t="str">
        <f aca="false">IF(OR(K30="",J30=""),"",K30/J30)</f>
        <v/>
      </c>
      <c r="P30" s="19" t="str">
        <f aca="false">IF(OR(D30="",E30=""),"",IF(D30=E30,"일치","불일치"))</f>
        <v/>
      </c>
    </row>
    <row r="31" customFormat="false" ht="15" hidden="false" customHeight="false" outlineLevel="0" collapsed="false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5" t="str">
        <f aca="false">IF(OR(F31="",G31=""),"",F31/G31)</f>
        <v/>
      </c>
      <c r="M31" s="35" t="str">
        <f aca="false">IF(OR(H31="",G31=""),"",H31/G31)</f>
        <v/>
      </c>
      <c r="N31" s="35" t="str">
        <f aca="false">IF(OR(I31="",J31=""),"",I31/J31)</f>
        <v/>
      </c>
      <c r="O31" s="35" t="str">
        <f aca="false">IF(OR(K31="",J31=""),"",K31/J31)</f>
        <v/>
      </c>
      <c r="P31" s="19" t="str">
        <f aca="false">IF(OR(D31="",E31=""),"",IF(D31=E31,"일치","불일치"))</f>
        <v/>
      </c>
    </row>
    <row r="32" customFormat="false" ht="15" hidden="false" customHeight="false" outlineLevel="0" collapsed="false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5" t="str">
        <f aca="false">IF(OR(F32="",G32=""),"",F32/G32)</f>
        <v/>
      </c>
      <c r="M32" s="35" t="str">
        <f aca="false">IF(OR(H32="",G32=""),"",H32/G32)</f>
        <v/>
      </c>
      <c r="N32" s="35" t="str">
        <f aca="false">IF(OR(I32="",J32=""),"",I32/J32)</f>
        <v/>
      </c>
      <c r="O32" s="35" t="str">
        <f aca="false">IF(OR(K32="",J32=""),"",K32/J32)</f>
        <v/>
      </c>
      <c r="P32" s="19" t="str">
        <f aca="false">IF(OR(D32="",E32=""),"",IF(D32=E32,"일치","불일치"))</f>
        <v/>
      </c>
    </row>
    <row r="33" customFormat="false" ht="15" hidden="false" customHeight="false" outlineLevel="0" collapsed="false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5" t="str">
        <f aca="false">IF(OR(F33="",G33=""),"",F33/G33)</f>
        <v/>
      </c>
      <c r="M33" s="35" t="str">
        <f aca="false">IF(OR(H33="",G33=""),"",H33/G33)</f>
        <v/>
      </c>
      <c r="N33" s="35" t="str">
        <f aca="false">IF(OR(I33="",J33=""),"",I33/J33)</f>
        <v/>
      </c>
      <c r="O33" s="35" t="str">
        <f aca="false">IF(OR(K33="",J33=""),"",K33/J33)</f>
        <v/>
      </c>
      <c r="P33" s="19" t="str">
        <f aca="false">IF(OR(D33="",E33=""),"",IF(D33=E33,"일치","불일치"))</f>
        <v/>
      </c>
    </row>
    <row r="34" customFormat="false" ht="15" hidden="false" customHeight="false" outlineLevel="0" collapsed="false">
      <c r="A34" s="31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5" t="str">
        <f aca="false">IF(OR(F34="",G34=""),"",F34/G34)</f>
        <v/>
      </c>
      <c r="M34" s="35" t="str">
        <f aca="false">IF(OR(H34="",G34=""),"",H34/G34)</f>
        <v/>
      </c>
      <c r="N34" s="35" t="str">
        <f aca="false">IF(OR(I34="",J34=""),"",I34/J34)</f>
        <v/>
      </c>
      <c r="O34" s="35" t="str">
        <f aca="false">IF(OR(K34="",J34=""),"",K34/J34)</f>
        <v/>
      </c>
      <c r="P34" s="19" t="str">
        <f aca="false">IF(OR(D34="",E34=""),"",IF(D34=E34,"일치","불일치"))</f>
        <v/>
      </c>
    </row>
    <row r="35" customFormat="false" ht="15" hidden="false" customHeight="false" outlineLevel="0" collapsed="false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5" t="str">
        <f aca="false">IF(OR(F35="",G35=""),"",F35/G35)</f>
        <v/>
      </c>
      <c r="M35" s="35" t="str">
        <f aca="false">IF(OR(H35="",G35=""),"",H35/G35)</f>
        <v/>
      </c>
      <c r="N35" s="35" t="str">
        <f aca="false">IF(OR(I35="",J35=""),"",I35/J35)</f>
        <v/>
      </c>
      <c r="O35" s="35" t="str">
        <f aca="false">IF(OR(K35="",J35=""),"",K35/J35)</f>
        <v/>
      </c>
      <c r="P35" s="19" t="str">
        <f aca="false">IF(OR(D35="",E35=""),"",IF(D35=E35,"일치","불일치"))</f>
        <v/>
      </c>
    </row>
    <row r="36" customFormat="false" ht="15" hidden="false" customHeight="false" outlineLevel="0" collapsed="false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5" t="str">
        <f aca="false">IF(OR(F36="",G36=""),"",F36/G36)</f>
        <v/>
      </c>
      <c r="M36" s="35" t="str">
        <f aca="false">IF(OR(H36="",G36=""),"",H36/G36)</f>
        <v/>
      </c>
      <c r="N36" s="35" t="str">
        <f aca="false">IF(OR(I36="",J36=""),"",I36/J36)</f>
        <v/>
      </c>
      <c r="O36" s="35" t="str">
        <f aca="false">IF(OR(K36="",J36=""),"",K36/J36)</f>
        <v/>
      </c>
      <c r="P36" s="19" t="str">
        <f aca="false">IF(OR(D36="",E36=""),"",IF(D36=E36,"일치","불일치"))</f>
        <v/>
      </c>
    </row>
    <row r="37" customFormat="false" ht="15" hidden="false" customHeight="false" outlineLevel="0" collapsed="false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5" t="str">
        <f aca="false">IF(OR(F37="",G37=""),"",F37/G37)</f>
        <v/>
      </c>
      <c r="M37" s="35" t="str">
        <f aca="false">IF(OR(H37="",G37=""),"",H37/G37)</f>
        <v/>
      </c>
      <c r="N37" s="35" t="str">
        <f aca="false">IF(OR(I37="",J37=""),"",I37/J37)</f>
        <v/>
      </c>
      <c r="O37" s="35" t="str">
        <f aca="false">IF(OR(K37="",J37=""),"",K37/J37)</f>
        <v/>
      </c>
      <c r="P37" s="19" t="str">
        <f aca="false">IF(OR(D37="",E37=""),"",IF(D37=E37,"일치","불일치"))</f>
        <v/>
      </c>
    </row>
    <row r="38" customFormat="false" ht="15" hidden="false" customHeight="false" outlineLevel="0" collapsed="false">
      <c r="A38" s="31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5" t="str">
        <f aca="false">IF(OR(F38="",G38=""),"",F38/G38)</f>
        <v/>
      </c>
      <c r="M38" s="35" t="str">
        <f aca="false">IF(OR(H38="",G38=""),"",H38/G38)</f>
        <v/>
      </c>
      <c r="N38" s="35" t="str">
        <f aca="false">IF(OR(I38="",J38=""),"",I38/J38)</f>
        <v/>
      </c>
      <c r="O38" s="35" t="str">
        <f aca="false">IF(OR(K38="",J38=""),"",K38/J38)</f>
        <v/>
      </c>
      <c r="P38" s="19" t="str">
        <f aca="false">IF(OR(D38="",E38=""),"",IF(D38=E38,"일치","불일치"))</f>
        <v/>
      </c>
    </row>
    <row r="39" customFormat="false" ht="15" hidden="false" customHeight="false" outlineLevel="0" collapsed="false">
      <c r="A39" s="31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5" t="str">
        <f aca="false">IF(OR(F39="",G39=""),"",F39/G39)</f>
        <v/>
      </c>
      <c r="M39" s="35" t="str">
        <f aca="false">IF(OR(H39="",G39=""),"",H39/G39)</f>
        <v/>
      </c>
      <c r="N39" s="35" t="str">
        <f aca="false">IF(OR(I39="",J39=""),"",I39/J39)</f>
        <v/>
      </c>
      <c r="O39" s="35" t="str">
        <f aca="false">IF(OR(K39="",J39=""),"",K39/J39)</f>
        <v/>
      </c>
      <c r="P39" s="19" t="str">
        <f aca="false">IF(OR(D39="",E39=""),"",IF(D39=E39,"일치","불일치"))</f>
        <v/>
      </c>
    </row>
    <row r="40" customFormat="false" ht="15" hidden="false" customHeight="false" outlineLevel="0" collapsed="false">
      <c r="A40" s="31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5" t="str">
        <f aca="false">IF(OR(F40="",G40=""),"",F40/G40)</f>
        <v/>
      </c>
      <c r="M40" s="35" t="str">
        <f aca="false">IF(OR(H40="",G40=""),"",H40/G40)</f>
        <v/>
      </c>
      <c r="N40" s="35" t="str">
        <f aca="false">IF(OR(I40="",J40=""),"",I40/J40)</f>
        <v/>
      </c>
      <c r="O40" s="35" t="str">
        <f aca="false">IF(OR(K40="",J40=""),"",K40/J40)</f>
        <v/>
      </c>
      <c r="P40" s="19" t="str">
        <f aca="false">IF(OR(D40="",E40=""),"",IF(D40=E40,"일치","불일치"))</f>
        <v/>
      </c>
    </row>
    <row r="41" customFormat="false" ht="15" hidden="false" customHeight="false" outlineLevel="0" collapsed="false">
      <c r="A41" s="31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5" t="str">
        <f aca="false">IF(OR(F41="",G41=""),"",F41/G41)</f>
        <v/>
      </c>
      <c r="M41" s="35" t="str">
        <f aca="false">IF(OR(H41="",G41=""),"",H41/G41)</f>
        <v/>
      </c>
      <c r="N41" s="35" t="str">
        <f aca="false">IF(OR(I41="",J41=""),"",I41/J41)</f>
        <v/>
      </c>
      <c r="O41" s="35" t="str">
        <f aca="false">IF(OR(K41="",J41=""),"",K41/J41)</f>
        <v/>
      </c>
      <c r="P41" s="19" t="str">
        <f aca="false">IF(OR(D41="",E41=""),"",IF(D41=E41,"일치","불일치"))</f>
        <v/>
      </c>
    </row>
    <row r="42" customFormat="false" ht="15" hidden="false" customHeight="false" outlineLevel="0" collapsed="false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5" t="str">
        <f aca="false">IF(OR(F42="",G42=""),"",F42/G42)</f>
        <v/>
      </c>
      <c r="M42" s="35" t="str">
        <f aca="false">IF(OR(H42="",G42=""),"",H42/G42)</f>
        <v/>
      </c>
      <c r="N42" s="35" t="str">
        <f aca="false">IF(OR(I42="",J42=""),"",I42/J42)</f>
        <v/>
      </c>
      <c r="O42" s="35" t="str">
        <f aca="false">IF(OR(K42="",J42=""),"",K42/J42)</f>
        <v/>
      </c>
      <c r="P42" s="19" t="str">
        <f aca="false">IF(OR(D42="",E42=""),"",IF(D42=E42,"일치","불일치"))</f>
        <v/>
      </c>
    </row>
    <row r="43" customFormat="false" ht="15" hidden="false" customHeight="false" outlineLevel="0" collapsed="false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5" t="str">
        <f aca="false">IF(OR(F43="",G43=""),"",F43/G43)</f>
        <v/>
      </c>
      <c r="M43" s="35" t="str">
        <f aca="false">IF(OR(H43="",G43=""),"",H43/G43)</f>
        <v/>
      </c>
      <c r="N43" s="35" t="str">
        <f aca="false">IF(OR(I43="",J43=""),"",I43/J43)</f>
        <v/>
      </c>
      <c r="O43" s="35" t="str">
        <f aca="false">IF(OR(K43="",J43=""),"",K43/J43)</f>
        <v/>
      </c>
      <c r="P43" s="19" t="str">
        <f aca="false">IF(OR(D43="",E43=""),"",IF(D43=E43,"일치","불일치"))</f>
        <v/>
      </c>
    </row>
    <row r="44" customFormat="false" ht="15" hidden="false" customHeight="false" outlineLevel="0" collapsed="false">
      <c r="A44" s="31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5" t="str">
        <f aca="false">IF(OR(F44="",G44=""),"",F44/G44)</f>
        <v/>
      </c>
      <c r="M44" s="35" t="str">
        <f aca="false">IF(OR(H44="",G44=""),"",H44/G44)</f>
        <v/>
      </c>
      <c r="N44" s="35" t="str">
        <f aca="false">IF(OR(I44="",J44=""),"",I44/J44)</f>
        <v/>
      </c>
      <c r="O44" s="35" t="str">
        <f aca="false">IF(OR(K44="",J44=""),"",K44/J44)</f>
        <v/>
      </c>
      <c r="P44" s="19" t="str">
        <f aca="false">IF(OR(D44="",E44=""),"",IF(D44=E44,"일치","불일치"))</f>
        <v/>
      </c>
    </row>
    <row r="45" customFormat="false" ht="15" hidden="false" customHeight="false" outlineLevel="0" collapsed="false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5" t="str">
        <f aca="false">IF(OR(F45="",G45=""),"",F45/G45)</f>
        <v/>
      </c>
      <c r="M45" s="35" t="str">
        <f aca="false">IF(OR(H45="",G45=""),"",H45/G45)</f>
        <v/>
      </c>
      <c r="N45" s="35" t="str">
        <f aca="false">IF(OR(I45="",J45=""),"",I45/J45)</f>
        <v/>
      </c>
      <c r="O45" s="35" t="str">
        <f aca="false">IF(OR(K45="",J45=""),"",K45/J45)</f>
        <v/>
      </c>
      <c r="P45" s="19" t="str">
        <f aca="false">IF(OR(D45="",E45=""),"",IF(D45=E45,"일치","불일치"))</f>
        <v/>
      </c>
    </row>
    <row r="46" customFormat="false" ht="15" hidden="false" customHeight="false" outlineLevel="0" collapsed="false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5" t="str">
        <f aca="false">IF(OR(F46="",G46=""),"",F46/G46)</f>
        <v/>
      </c>
      <c r="M46" s="35" t="str">
        <f aca="false">IF(OR(H46="",G46=""),"",H46/G46)</f>
        <v/>
      </c>
      <c r="N46" s="35" t="str">
        <f aca="false">IF(OR(I46="",J46=""),"",I46/J46)</f>
        <v/>
      </c>
      <c r="O46" s="35" t="str">
        <f aca="false">IF(OR(K46="",J46=""),"",K46/J46)</f>
        <v/>
      </c>
      <c r="P46" s="19" t="str">
        <f aca="false">IF(OR(D46="",E46=""),"",IF(D46=E46,"일치","불일치"))</f>
        <v/>
      </c>
    </row>
    <row r="48" customFormat="false" ht="15" hidden="false" customHeight="true" outlineLevel="0" collapsed="false">
      <c r="A48" s="22" t="s">
        <v>264</v>
      </c>
      <c r="B48" s="22"/>
      <c r="C48" s="22"/>
      <c r="D48" s="22"/>
      <c r="E48" s="22"/>
      <c r="F48" s="22"/>
      <c r="G48" s="22"/>
      <c r="H48" s="22"/>
      <c r="I48" s="22"/>
    </row>
    <row r="49" customFormat="false" ht="30" hidden="false" customHeight="true" outlineLevel="0" collapsed="false">
      <c r="A49" s="6" t="s">
        <v>92</v>
      </c>
      <c r="B49" s="6" t="s">
        <v>265</v>
      </c>
      <c r="C49" s="6" t="s">
        <v>266</v>
      </c>
      <c r="D49" s="6" t="s">
        <v>185</v>
      </c>
      <c r="E49" s="6" t="s">
        <v>267</v>
      </c>
      <c r="F49" s="6" t="s">
        <v>268</v>
      </c>
      <c r="G49" s="6" t="s">
        <v>269</v>
      </c>
      <c r="H49" s="6" t="s">
        <v>270</v>
      </c>
      <c r="I49" s="6" t="s">
        <v>271</v>
      </c>
    </row>
    <row r="50" customFormat="false" ht="15" hidden="false" customHeight="false" outlineLevel="0" collapsed="false">
      <c r="A50" s="23" t="s">
        <v>114</v>
      </c>
      <c r="B50" s="25" t="s">
        <v>272</v>
      </c>
      <c r="C50" s="24" t="s">
        <v>273</v>
      </c>
      <c r="D50" s="24" t="s">
        <v>274</v>
      </c>
      <c r="E50" s="25" t="n">
        <v>455</v>
      </c>
      <c r="F50" s="25" t="n">
        <v>0.84</v>
      </c>
      <c r="G50" s="25" t="n">
        <v>7</v>
      </c>
      <c r="H50" s="27" t="n">
        <f aca="false">IF(OR(F50="",G50=""),"",F50/G50)</f>
        <v>0.12</v>
      </c>
    </row>
    <row r="51" customFormat="false" ht="15" hidden="false" customHeight="false" outlineLevel="0" collapsed="false">
      <c r="A51" s="8" t="s">
        <v>124</v>
      </c>
      <c r="B51" s="50" t="s">
        <v>272</v>
      </c>
      <c r="C51" s="19" t="s">
        <v>275</v>
      </c>
      <c r="D51" s="19" t="s">
        <v>276</v>
      </c>
      <c r="E51" s="32"/>
      <c r="F51" s="32"/>
      <c r="G51" s="32"/>
      <c r="H51" s="35" t="str">
        <f aca="false">IF(OR(F51="",G51=""),"",F51/G51)</f>
        <v/>
      </c>
      <c r="I51" s="3"/>
    </row>
    <row r="52" customFormat="false" ht="15" hidden="false" customHeight="false" outlineLevel="0" collapsed="false">
      <c r="A52" s="8" t="s">
        <v>124</v>
      </c>
      <c r="B52" s="50" t="s">
        <v>272</v>
      </c>
      <c r="C52" s="19" t="s">
        <v>277</v>
      </c>
      <c r="D52" s="19" t="s">
        <v>278</v>
      </c>
      <c r="E52" s="32"/>
      <c r="F52" s="32"/>
      <c r="G52" s="32"/>
      <c r="H52" s="35" t="str">
        <f aca="false">IF(OR(F52="",G52=""),"",F52/G52)</f>
        <v/>
      </c>
      <c r="I52" s="3"/>
    </row>
    <row r="53" customFormat="false" ht="15" hidden="false" customHeight="false" outlineLevel="0" collapsed="false">
      <c r="A53" s="8" t="s">
        <v>124</v>
      </c>
      <c r="B53" s="50" t="s">
        <v>272</v>
      </c>
      <c r="C53" s="19" t="s">
        <v>273</v>
      </c>
      <c r="D53" s="19" t="s">
        <v>279</v>
      </c>
      <c r="E53" s="32"/>
      <c r="F53" s="32"/>
      <c r="G53" s="32"/>
      <c r="H53" s="35" t="str">
        <f aca="false">IF(OR(F53="",G53=""),"",F53/G53)</f>
        <v/>
      </c>
      <c r="I53" s="3"/>
    </row>
    <row r="54" customFormat="false" ht="15" hidden="false" customHeight="false" outlineLevel="0" collapsed="false">
      <c r="A54" s="8" t="s">
        <v>124</v>
      </c>
      <c r="B54" s="50" t="s">
        <v>272</v>
      </c>
      <c r="C54" s="19" t="s">
        <v>280</v>
      </c>
      <c r="D54" s="19" t="s">
        <v>281</v>
      </c>
      <c r="E54" s="32"/>
      <c r="F54" s="32"/>
      <c r="G54" s="32"/>
      <c r="H54" s="35" t="str">
        <f aca="false">IF(OR(F54="",G54=""),"",F54/G54)</f>
        <v/>
      </c>
      <c r="I54" s="3"/>
    </row>
    <row r="55" customFormat="false" ht="15" hidden="false" customHeight="false" outlineLevel="0" collapsed="false">
      <c r="A55" s="8" t="s">
        <v>124</v>
      </c>
      <c r="B55" s="50" t="s">
        <v>272</v>
      </c>
      <c r="C55" s="19" t="s">
        <v>282</v>
      </c>
      <c r="D55" s="19" t="s">
        <v>283</v>
      </c>
      <c r="E55" s="32"/>
      <c r="F55" s="32"/>
      <c r="G55" s="32"/>
      <c r="H55" s="35" t="str">
        <f aca="false">IF(OR(F55="",G55=""),"",F55/G55)</f>
        <v/>
      </c>
      <c r="I55" s="3"/>
    </row>
    <row r="56" customFormat="false" ht="15" hidden="false" customHeight="false" outlineLevel="0" collapsed="false">
      <c r="A56" s="8" t="s">
        <v>124</v>
      </c>
      <c r="B56" s="50" t="s">
        <v>272</v>
      </c>
      <c r="C56" s="19" t="s">
        <v>284</v>
      </c>
      <c r="D56" s="19" t="s">
        <v>285</v>
      </c>
      <c r="E56" s="32"/>
      <c r="F56" s="32"/>
      <c r="G56" s="32"/>
      <c r="H56" s="35" t="str">
        <f aca="false">IF(OR(F56="",G56=""),"",F56/G56)</f>
        <v/>
      </c>
      <c r="I56" s="3"/>
    </row>
    <row r="57" customFormat="false" ht="15" hidden="false" customHeight="false" outlineLevel="0" collapsed="false">
      <c r="A57" s="8" t="s">
        <v>124</v>
      </c>
      <c r="B57" s="19" t="s">
        <v>286</v>
      </c>
      <c r="C57" s="19" t="s">
        <v>275</v>
      </c>
      <c r="D57" s="19" t="s">
        <v>276</v>
      </c>
      <c r="E57" s="32"/>
      <c r="F57" s="32"/>
      <c r="G57" s="32"/>
      <c r="H57" s="35" t="str">
        <f aca="false">IF(OR(F57="",G57=""),"",F57/G57)</f>
        <v/>
      </c>
      <c r="I57" s="3"/>
    </row>
    <row r="58" customFormat="false" ht="15" hidden="false" customHeight="false" outlineLevel="0" collapsed="false">
      <c r="A58" s="8" t="s">
        <v>124</v>
      </c>
      <c r="B58" s="19" t="s">
        <v>286</v>
      </c>
      <c r="C58" s="19" t="s">
        <v>277</v>
      </c>
      <c r="D58" s="19" t="s">
        <v>278</v>
      </c>
      <c r="E58" s="32"/>
      <c r="F58" s="32"/>
      <c r="G58" s="32"/>
      <c r="H58" s="35" t="str">
        <f aca="false">IF(OR(F58="",G58=""),"",F58/G58)</f>
        <v/>
      </c>
      <c r="I58" s="3"/>
    </row>
    <row r="59" customFormat="false" ht="15" hidden="false" customHeight="false" outlineLevel="0" collapsed="false">
      <c r="A59" s="8" t="s">
        <v>124</v>
      </c>
      <c r="B59" s="19" t="s">
        <v>286</v>
      </c>
      <c r="C59" s="19" t="s">
        <v>273</v>
      </c>
      <c r="D59" s="19" t="s">
        <v>279</v>
      </c>
      <c r="E59" s="32"/>
      <c r="F59" s="32"/>
      <c r="G59" s="32"/>
      <c r="H59" s="35" t="str">
        <f aca="false">IF(OR(F59="",G59=""),"",F59/G59)</f>
        <v/>
      </c>
      <c r="I59" s="3"/>
    </row>
    <row r="60" customFormat="false" ht="15" hidden="false" customHeight="false" outlineLevel="0" collapsed="false">
      <c r="A60" s="8" t="s">
        <v>124</v>
      </c>
      <c r="B60" s="19" t="s">
        <v>286</v>
      </c>
      <c r="C60" s="19" t="s">
        <v>280</v>
      </c>
      <c r="D60" s="19" t="s">
        <v>281</v>
      </c>
      <c r="E60" s="32"/>
      <c r="F60" s="32"/>
      <c r="G60" s="32"/>
      <c r="H60" s="35" t="str">
        <f aca="false">IF(OR(F60="",G60=""),"",F60/G60)</f>
        <v/>
      </c>
      <c r="I60" s="3"/>
    </row>
    <row r="61" customFormat="false" ht="15" hidden="false" customHeight="false" outlineLevel="0" collapsed="false">
      <c r="A61" s="8" t="s">
        <v>124</v>
      </c>
      <c r="B61" s="19" t="s">
        <v>286</v>
      </c>
      <c r="C61" s="19" t="s">
        <v>282</v>
      </c>
      <c r="D61" s="19" t="s">
        <v>283</v>
      </c>
      <c r="E61" s="32"/>
      <c r="F61" s="32"/>
      <c r="G61" s="32"/>
      <c r="H61" s="35" t="str">
        <f aca="false">IF(OR(F61="",G61=""),"",F61/G61)</f>
        <v/>
      </c>
      <c r="I61" s="3"/>
    </row>
    <row r="62" customFormat="false" ht="15" hidden="false" customHeight="false" outlineLevel="0" collapsed="false">
      <c r="A62" s="8" t="s">
        <v>124</v>
      </c>
      <c r="B62" s="19" t="s">
        <v>286</v>
      </c>
      <c r="C62" s="19" t="s">
        <v>284</v>
      </c>
      <c r="D62" s="19" t="s">
        <v>285</v>
      </c>
      <c r="E62" s="32"/>
      <c r="F62" s="32"/>
      <c r="G62" s="32"/>
      <c r="H62" s="35" t="str">
        <f aca="false">IF(OR(F62="",G62=""),"",F62/G62)</f>
        <v/>
      </c>
      <c r="I62" s="3"/>
    </row>
    <row r="63" customFormat="false" ht="15" hidden="false" customHeight="false" outlineLevel="0" collapsed="false">
      <c r="A63" s="8" t="s">
        <v>125</v>
      </c>
      <c r="B63" s="50" t="s">
        <v>272</v>
      </c>
      <c r="C63" s="19" t="s">
        <v>275</v>
      </c>
      <c r="D63" s="19" t="s">
        <v>276</v>
      </c>
      <c r="E63" s="32"/>
      <c r="F63" s="32"/>
      <c r="G63" s="32"/>
      <c r="H63" s="35" t="str">
        <f aca="false">IF(OR(F63="",G63=""),"",F63/G63)</f>
        <v/>
      </c>
      <c r="I63" s="3"/>
    </row>
    <row r="64" customFormat="false" ht="15" hidden="false" customHeight="false" outlineLevel="0" collapsed="false">
      <c r="A64" s="8" t="s">
        <v>125</v>
      </c>
      <c r="B64" s="50" t="s">
        <v>272</v>
      </c>
      <c r="C64" s="19" t="s">
        <v>277</v>
      </c>
      <c r="D64" s="19" t="s">
        <v>278</v>
      </c>
      <c r="E64" s="32"/>
      <c r="F64" s="32"/>
      <c r="G64" s="32"/>
      <c r="H64" s="35" t="str">
        <f aca="false">IF(OR(F64="",G64=""),"",F64/G64)</f>
        <v/>
      </c>
      <c r="I64" s="3"/>
    </row>
    <row r="65" customFormat="false" ht="15" hidden="false" customHeight="false" outlineLevel="0" collapsed="false">
      <c r="A65" s="8" t="s">
        <v>125</v>
      </c>
      <c r="B65" s="50" t="s">
        <v>272</v>
      </c>
      <c r="C65" s="19" t="s">
        <v>273</v>
      </c>
      <c r="D65" s="19" t="s">
        <v>279</v>
      </c>
      <c r="E65" s="32"/>
      <c r="F65" s="32"/>
      <c r="G65" s="32"/>
      <c r="H65" s="35" t="str">
        <f aca="false">IF(OR(F65="",G65=""),"",F65/G65)</f>
        <v/>
      </c>
      <c r="I65" s="3"/>
    </row>
    <row r="66" customFormat="false" ht="15" hidden="false" customHeight="false" outlineLevel="0" collapsed="false">
      <c r="A66" s="8" t="s">
        <v>125</v>
      </c>
      <c r="B66" s="50" t="s">
        <v>272</v>
      </c>
      <c r="C66" s="19" t="s">
        <v>280</v>
      </c>
      <c r="D66" s="19" t="s">
        <v>281</v>
      </c>
      <c r="E66" s="32"/>
      <c r="F66" s="32"/>
      <c r="G66" s="32"/>
      <c r="H66" s="35" t="str">
        <f aca="false">IF(OR(F66="",G66=""),"",F66/G66)</f>
        <v/>
      </c>
      <c r="I66" s="3"/>
    </row>
    <row r="67" customFormat="false" ht="15" hidden="false" customHeight="false" outlineLevel="0" collapsed="false">
      <c r="A67" s="8" t="s">
        <v>125</v>
      </c>
      <c r="B67" s="50" t="s">
        <v>272</v>
      </c>
      <c r="C67" s="19" t="s">
        <v>282</v>
      </c>
      <c r="D67" s="19" t="s">
        <v>283</v>
      </c>
      <c r="E67" s="32"/>
      <c r="F67" s="32"/>
      <c r="G67" s="32"/>
      <c r="H67" s="35" t="str">
        <f aca="false">IF(OR(F67="",G67=""),"",F67/G67)</f>
        <v/>
      </c>
      <c r="I67" s="3"/>
    </row>
    <row r="68" customFormat="false" ht="15" hidden="false" customHeight="false" outlineLevel="0" collapsed="false">
      <c r="A68" s="8" t="s">
        <v>125</v>
      </c>
      <c r="B68" s="50" t="s">
        <v>272</v>
      </c>
      <c r="C68" s="19" t="s">
        <v>284</v>
      </c>
      <c r="D68" s="19" t="s">
        <v>285</v>
      </c>
      <c r="E68" s="32"/>
      <c r="F68" s="32"/>
      <c r="G68" s="32"/>
      <c r="H68" s="35" t="str">
        <f aca="false">IF(OR(F68="",G68=""),"",F68/G68)</f>
        <v/>
      </c>
      <c r="I68" s="3"/>
    </row>
    <row r="69" customFormat="false" ht="15" hidden="false" customHeight="false" outlineLevel="0" collapsed="false">
      <c r="A69" s="8" t="s">
        <v>125</v>
      </c>
      <c r="B69" s="19" t="s">
        <v>286</v>
      </c>
      <c r="C69" s="19" t="s">
        <v>275</v>
      </c>
      <c r="D69" s="19" t="s">
        <v>276</v>
      </c>
      <c r="E69" s="32"/>
      <c r="F69" s="32"/>
      <c r="G69" s="32"/>
      <c r="H69" s="35" t="str">
        <f aca="false">IF(OR(F69="",G69=""),"",F69/G69)</f>
        <v/>
      </c>
      <c r="I69" s="3"/>
    </row>
    <row r="70" customFormat="false" ht="15" hidden="false" customHeight="false" outlineLevel="0" collapsed="false">
      <c r="A70" s="8" t="s">
        <v>125</v>
      </c>
      <c r="B70" s="19" t="s">
        <v>286</v>
      </c>
      <c r="C70" s="19" t="s">
        <v>277</v>
      </c>
      <c r="D70" s="19" t="s">
        <v>278</v>
      </c>
      <c r="E70" s="32"/>
      <c r="F70" s="32"/>
      <c r="G70" s="32"/>
      <c r="H70" s="35" t="str">
        <f aca="false">IF(OR(F70="",G70=""),"",F70/G70)</f>
        <v/>
      </c>
      <c r="I70" s="3"/>
    </row>
    <row r="71" customFormat="false" ht="15" hidden="false" customHeight="false" outlineLevel="0" collapsed="false">
      <c r="A71" s="8" t="s">
        <v>125</v>
      </c>
      <c r="B71" s="19" t="s">
        <v>286</v>
      </c>
      <c r="C71" s="19" t="s">
        <v>273</v>
      </c>
      <c r="D71" s="19" t="s">
        <v>279</v>
      </c>
      <c r="E71" s="32"/>
      <c r="F71" s="32"/>
      <c r="G71" s="32"/>
      <c r="H71" s="35" t="str">
        <f aca="false">IF(OR(F71="",G71=""),"",F71/G71)</f>
        <v/>
      </c>
      <c r="I71" s="3"/>
    </row>
    <row r="72" customFormat="false" ht="15" hidden="false" customHeight="false" outlineLevel="0" collapsed="false">
      <c r="A72" s="8" t="s">
        <v>125</v>
      </c>
      <c r="B72" s="19" t="s">
        <v>286</v>
      </c>
      <c r="C72" s="19" t="s">
        <v>280</v>
      </c>
      <c r="D72" s="19" t="s">
        <v>281</v>
      </c>
      <c r="E72" s="32"/>
      <c r="F72" s="32"/>
      <c r="G72" s="32"/>
      <c r="H72" s="35" t="str">
        <f aca="false">IF(OR(F72="",G72=""),"",F72/G72)</f>
        <v/>
      </c>
      <c r="I72" s="3"/>
    </row>
    <row r="73" customFormat="false" ht="15" hidden="false" customHeight="false" outlineLevel="0" collapsed="false">
      <c r="A73" s="8" t="s">
        <v>125</v>
      </c>
      <c r="B73" s="19" t="s">
        <v>286</v>
      </c>
      <c r="C73" s="19" t="s">
        <v>282</v>
      </c>
      <c r="D73" s="19" t="s">
        <v>283</v>
      </c>
      <c r="E73" s="32"/>
      <c r="F73" s="32"/>
      <c r="G73" s="32"/>
      <c r="H73" s="35" t="str">
        <f aca="false">IF(OR(F73="",G73=""),"",F73/G73)</f>
        <v/>
      </c>
      <c r="I73" s="3"/>
    </row>
    <row r="74" customFormat="false" ht="15" hidden="false" customHeight="false" outlineLevel="0" collapsed="false">
      <c r="A74" s="8" t="s">
        <v>125</v>
      </c>
      <c r="B74" s="19" t="s">
        <v>286</v>
      </c>
      <c r="C74" s="19" t="s">
        <v>284</v>
      </c>
      <c r="D74" s="19" t="s">
        <v>285</v>
      </c>
      <c r="E74" s="32"/>
      <c r="F74" s="32"/>
      <c r="G74" s="32"/>
      <c r="H74" s="35" t="str">
        <f aca="false">IF(OR(F74="",G74=""),"",F74/G74)</f>
        <v/>
      </c>
      <c r="I74" s="3"/>
    </row>
    <row r="75" customFormat="false" ht="15" hidden="false" customHeight="false" outlineLevel="0" collapsed="false">
      <c r="A75" s="8" t="s">
        <v>126</v>
      </c>
      <c r="B75" s="50" t="s">
        <v>272</v>
      </c>
      <c r="C75" s="19" t="s">
        <v>275</v>
      </c>
      <c r="D75" s="19" t="s">
        <v>276</v>
      </c>
      <c r="E75" s="32"/>
      <c r="F75" s="32"/>
      <c r="G75" s="32"/>
      <c r="H75" s="35" t="str">
        <f aca="false">IF(OR(F75="",G75=""),"",F75/G75)</f>
        <v/>
      </c>
      <c r="I75" s="3"/>
    </row>
    <row r="76" customFormat="false" ht="15" hidden="false" customHeight="false" outlineLevel="0" collapsed="false">
      <c r="A76" s="8" t="s">
        <v>126</v>
      </c>
      <c r="B76" s="50" t="s">
        <v>272</v>
      </c>
      <c r="C76" s="19" t="s">
        <v>277</v>
      </c>
      <c r="D76" s="19" t="s">
        <v>278</v>
      </c>
      <c r="E76" s="32"/>
      <c r="F76" s="32"/>
      <c r="G76" s="32"/>
      <c r="H76" s="35" t="str">
        <f aca="false">IF(OR(F76="",G76=""),"",F76/G76)</f>
        <v/>
      </c>
      <c r="I76" s="3"/>
    </row>
    <row r="77" customFormat="false" ht="15" hidden="false" customHeight="false" outlineLevel="0" collapsed="false">
      <c r="A77" s="8" t="s">
        <v>126</v>
      </c>
      <c r="B77" s="50" t="s">
        <v>272</v>
      </c>
      <c r="C77" s="19" t="s">
        <v>273</v>
      </c>
      <c r="D77" s="19" t="s">
        <v>279</v>
      </c>
      <c r="E77" s="32"/>
      <c r="F77" s="32"/>
      <c r="G77" s="32"/>
      <c r="H77" s="35" t="str">
        <f aca="false">IF(OR(F77="",G77=""),"",F77/G77)</f>
        <v/>
      </c>
      <c r="I77" s="3"/>
    </row>
    <row r="78" customFormat="false" ht="15" hidden="false" customHeight="false" outlineLevel="0" collapsed="false">
      <c r="A78" s="8" t="s">
        <v>126</v>
      </c>
      <c r="B78" s="50" t="s">
        <v>272</v>
      </c>
      <c r="C78" s="19" t="s">
        <v>280</v>
      </c>
      <c r="D78" s="19" t="s">
        <v>281</v>
      </c>
      <c r="E78" s="32"/>
      <c r="F78" s="32"/>
      <c r="G78" s="32"/>
      <c r="H78" s="35" t="str">
        <f aca="false">IF(OR(F78="",G78=""),"",F78/G78)</f>
        <v/>
      </c>
      <c r="I78" s="3"/>
    </row>
    <row r="79" customFormat="false" ht="15" hidden="false" customHeight="false" outlineLevel="0" collapsed="false">
      <c r="A79" s="8" t="s">
        <v>126</v>
      </c>
      <c r="B79" s="50" t="s">
        <v>272</v>
      </c>
      <c r="C79" s="19" t="s">
        <v>282</v>
      </c>
      <c r="D79" s="19" t="s">
        <v>283</v>
      </c>
      <c r="E79" s="32"/>
      <c r="F79" s="32"/>
      <c r="G79" s="32"/>
      <c r="H79" s="35" t="str">
        <f aca="false">IF(OR(F79="",G79=""),"",F79/G79)</f>
        <v/>
      </c>
      <c r="I79" s="3"/>
    </row>
    <row r="80" customFormat="false" ht="15" hidden="false" customHeight="false" outlineLevel="0" collapsed="false">
      <c r="A80" s="8" t="s">
        <v>126</v>
      </c>
      <c r="B80" s="50" t="s">
        <v>272</v>
      </c>
      <c r="C80" s="19" t="s">
        <v>284</v>
      </c>
      <c r="D80" s="19" t="s">
        <v>285</v>
      </c>
      <c r="E80" s="32"/>
      <c r="F80" s="32"/>
      <c r="G80" s="32"/>
      <c r="H80" s="35" t="str">
        <f aca="false">IF(OR(F80="",G80=""),"",F80/G80)</f>
        <v/>
      </c>
      <c r="I80" s="3"/>
    </row>
    <row r="81" customFormat="false" ht="15" hidden="false" customHeight="false" outlineLevel="0" collapsed="false">
      <c r="A81" s="8" t="s">
        <v>126</v>
      </c>
      <c r="B81" s="19" t="s">
        <v>286</v>
      </c>
      <c r="C81" s="19" t="s">
        <v>275</v>
      </c>
      <c r="D81" s="19" t="s">
        <v>276</v>
      </c>
      <c r="E81" s="32"/>
      <c r="F81" s="32"/>
      <c r="G81" s="32"/>
      <c r="H81" s="35" t="str">
        <f aca="false">IF(OR(F81="",G81=""),"",F81/G81)</f>
        <v/>
      </c>
      <c r="I81" s="3"/>
    </row>
    <row r="82" customFormat="false" ht="15" hidden="false" customHeight="false" outlineLevel="0" collapsed="false">
      <c r="A82" s="8" t="s">
        <v>126</v>
      </c>
      <c r="B82" s="19" t="s">
        <v>286</v>
      </c>
      <c r="C82" s="19" t="s">
        <v>277</v>
      </c>
      <c r="D82" s="19" t="s">
        <v>278</v>
      </c>
      <c r="E82" s="32"/>
      <c r="F82" s="32"/>
      <c r="G82" s="32"/>
      <c r="H82" s="35" t="str">
        <f aca="false">IF(OR(F82="",G82=""),"",F82/G82)</f>
        <v/>
      </c>
      <c r="I82" s="3"/>
    </row>
    <row r="83" customFormat="false" ht="15" hidden="false" customHeight="false" outlineLevel="0" collapsed="false">
      <c r="A83" s="8" t="s">
        <v>126</v>
      </c>
      <c r="B83" s="19" t="s">
        <v>286</v>
      </c>
      <c r="C83" s="19" t="s">
        <v>273</v>
      </c>
      <c r="D83" s="19" t="s">
        <v>279</v>
      </c>
      <c r="E83" s="32"/>
      <c r="F83" s="32"/>
      <c r="G83" s="32"/>
      <c r="H83" s="35" t="str">
        <f aca="false">IF(OR(F83="",G83=""),"",F83/G83)</f>
        <v/>
      </c>
      <c r="I83" s="3"/>
    </row>
    <row r="84" customFormat="false" ht="15" hidden="false" customHeight="false" outlineLevel="0" collapsed="false">
      <c r="A84" s="8" t="s">
        <v>126</v>
      </c>
      <c r="B84" s="19" t="s">
        <v>286</v>
      </c>
      <c r="C84" s="19" t="s">
        <v>280</v>
      </c>
      <c r="D84" s="19" t="s">
        <v>281</v>
      </c>
      <c r="E84" s="32"/>
      <c r="F84" s="32"/>
      <c r="G84" s="32"/>
      <c r="H84" s="35" t="str">
        <f aca="false">IF(OR(F84="",G84=""),"",F84/G84)</f>
        <v/>
      </c>
      <c r="I84" s="3"/>
    </row>
    <row r="85" customFormat="false" ht="15" hidden="false" customHeight="false" outlineLevel="0" collapsed="false">
      <c r="A85" s="8" t="s">
        <v>126</v>
      </c>
      <c r="B85" s="19" t="s">
        <v>286</v>
      </c>
      <c r="C85" s="19" t="s">
        <v>282</v>
      </c>
      <c r="D85" s="19" t="s">
        <v>283</v>
      </c>
      <c r="E85" s="32"/>
      <c r="F85" s="32"/>
      <c r="G85" s="32"/>
      <c r="H85" s="35" t="str">
        <f aca="false">IF(OR(F85="",G85=""),"",F85/G85)</f>
        <v/>
      </c>
      <c r="I85" s="3"/>
    </row>
    <row r="86" customFormat="false" ht="15" hidden="false" customHeight="false" outlineLevel="0" collapsed="false">
      <c r="A86" s="8" t="s">
        <v>126</v>
      </c>
      <c r="B86" s="19" t="s">
        <v>286</v>
      </c>
      <c r="C86" s="19" t="s">
        <v>284</v>
      </c>
      <c r="D86" s="19" t="s">
        <v>285</v>
      </c>
      <c r="E86" s="32"/>
      <c r="F86" s="32"/>
      <c r="G86" s="32"/>
      <c r="H86" s="35" t="str">
        <f aca="false">IF(OR(F86="",G86=""),"",F86/G86)</f>
        <v/>
      </c>
      <c r="I86" s="3"/>
    </row>
    <row r="87" customFormat="false" ht="15" hidden="false" customHeight="false" outlineLevel="0" collapsed="false">
      <c r="A87" s="8" t="s">
        <v>127</v>
      </c>
      <c r="B87" s="50" t="s">
        <v>272</v>
      </c>
      <c r="C87" s="19" t="s">
        <v>275</v>
      </c>
      <c r="D87" s="19" t="s">
        <v>276</v>
      </c>
      <c r="E87" s="32"/>
      <c r="F87" s="32"/>
      <c r="G87" s="32"/>
      <c r="H87" s="35" t="str">
        <f aca="false">IF(OR(F87="",G87=""),"",F87/G87)</f>
        <v/>
      </c>
      <c r="I87" s="3"/>
    </row>
    <row r="88" customFormat="false" ht="15" hidden="false" customHeight="false" outlineLevel="0" collapsed="false">
      <c r="A88" s="8" t="s">
        <v>127</v>
      </c>
      <c r="B88" s="50" t="s">
        <v>272</v>
      </c>
      <c r="C88" s="19" t="s">
        <v>277</v>
      </c>
      <c r="D88" s="19" t="s">
        <v>278</v>
      </c>
      <c r="E88" s="32"/>
      <c r="F88" s="32"/>
      <c r="G88" s="32"/>
      <c r="H88" s="35" t="str">
        <f aca="false">IF(OR(F88="",G88=""),"",F88/G88)</f>
        <v/>
      </c>
      <c r="I88" s="3"/>
    </row>
    <row r="89" customFormat="false" ht="15" hidden="false" customHeight="false" outlineLevel="0" collapsed="false">
      <c r="A89" s="8" t="s">
        <v>127</v>
      </c>
      <c r="B89" s="50" t="s">
        <v>272</v>
      </c>
      <c r="C89" s="19" t="s">
        <v>273</v>
      </c>
      <c r="D89" s="19" t="s">
        <v>279</v>
      </c>
      <c r="E89" s="32"/>
      <c r="F89" s="32"/>
      <c r="G89" s="32"/>
      <c r="H89" s="35" t="str">
        <f aca="false">IF(OR(F89="",G89=""),"",F89/G89)</f>
        <v/>
      </c>
      <c r="I89" s="3"/>
    </row>
    <row r="90" customFormat="false" ht="15" hidden="false" customHeight="false" outlineLevel="0" collapsed="false">
      <c r="A90" s="8" t="s">
        <v>127</v>
      </c>
      <c r="B90" s="50" t="s">
        <v>272</v>
      </c>
      <c r="C90" s="19" t="s">
        <v>280</v>
      </c>
      <c r="D90" s="19" t="s">
        <v>281</v>
      </c>
      <c r="E90" s="32"/>
      <c r="F90" s="32"/>
      <c r="G90" s="32"/>
      <c r="H90" s="35" t="str">
        <f aca="false">IF(OR(F90="",G90=""),"",F90/G90)</f>
        <v/>
      </c>
      <c r="I90" s="3"/>
    </row>
    <row r="91" customFormat="false" ht="15" hidden="false" customHeight="false" outlineLevel="0" collapsed="false">
      <c r="A91" s="8" t="s">
        <v>127</v>
      </c>
      <c r="B91" s="50" t="s">
        <v>272</v>
      </c>
      <c r="C91" s="19" t="s">
        <v>282</v>
      </c>
      <c r="D91" s="19" t="s">
        <v>283</v>
      </c>
      <c r="E91" s="32"/>
      <c r="F91" s="32"/>
      <c r="G91" s="32"/>
      <c r="H91" s="35" t="str">
        <f aca="false">IF(OR(F91="",G91=""),"",F91/G91)</f>
        <v/>
      </c>
      <c r="I91" s="3"/>
    </row>
    <row r="92" customFormat="false" ht="15" hidden="false" customHeight="false" outlineLevel="0" collapsed="false">
      <c r="A92" s="8" t="s">
        <v>127</v>
      </c>
      <c r="B92" s="50" t="s">
        <v>272</v>
      </c>
      <c r="C92" s="19" t="s">
        <v>284</v>
      </c>
      <c r="D92" s="19" t="s">
        <v>285</v>
      </c>
      <c r="E92" s="32"/>
      <c r="F92" s="32"/>
      <c r="G92" s="32"/>
      <c r="H92" s="35" t="str">
        <f aca="false">IF(OR(F92="",G92=""),"",F92/G92)</f>
        <v/>
      </c>
      <c r="I92" s="3"/>
    </row>
    <row r="93" customFormat="false" ht="15" hidden="false" customHeight="false" outlineLevel="0" collapsed="false">
      <c r="A93" s="8" t="s">
        <v>127</v>
      </c>
      <c r="B93" s="19" t="s">
        <v>286</v>
      </c>
      <c r="C93" s="19" t="s">
        <v>275</v>
      </c>
      <c r="D93" s="19" t="s">
        <v>276</v>
      </c>
      <c r="E93" s="32"/>
      <c r="F93" s="32"/>
      <c r="G93" s="32"/>
      <c r="H93" s="35" t="str">
        <f aca="false">IF(OR(F93="",G93=""),"",F93/G93)</f>
        <v/>
      </c>
      <c r="I93" s="3"/>
    </row>
    <row r="94" customFormat="false" ht="15" hidden="false" customHeight="false" outlineLevel="0" collapsed="false">
      <c r="A94" s="8" t="s">
        <v>127</v>
      </c>
      <c r="B94" s="19" t="s">
        <v>286</v>
      </c>
      <c r="C94" s="19" t="s">
        <v>277</v>
      </c>
      <c r="D94" s="19" t="s">
        <v>278</v>
      </c>
      <c r="E94" s="32"/>
      <c r="F94" s="32"/>
      <c r="G94" s="32"/>
      <c r="H94" s="35" t="str">
        <f aca="false">IF(OR(F94="",G94=""),"",F94/G94)</f>
        <v/>
      </c>
      <c r="I94" s="3"/>
    </row>
    <row r="95" customFormat="false" ht="15" hidden="false" customHeight="false" outlineLevel="0" collapsed="false">
      <c r="A95" s="8" t="s">
        <v>127</v>
      </c>
      <c r="B95" s="19" t="s">
        <v>286</v>
      </c>
      <c r="C95" s="19" t="s">
        <v>273</v>
      </c>
      <c r="D95" s="19" t="s">
        <v>279</v>
      </c>
      <c r="E95" s="32"/>
      <c r="F95" s="32"/>
      <c r="G95" s="32"/>
      <c r="H95" s="35" t="str">
        <f aca="false">IF(OR(F95="",G95=""),"",F95/G95)</f>
        <v/>
      </c>
      <c r="I95" s="3"/>
    </row>
    <row r="96" customFormat="false" ht="15" hidden="false" customHeight="false" outlineLevel="0" collapsed="false">
      <c r="A96" s="8" t="s">
        <v>127</v>
      </c>
      <c r="B96" s="19" t="s">
        <v>286</v>
      </c>
      <c r="C96" s="19" t="s">
        <v>280</v>
      </c>
      <c r="D96" s="19" t="s">
        <v>281</v>
      </c>
      <c r="E96" s="32"/>
      <c r="F96" s="32"/>
      <c r="G96" s="32"/>
      <c r="H96" s="35" t="str">
        <f aca="false">IF(OR(F96="",G96=""),"",F96/G96)</f>
        <v/>
      </c>
      <c r="I96" s="3"/>
    </row>
    <row r="97" customFormat="false" ht="15" hidden="false" customHeight="false" outlineLevel="0" collapsed="false">
      <c r="A97" s="8" t="s">
        <v>127</v>
      </c>
      <c r="B97" s="19" t="s">
        <v>286</v>
      </c>
      <c r="C97" s="19" t="s">
        <v>282</v>
      </c>
      <c r="D97" s="19" t="s">
        <v>283</v>
      </c>
      <c r="E97" s="32"/>
      <c r="F97" s="32"/>
      <c r="G97" s="32"/>
      <c r="H97" s="35" t="str">
        <f aca="false">IF(OR(F97="",G97=""),"",F97/G97)</f>
        <v/>
      </c>
      <c r="I97" s="3"/>
    </row>
    <row r="98" customFormat="false" ht="15" hidden="false" customHeight="false" outlineLevel="0" collapsed="false">
      <c r="A98" s="8" t="s">
        <v>127</v>
      </c>
      <c r="B98" s="19" t="s">
        <v>286</v>
      </c>
      <c r="C98" s="19" t="s">
        <v>284</v>
      </c>
      <c r="D98" s="19" t="s">
        <v>285</v>
      </c>
      <c r="E98" s="32"/>
      <c r="F98" s="32"/>
      <c r="G98" s="32"/>
      <c r="H98" s="35" t="str">
        <f aca="false">IF(OR(F98="",G98=""),"",F98/G98)</f>
        <v/>
      </c>
      <c r="I98" s="3"/>
    </row>
    <row r="99" customFormat="false" ht="15" hidden="false" customHeight="false" outlineLevel="0" collapsed="false">
      <c r="A99" s="8" t="s">
        <v>128</v>
      </c>
      <c r="B99" s="50" t="s">
        <v>272</v>
      </c>
      <c r="C99" s="19" t="s">
        <v>275</v>
      </c>
      <c r="D99" s="19" t="s">
        <v>276</v>
      </c>
      <c r="E99" s="32"/>
      <c r="F99" s="32"/>
      <c r="G99" s="32"/>
      <c r="H99" s="35" t="str">
        <f aca="false">IF(OR(F99="",G99=""),"",F99/G99)</f>
        <v/>
      </c>
      <c r="I99" s="3"/>
    </row>
    <row r="100" customFormat="false" ht="15" hidden="false" customHeight="false" outlineLevel="0" collapsed="false">
      <c r="A100" s="8" t="s">
        <v>128</v>
      </c>
      <c r="B100" s="50" t="s">
        <v>272</v>
      </c>
      <c r="C100" s="19" t="s">
        <v>277</v>
      </c>
      <c r="D100" s="19" t="s">
        <v>278</v>
      </c>
      <c r="E100" s="32"/>
      <c r="F100" s="32"/>
      <c r="G100" s="32"/>
      <c r="H100" s="35" t="str">
        <f aca="false">IF(OR(F100="",G100=""),"",F100/G100)</f>
        <v/>
      </c>
      <c r="I100" s="3"/>
    </row>
    <row r="101" customFormat="false" ht="15" hidden="false" customHeight="false" outlineLevel="0" collapsed="false">
      <c r="A101" s="8" t="s">
        <v>128</v>
      </c>
      <c r="B101" s="50" t="s">
        <v>272</v>
      </c>
      <c r="C101" s="19" t="s">
        <v>273</v>
      </c>
      <c r="D101" s="19" t="s">
        <v>279</v>
      </c>
      <c r="E101" s="32"/>
      <c r="F101" s="32"/>
      <c r="G101" s="32"/>
      <c r="H101" s="35" t="str">
        <f aca="false">IF(OR(F101="",G101=""),"",F101/G101)</f>
        <v/>
      </c>
      <c r="I101" s="3"/>
    </row>
    <row r="102" customFormat="false" ht="15" hidden="false" customHeight="false" outlineLevel="0" collapsed="false">
      <c r="A102" s="8" t="s">
        <v>128</v>
      </c>
      <c r="B102" s="50" t="s">
        <v>272</v>
      </c>
      <c r="C102" s="19" t="s">
        <v>280</v>
      </c>
      <c r="D102" s="19" t="s">
        <v>281</v>
      </c>
      <c r="E102" s="32"/>
      <c r="F102" s="32"/>
      <c r="G102" s="32"/>
      <c r="H102" s="35" t="str">
        <f aca="false">IF(OR(F102="",G102=""),"",F102/G102)</f>
        <v/>
      </c>
      <c r="I102" s="3"/>
    </row>
    <row r="103" customFormat="false" ht="15" hidden="false" customHeight="false" outlineLevel="0" collapsed="false">
      <c r="A103" s="8" t="s">
        <v>128</v>
      </c>
      <c r="B103" s="50" t="s">
        <v>272</v>
      </c>
      <c r="C103" s="19" t="s">
        <v>282</v>
      </c>
      <c r="D103" s="19" t="s">
        <v>283</v>
      </c>
      <c r="E103" s="32"/>
      <c r="F103" s="32"/>
      <c r="G103" s="32"/>
      <c r="H103" s="35" t="str">
        <f aca="false">IF(OR(F103="",G103=""),"",F103/G103)</f>
        <v/>
      </c>
      <c r="I103" s="3"/>
    </row>
    <row r="104" customFormat="false" ht="15" hidden="false" customHeight="false" outlineLevel="0" collapsed="false">
      <c r="A104" s="8" t="s">
        <v>128</v>
      </c>
      <c r="B104" s="50" t="s">
        <v>272</v>
      </c>
      <c r="C104" s="19" t="s">
        <v>284</v>
      </c>
      <c r="D104" s="19" t="s">
        <v>285</v>
      </c>
      <c r="E104" s="32"/>
      <c r="F104" s="32"/>
      <c r="G104" s="32"/>
      <c r="H104" s="35" t="str">
        <f aca="false">IF(OR(F104="",G104=""),"",F104/G104)</f>
        <v/>
      </c>
      <c r="I104" s="3"/>
    </row>
    <row r="105" customFormat="false" ht="15" hidden="false" customHeight="false" outlineLevel="0" collapsed="false">
      <c r="A105" s="8" t="s">
        <v>128</v>
      </c>
      <c r="B105" s="19" t="s">
        <v>286</v>
      </c>
      <c r="C105" s="19" t="s">
        <v>275</v>
      </c>
      <c r="D105" s="19" t="s">
        <v>276</v>
      </c>
      <c r="E105" s="32"/>
      <c r="F105" s="32"/>
      <c r="G105" s="32"/>
      <c r="H105" s="35" t="str">
        <f aca="false">IF(OR(F105="",G105=""),"",F105/G105)</f>
        <v/>
      </c>
      <c r="I105" s="3"/>
    </row>
    <row r="106" customFormat="false" ht="15" hidden="false" customHeight="false" outlineLevel="0" collapsed="false">
      <c r="A106" s="8" t="s">
        <v>128</v>
      </c>
      <c r="B106" s="19" t="s">
        <v>286</v>
      </c>
      <c r="C106" s="19" t="s">
        <v>277</v>
      </c>
      <c r="D106" s="19" t="s">
        <v>278</v>
      </c>
      <c r="E106" s="32"/>
      <c r="F106" s="32"/>
      <c r="G106" s="32"/>
      <c r="H106" s="35" t="str">
        <f aca="false">IF(OR(F106="",G106=""),"",F106/G106)</f>
        <v/>
      </c>
      <c r="I106" s="3"/>
    </row>
    <row r="107" customFormat="false" ht="15" hidden="false" customHeight="false" outlineLevel="0" collapsed="false">
      <c r="A107" s="8" t="s">
        <v>128</v>
      </c>
      <c r="B107" s="19" t="s">
        <v>286</v>
      </c>
      <c r="C107" s="19" t="s">
        <v>273</v>
      </c>
      <c r="D107" s="19" t="s">
        <v>279</v>
      </c>
      <c r="E107" s="32"/>
      <c r="F107" s="32"/>
      <c r="G107" s="32"/>
      <c r="H107" s="35" t="str">
        <f aca="false">IF(OR(F107="",G107=""),"",F107/G107)</f>
        <v/>
      </c>
      <c r="I107" s="3"/>
    </row>
    <row r="108" customFormat="false" ht="15" hidden="false" customHeight="false" outlineLevel="0" collapsed="false">
      <c r="A108" s="8" t="s">
        <v>128</v>
      </c>
      <c r="B108" s="19" t="s">
        <v>286</v>
      </c>
      <c r="C108" s="19" t="s">
        <v>280</v>
      </c>
      <c r="D108" s="19" t="s">
        <v>281</v>
      </c>
      <c r="E108" s="32"/>
      <c r="F108" s="32"/>
      <c r="G108" s="32"/>
      <c r="H108" s="35" t="str">
        <f aca="false">IF(OR(F108="",G108=""),"",F108/G108)</f>
        <v/>
      </c>
      <c r="I108" s="3"/>
    </row>
    <row r="109" customFormat="false" ht="15" hidden="false" customHeight="false" outlineLevel="0" collapsed="false">
      <c r="A109" s="8" t="s">
        <v>128</v>
      </c>
      <c r="B109" s="19" t="s">
        <v>286</v>
      </c>
      <c r="C109" s="19" t="s">
        <v>282</v>
      </c>
      <c r="D109" s="19" t="s">
        <v>283</v>
      </c>
      <c r="E109" s="32"/>
      <c r="F109" s="32"/>
      <c r="G109" s="32"/>
      <c r="H109" s="35" t="str">
        <f aca="false">IF(OR(F109="",G109=""),"",F109/G109)</f>
        <v/>
      </c>
      <c r="I109" s="3"/>
    </row>
    <row r="110" customFormat="false" ht="15" hidden="false" customHeight="false" outlineLevel="0" collapsed="false">
      <c r="A110" s="8" t="s">
        <v>128</v>
      </c>
      <c r="B110" s="19" t="s">
        <v>286</v>
      </c>
      <c r="C110" s="19" t="s">
        <v>284</v>
      </c>
      <c r="D110" s="19" t="s">
        <v>285</v>
      </c>
      <c r="E110" s="32"/>
      <c r="F110" s="32"/>
      <c r="G110" s="32"/>
      <c r="H110" s="35" t="str">
        <f aca="false">IF(OR(F110="",G110=""),"",F110/G110)</f>
        <v/>
      </c>
      <c r="I110" s="3"/>
    </row>
    <row r="111" customFormat="false" ht="15" hidden="false" customHeight="false" outlineLevel="0" collapsed="false">
      <c r="A111" s="8" t="s">
        <v>129</v>
      </c>
      <c r="B111" s="50" t="s">
        <v>272</v>
      </c>
      <c r="C111" s="19" t="s">
        <v>275</v>
      </c>
      <c r="D111" s="19" t="s">
        <v>276</v>
      </c>
      <c r="E111" s="32"/>
      <c r="F111" s="32"/>
      <c r="G111" s="32"/>
      <c r="H111" s="35" t="str">
        <f aca="false">IF(OR(F111="",G111=""),"",F111/G111)</f>
        <v/>
      </c>
      <c r="I111" s="3"/>
    </row>
    <row r="112" customFormat="false" ht="15" hidden="false" customHeight="false" outlineLevel="0" collapsed="false">
      <c r="A112" s="8" t="s">
        <v>129</v>
      </c>
      <c r="B112" s="50" t="s">
        <v>272</v>
      </c>
      <c r="C112" s="19" t="s">
        <v>277</v>
      </c>
      <c r="D112" s="19" t="s">
        <v>278</v>
      </c>
      <c r="E112" s="32"/>
      <c r="F112" s="32"/>
      <c r="G112" s="32"/>
      <c r="H112" s="35" t="str">
        <f aca="false">IF(OR(F112="",G112=""),"",F112/G112)</f>
        <v/>
      </c>
      <c r="I112" s="3"/>
    </row>
    <row r="113" customFormat="false" ht="15" hidden="false" customHeight="false" outlineLevel="0" collapsed="false">
      <c r="A113" s="8" t="s">
        <v>129</v>
      </c>
      <c r="B113" s="50" t="s">
        <v>272</v>
      </c>
      <c r="C113" s="19" t="s">
        <v>273</v>
      </c>
      <c r="D113" s="19" t="s">
        <v>279</v>
      </c>
      <c r="E113" s="32"/>
      <c r="F113" s="32"/>
      <c r="G113" s="32"/>
      <c r="H113" s="35" t="str">
        <f aca="false">IF(OR(F113="",G113=""),"",F113/G113)</f>
        <v/>
      </c>
      <c r="I113" s="3"/>
    </row>
    <row r="114" customFormat="false" ht="15" hidden="false" customHeight="false" outlineLevel="0" collapsed="false">
      <c r="A114" s="8" t="s">
        <v>129</v>
      </c>
      <c r="B114" s="50" t="s">
        <v>272</v>
      </c>
      <c r="C114" s="19" t="s">
        <v>280</v>
      </c>
      <c r="D114" s="19" t="s">
        <v>281</v>
      </c>
      <c r="E114" s="32"/>
      <c r="F114" s="32"/>
      <c r="G114" s="32"/>
      <c r="H114" s="35" t="str">
        <f aca="false">IF(OR(F114="",G114=""),"",F114/G114)</f>
        <v/>
      </c>
      <c r="I114" s="3"/>
    </row>
    <row r="115" customFormat="false" ht="15" hidden="false" customHeight="false" outlineLevel="0" collapsed="false">
      <c r="A115" s="8" t="s">
        <v>129</v>
      </c>
      <c r="B115" s="50" t="s">
        <v>272</v>
      </c>
      <c r="C115" s="19" t="s">
        <v>282</v>
      </c>
      <c r="D115" s="19" t="s">
        <v>283</v>
      </c>
      <c r="E115" s="32"/>
      <c r="F115" s="32"/>
      <c r="G115" s="32"/>
      <c r="H115" s="35" t="str">
        <f aca="false">IF(OR(F115="",G115=""),"",F115/G115)</f>
        <v/>
      </c>
      <c r="I115" s="3"/>
    </row>
    <row r="116" customFormat="false" ht="15" hidden="false" customHeight="false" outlineLevel="0" collapsed="false">
      <c r="A116" s="8" t="s">
        <v>129</v>
      </c>
      <c r="B116" s="50" t="s">
        <v>272</v>
      </c>
      <c r="C116" s="19" t="s">
        <v>284</v>
      </c>
      <c r="D116" s="19" t="s">
        <v>285</v>
      </c>
      <c r="E116" s="32"/>
      <c r="F116" s="32"/>
      <c r="G116" s="32"/>
      <c r="H116" s="35" t="str">
        <f aca="false">IF(OR(F116="",G116=""),"",F116/G116)</f>
        <v/>
      </c>
      <c r="I116" s="3"/>
    </row>
    <row r="117" customFormat="false" ht="15" hidden="false" customHeight="false" outlineLevel="0" collapsed="false">
      <c r="A117" s="8" t="s">
        <v>129</v>
      </c>
      <c r="B117" s="19" t="s">
        <v>286</v>
      </c>
      <c r="C117" s="19" t="s">
        <v>275</v>
      </c>
      <c r="D117" s="19" t="s">
        <v>276</v>
      </c>
      <c r="E117" s="32"/>
      <c r="F117" s="32"/>
      <c r="G117" s="32"/>
      <c r="H117" s="35" t="str">
        <f aca="false">IF(OR(F117="",G117=""),"",F117/G117)</f>
        <v/>
      </c>
      <c r="I117" s="3"/>
    </row>
    <row r="118" customFormat="false" ht="15" hidden="false" customHeight="false" outlineLevel="0" collapsed="false">
      <c r="A118" s="8" t="s">
        <v>129</v>
      </c>
      <c r="B118" s="19" t="s">
        <v>286</v>
      </c>
      <c r="C118" s="19" t="s">
        <v>277</v>
      </c>
      <c r="D118" s="19" t="s">
        <v>278</v>
      </c>
      <c r="E118" s="32"/>
      <c r="F118" s="32"/>
      <c r="G118" s="32"/>
      <c r="H118" s="35" t="str">
        <f aca="false">IF(OR(F118="",G118=""),"",F118/G118)</f>
        <v/>
      </c>
      <c r="I118" s="3"/>
    </row>
    <row r="119" customFormat="false" ht="15" hidden="false" customHeight="false" outlineLevel="0" collapsed="false">
      <c r="A119" s="8" t="s">
        <v>129</v>
      </c>
      <c r="B119" s="19" t="s">
        <v>286</v>
      </c>
      <c r="C119" s="19" t="s">
        <v>273</v>
      </c>
      <c r="D119" s="19" t="s">
        <v>279</v>
      </c>
      <c r="E119" s="32"/>
      <c r="F119" s="32"/>
      <c r="G119" s="32"/>
      <c r="H119" s="35" t="str">
        <f aca="false">IF(OR(F119="",G119=""),"",F119/G119)</f>
        <v/>
      </c>
      <c r="I119" s="3"/>
    </row>
    <row r="120" customFormat="false" ht="15" hidden="false" customHeight="false" outlineLevel="0" collapsed="false">
      <c r="A120" s="8" t="s">
        <v>129</v>
      </c>
      <c r="B120" s="19" t="s">
        <v>286</v>
      </c>
      <c r="C120" s="19" t="s">
        <v>280</v>
      </c>
      <c r="D120" s="19" t="s">
        <v>281</v>
      </c>
      <c r="E120" s="32"/>
      <c r="F120" s="32"/>
      <c r="G120" s="32"/>
      <c r="H120" s="35" t="str">
        <f aca="false">IF(OR(F120="",G120=""),"",F120/G120)</f>
        <v/>
      </c>
      <c r="I120" s="3"/>
    </row>
    <row r="121" customFormat="false" ht="15" hidden="false" customHeight="false" outlineLevel="0" collapsed="false">
      <c r="A121" s="8" t="s">
        <v>129</v>
      </c>
      <c r="B121" s="19" t="s">
        <v>286</v>
      </c>
      <c r="C121" s="19" t="s">
        <v>282</v>
      </c>
      <c r="D121" s="19" t="s">
        <v>283</v>
      </c>
      <c r="E121" s="32"/>
      <c r="F121" s="32"/>
      <c r="G121" s="32"/>
      <c r="H121" s="35" t="str">
        <f aca="false">IF(OR(F121="",G121=""),"",F121/G121)</f>
        <v/>
      </c>
      <c r="I121" s="3"/>
    </row>
    <row r="122" customFormat="false" ht="15" hidden="false" customHeight="false" outlineLevel="0" collapsed="false">
      <c r="A122" s="8" t="s">
        <v>129</v>
      </c>
      <c r="B122" s="19" t="s">
        <v>286</v>
      </c>
      <c r="C122" s="19" t="s">
        <v>284</v>
      </c>
      <c r="D122" s="19" t="s">
        <v>285</v>
      </c>
      <c r="E122" s="32"/>
      <c r="F122" s="32"/>
      <c r="G122" s="32"/>
      <c r="H122" s="35" t="str">
        <f aca="false">IF(OR(F122="",G122=""),"",F122/G122)</f>
        <v/>
      </c>
      <c r="I122" s="3"/>
    </row>
    <row r="124" customFormat="false" ht="15" hidden="false" customHeight="true" outlineLevel="0" collapsed="false">
      <c r="A124" s="22" t="s">
        <v>287</v>
      </c>
      <c r="B124" s="22"/>
      <c r="C124" s="22"/>
      <c r="D124" s="22"/>
      <c r="E124" s="22"/>
      <c r="F124" s="22"/>
      <c r="G124" s="22"/>
    </row>
    <row r="125" customFormat="false" ht="30" hidden="false" customHeight="true" outlineLevel="0" collapsed="false">
      <c r="A125" s="6" t="s">
        <v>92</v>
      </c>
      <c r="B125" s="6" t="s">
        <v>256</v>
      </c>
      <c r="C125" s="6" t="s">
        <v>258</v>
      </c>
      <c r="D125" s="6" t="s">
        <v>191</v>
      </c>
      <c r="E125" s="7" t="s">
        <v>288</v>
      </c>
      <c r="F125" s="7" t="s">
        <v>289</v>
      </c>
      <c r="G125" s="6" t="s">
        <v>290</v>
      </c>
    </row>
    <row r="126" customFormat="false" ht="15" hidden="false" customHeight="false" outlineLevel="0" collapsed="false">
      <c r="A126" s="8" t="s">
        <v>124</v>
      </c>
      <c r="B126" s="35" t="str">
        <f aca="false">IFERROR(AVERAGEIFS($L$29:$L$46,$A$29:$A$46,$A126,$F$29:$F$46,"&gt;0",$G$29:$G$46,"&gt;0"),"")</f>
        <v/>
      </c>
      <c r="C126" s="35" t="str">
        <f aca="false">IFERROR(AVERAGEIFS($N$29:$N$46,$A$29:$A$46,$A126,$I$29:$I$46,"&gt;0",$J$29:$J$46,"&gt;0"),"")</f>
        <v/>
      </c>
      <c r="D126" s="50" t="str">
        <f aca="false">IF(COUNTIFS($A$29:$A$46,$A126,$P$29:$P$46,"불일치")&gt;0,"불일치 있음",IF(COUNTIFS($A$29:$A$46,$A126,$P$29:$P$46,"일치")&gt;0,"일치",""))</f>
        <v/>
      </c>
      <c r="E126" s="35" t="str">
        <f aca="false">IFERROR(AVERAGEIFS($H$51:$H$122,$A$51:$A$122,$A126,$B$51:$B$122,"공기",$C$51:$C$122,"HCN",$F$51:$F$122,"&gt;0"),"")</f>
        <v/>
      </c>
      <c r="F126" s="35" t="str">
        <f aca="false">IFERROR(AVERAGEIFS($H$51:$H$122,$A$51:$A$122,$A126,$B$51:$B$122,"공기",$C$51:$C$122,"CO",$F$51:$F$122,"&gt;0"),"")</f>
        <v/>
      </c>
      <c r="G126" s="14" t="str">
        <f aca="false">IF(D126="불일치 있음","제품 확인 → 전이함수 적용 보류",IF(D126="일치",IF(AND(C126&lt;&gt;"",C126&gt;0),"난연제 확인","난연제 미검출 → 가연성으로 다룸"),"(미측정)"))</f>
        <v>(미측정)</v>
      </c>
    </row>
    <row r="127" customFormat="false" ht="15" hidden="false" customHeight="false" outlineLevel="0" collapsed="false">
      <c r="A127" s="8" t="s">
        <v>125</v>
      </c>
      <c r="B127" s="35" t="str">
        <f aca="false">IFERROR(AVERAGEIFS($L$29:$L$46,$A$29:$A$46,$A127,$F$29:$F$46,"&gt;0",$G$29:$G$46,"&gt;0"),"")</f>
        <v/>
      </c>
      <c r="C127" s="35" t="str">
        <f aca="false">IFERROR(AVERAGEIFS($N$29:$N$46,$A$29:$A$46,$A127,$I$29:$I$46,"&gt;0",$J$29:$J$46,"&gt;0"),"")</f>
        <v/>
      </c>
      <c r="D127" s="50" t="str">
        <f aca="false">IF(COUNTIFS($A$29:$A$46,$A127,$P$29:$P$46,"불일치")&gt;0,"불일치 있음",IF(COUNTIFS($A$29:$A$46,$A127,$P$29:$P$46,"일치")&gt;0,"일치",""))</f>
        <v/>
      </c>
      <c r="E127" s="35" t="str">
        <f aca="false">IFERROR(AVERAGEIFS($H$51:$H$122,$A$51:$A$122,$A127,$B$51:$B$122,"공기",$C$51:$C$122,"HCN",$F$51:$F$122,"&gt;0"),"")</f>
        <v/>
      </c>
      <c r="F127" s="35" t="str">
        <f aca="false">IFERROR(AVERAGEIFS($H$51:$H$122,$A$51:$A$122,$A127,$B$51:$B$122,"공기",$C$51:$C$122,"CO",$F$51:$F$122,"&gt;0"),"")</f>
        <v/>
      </c>
      <c r="G127" s="14" t="str">
        <f aca="false">IF(D127="불일치 있음","제품 확인 → 전이함수 적용 보류",IF(D127="일치",IF(AND(C127&lt;&gt;"",C127&gt;0),"난연제 확인","난연제 미검출 → 가연성으로 다룸"),"(미측정)"))</f>
        <v>(미측정)</v>
      </c>
    </row>
    <row r="128" customFormat="false" ht="15" hidden="false" customHeight="false" outlineLevel="0" collapsed="false">
      <c r="A128" s="8" t="s">
        <v>126</v>
      </c>
      <c r="B128" s="35" t="str">
        <f aca="false">IFERROR(AVERAGEIFS($L$29:$L$46,$A$29:$A$46,$A128,$F$29:$F$46,"&gt;0",$G$29:$G$46,"&gt;0"),"")</f>
        <v/>
      </c>
      <c r="C128" s="35" t="str">
        <f aca="false">IFERROR(AVERAGEIFS($N$29:$N$46,$A$29:$A$46,$A128,$I$29:$I$46,"&gt;0",$J$29:$J$46,"&gt;0"),"")</f>
        <v/>
      </c>
      <c r="D128" s="50" t="str">
        <f aca="false">IF(COUNTIFS($A$29:$A$46,$A128,$P$29:$P$46,"불일치")&gt;0,"불일치 있음",IF(COUNTIFS($A$29:$A$46,$A128,$P$29:$P$46,"일치")&gt;0,"일치",""))</f>
        <v/>
      </c>
      <c r="E128" s="35" t="str">
        <f aca="false">IFERROR(AVERAGEIFS($H$51:$H$122,$A$51:$A$122,$A128,$B$51:$B$122,"공기",$C$51:$C$122,"HCN",$F$51:$F$122,"&gt;0"),"")</f>
        <v/>
      </c>
      <c r="F128" s="35" t="str">
        <f aca="false">IFERROR(AVERAGEIFS($H$51:$H$122,$A$51:$A$122,$A128,$B$51:$B$122,"공기",$C$51:$C$122,"CO",$F$51:$F$122,"&gt;0"),"")</f>
        <v/>
      </c>
      <c r="G128" s="14" t="str">
        <f aca="false">IF(D128="불일치 있음","제품 확인 → 전이함수 적용 보류",IF(D128="일치",IF(AND(C128&lt;&gt;"",C128&gt;0),"난연제 확인","난연제 미검출 → 가연성으로 다룸"),"(미측정)"))</f>
        <v>(미측정)</v>
      </c>
    </row>
    <row r="129" customFormat="false" ht="15" hidden="false" customHeight="false" outlineLevel="0" collapsed="false">
      <c r="A129" s="8" t="s">
        <v>127</v>
      </c>
      <c r="B129" s="35" t="str">
        <f aca="false">IFERROR(AVERAGEIFS($L$29:$L$46,$A$29:$A$46,$A129,$F$29:$F$46,"&gt;0",$G$29:$G$46,"&gt;0"),"")</f>
        <v/>
      </c>
      <c r="C129" s="35" t="str">
        <f aca="false">IFERROR(AVERAGEIFS($N$29:$N$46,$A$29:$A$46,$A129,$I$29:$I$46,"&gt;0",$J$29:$J$46,"&gt;0"),"")</f>
        <v/>
      </c>
      <c r="D129" s="50" t="str">
        <f aca="false">IF(COUNTIFS($A$29:$A$46,$A129,$P$29:$P$46,"불일치")&gt;0,"불일치 있음",IF(COUNTIFS($A$29:$A$46,$A129,$P$29:$P$46,"일치")&gt;0,"일치",""))</f>
        <v/>
      </c>
      <c r="E129" s="35" t="str">
        <f aca="false">IFERROR(AVERAGEIFS($H$51:$H$122,$A$51:$A$122,$A129,$B$51:$B$122,"공기",$C$51:$C$122,"HCN",$F$51:$F$122,"&gt;0"),"")</f>
        <v/>
      </c>
      <c r="F129" s="35" t="str">
        <f aca="false">IFERROR(AVERAGEIFS($H$51:$H$122,$A$51:$A$122,$A129,$B$51:$B$122,"공기",$C$51:$C$122,"CO",$F$51:$F$122,"&gt;0"),"")</f>
        <v/>
      </c>
      <c r="G129" s="14" t="str">
        <f aca="false">IF(D129="불일치 있음","제품 확인 → 전이함수 적용 보류",IF(D129="일치",IF(AND(C129&lt;&gt;"",C129&gt;0),"난연제 확인","난연제 미검출 → 가연성으로 다룸"),"(미측정)"))</f>
        <v>(미측정)</v>
      </c>
    </row>
    <row r="130" customFormat="false" ht="15" hidden="false" customHeight="false" outlineLevel="0" collapsed="false">
      <c r="A130" s="8" t="s">
        <v>128</v>
      </c>
      <c r="B130" s="35" t="str">
        <f aca="false">IFERROR(AVERAGEIFS($L$29:$L$46,$A$29:$A$46,$A130,$F$29:$F$46,"&gt;0",$G$29:$G$46,"&gt;0"),"")</f>
        <v/>
      </c>
      <c r="C130" s="35" t="str">
        <f aca="false">IFERROR(AVERAGEIFS($N$29:$N$46,$A$29:$A$46,$A130,$I$29:$I$46,"&gt;0",$J$29:$J$46,"&gt;0"),"")</f>
        <v/>
      </c>
      <c r="D130" s="50" t="str">
        <f aca="false">IF(COUNTIFS($A$29:$A$46,$A130,$P$29:$P$46,"불일치")&gt;0,"불일치 있음",IF(COUNTIFS($A$29:$A$46,$A130,$P$29:$P$46,"일치")&gt;0,"일치",""))</f>
        <v/>
      </c>
      <c r="E130" s="35" t="str">
        <f aca="false">IFERROR(AVERAGEIFS($H$51:$H$122,$A$51:$A$122,$A130,$B$51:$B$122,"공기",$C$51:$C$122,"HCN",$F$51:$F$122,"&gt;0"),"")</f>
        <v/>
      </c>
      <c r="F130" s="35" t="str">
        <f aca="false">IFERROR(AVERAGEIFS($H$51:$H$122,$A$51:$A$122,$A130,$B$51:$B$122,"공기",$C$51:$C$122,"CO",$F$51:$F$122,"&gt;0"),"")</f>
        <v/>
      </c>
      <c r="G130" s="14" t="str">
        <f aca="false">IF(D130="불일치 있음","제품 확인 → 전이함수 적용 보류",IF(D130="일치",IF(AND(C130&lt;&gt;"",C130&gt;0),"난연제 확인","난연제 미검출 → 가연성으로 다룸"),"(미측정)"))</f>
        <v>(미측정)</v>
      </c>
    </row>
    <row r="131" customFormat="false" ht="15" hidden="false" customHeight="false" outlineLevel="0" collapsed="false">
      <c r="A131" s="8" t="s">
        <v>129</v>
      </c>
      <c r="B131" s="35" t="str">
        <f aca="false">IFERROR(AVERAGEIFS($L$29:$L$46,$A$29:$A$46,$A131,$F$29:$F$46,"&gt;0",$G$29:$G$46,"&gt;0"),"")</f>
        <v/>
      </c>
      <c r="C131" s="35" t="str">
        <f aca="false">IFERROR(AVERAGEIFS($N$29:$N$46,$A$29:$A$46,$A131,$I$29:$I$46,"&gt;0",$J$29:$J$46,"&gt;0"),"")</f>
        <v/>
      </c>
      <c r="D131" s="50" t="str">
        <f aca="false">IF(COUNTIFS($A$29:$A$46,$A131,$P$29:$P$46,"불일치")&gt;0,"불일치 있음",IF(COUNTIFS($A$29:$A$46,$A131,$P$29:$P$46,"일치")&gt;0,"일치",""))</f>
        <v/>
      </c>
      <c r="E131" s="35" t="str">
        <f aca="false">IFERROR(AVERAGEIFS($H$51:$H$122,$A$51:$A$122,$A131,$B$51:$B$122,"공기",$C$51:$C$122,"HCN",$F$51:$F$122,"&gt;0"),"")</f>
        <v/>
      </c>
      <c r="F131" s="35" t="str">
        <f aca="false">IFERROR(AVERAGEIFS($H$51:$H$122,$A$51:$A$122,$A131,$B$51:$B$122,"공기",$C$51:$C$122,"CO",$F$51:$F$122,"&gt;0"),"")</f>
        <v/>
      </c>
      <c r="G131" s="14" t="str">
        <f aca="false">IF(D131="불일치 있음","제품 확인 → 전이함수 적용 보류",IF(D131="일치",IF(AND(C131&lt;&gt;"",C131&gt;0),"난연제 확인","난연제 미검출 → 가연성으로 다룸"),"(미측정)"))</f>
        <v>(미측정)</v>
      </c>
    </row>
    <row r="133" customFormat="false" ht="15" hidden="false" customHeight="false" outlineLevel="0" collapsed="false">
      <c r="A133" s="5" t="s">
        <v>291</v>
      </c>
    </row>
  </sheetData>
  <mergeCells count="4">
    <mergeCell ref="A4:D4"/>
    <mergeCell ref="A26:Q26"/>
    <mergeCell ref="A48:I48"/>
    <mergeCell ref="A124:G1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9" min="6" style="0" width="8"/>
    <col collapsed="false" customWidth="true" hidden="false" outlineLevel="0" max="11" min="10" style="0" width="9"/>
    <col collapsed="false" customWidth="true" hidden="false" outlineLevel="0" max="12" min="12" style="0" width="5"/>
    <col collapsed="false" customWidth="true" hidden="false" outlineLevel="0" max="13" min="13" style="0" width="8"/>
    <col collapsed="false" customWidth="true" hidden="false" outlineLevel="0" max="14" min="14" style="0" width="5"/>
    <col collapsed="false" customWidth="true" hidden="false" outlineLevel="0" max="16" min="15" style="0" width="7"/>
    <col collapsed="false" customWidth="true" hidden="false" outlineLevel="0" max="17" min="17" style="0" width="8"/>
    <col collapsed="false" customWidth="true" hidden="false" outlineLevel="0" max="18" min="18" style="0" width="9"/>
    <col collapsed="false" customWidth="true" hidden="false" outlineLevel="0" max="19" min="19" style="0" width="10"/>
  </cols>
  <sheetData>
    <row r="1" customFormat="false" ht="19.4" hidden="false" customHeight="false" outlineLevel="0" collapsed="false">
      <c r="A1" s="16" t="s">
        <v>292</v>
      </c>
    </row>
    <row r="2" customFormat="false" ht="15" hidden="false" customHeight="false" outlineLevel="0" collapsed="false">
      <c r="A2" s="5" t="s">
        <v>293</v>
      </c>
    </row>
    <row r="4" customFormat="false" ht="39.75" hidden="false" customHeight="true" outlineLevel="0" collapsed="false">
      <c r="A4" s="6" t="s">
        <v>294</v>
      </c>
      <c r="B4" s="6" t="s">
        <v>92</v>
      </c>
      <c r="C4" s="6" t="s">
        <v>140</v>
      </c>
      <c r="D4" s="6" t="s">
        <v>141</v>
      </c>
      <c r="E4" s="6" t="s">
        <v>295</v>
      </c>
      <c r="F4" s="7" t="s">
        <v>97</v>
      </c>
      <c r="G4" s="7" t="s">
        <v>296</v>
      </c>
      <c r="H4" s="7" t="s">
        <v>297</v>
      </c>
      <c r="I4" s="7" t="s">
        <v>298</v>
      </c>
      <c r="J4" s="7" t="s">
        <v>299</v>
      </c>
      <c r="K4" s="7" t="s">
        <v>300</v>
      </c>
      <c r="L4" s="7" t="s">
        <v>301</v>
      </c>
      <c r="M4" s="7" t="s">
        <v>302</v>
      </c>
      <c r="N4" s="7" t="s">
        <v>303</v>
      </c>
      <c r="O4" s="7" t="s">
        <v>304</v>
      </c>
      <c r="P4" s="6" t="s">
        <v>305</v>
      </c>
      <c r="Q4" s="6" t="s">
        <v>306</v>
      </c>
      <c r="R4" s="7" t="s">
        <v>307</v>
      </c>
      <c r="S4" s="6" t="s">
        <v>308</v>
      </c>
    </row>
    <row r="5" customFormat="false" ht="15" hidden="false" customHeight="false" outlineLevel="0" collapsed="false">
      <c r="A5" s="8" t="s">
        <v>309</v>
      </c>
      <c r="B5" s="19" t="s">
        <v>160</v>
      </c>
      <c r="C5" s="4" t="s">
        <v>161</v>
      </c>
      <c r="D5" s="19" t="s">
        <v>162</v>
      </c>
      <c r="E5" s="48" t="s">
        <v>310</v>
      </c>
      <c r="F5" s="46"/>
      <c r="G5" s="46"/>
      <c r="H5" s="46"/>
      <c r="I5" s="38" t="str">
        <f aca="false">IF(H5="","",LN(H5))</f>
        <v/>
      </c>
      <c r="J5" s="38" t="str">
        <f aca="false">IF(H5="","",LN(H5)^2)</f>
        <v/>
      </c>
      <c r="K5" s="34" t="str">
        <f aca="false">IF(H5="","",t_ref/H5)</f>
        <v/>
      </c>
      <c r="L5" s="3"/>
      <c r="M5" s="3"/>
      <c r="N5" s="3"/>
      <c r="O5" s="3"/>
      <c r="P5" s="3"/>
      <c r="Q5" s="43" t="n">
        <v>0</v>
      </c>
      <c r="R5" s="46" t="n">
        <v>0</v>
      </c>
      <c r="S5" s="46" t="n">
        <v>305.5</v>
      </c>
    </row>
    <row r="6" customFormat="false" ht="15" hidden="false" customHeight="false" outlineLevel="0" collapsed="false">
      <c r="A6" s="8" t="s">
        <v>311</v>
      </c>
      <c r="B6" s="19" t="s">
        <v>160</v>
      </c>
      <c r="C6" s="4" t="s">
        <v>161</v>
      </c>
      <c r="D6" s="19" t="s">
        <v>162</v>
      </c>
      <c r="E6" s="48" t="s">
        <v>310</v>
      </c>
      <c r="F6" s="46"/>
      <c r="G6" s="46"/>
      <c r="H6" s="46"/>
      <c r="I6" s="38" t="str">
        <f aca="false">IF(H6="","",LN(H6))</f>
        <v/>
      </c>
      <c r="J6" s="38" t="str">
        <f aca="false">IF(H6="","",LN(H6)^2)</f>
        <v/>
      </c>
      <c r="K6" s="34" t="str">
        <f aca="false">IF(H6="","",t_ref/H6)</f>
        <v/>
      </c>
      <c r="L6" s="3"/>
      <c r="M6" s="3"/>
      <c r="N6" s="3"/>
      <c r="O6" s="3"/>
      <c r="P6" s="3"/>
      <c r="Q6" s="43" t="n">
        <v>0</v>
      </c>
      <c r="R6" s="46" t="n">
        <v>0</v>
      </c>
      <c r="S6" s="46" t="n">
        <v>252.5</v>
      </c>
    </row>
    <row r="7" customFormat="false" ht="15" hidden="false" customHeight="false" outlineLevel="0" collapsed="false">
      <c r="A7" s="8" t="s">
        <v>312</v>
      </c>
      <c r="B7" s="19" t="s">
        <v>164</v>
      </c>
      <c r="C7" s="4" t="s">
        <v>165</v>
      </c>
      <c r="D7" s="19" t="s">
        <v>166</v>
      </c>
      <c r="E7" s="48" t="s">
        <v>313</v>
      </c>
      <c r="F7" s="46" t="n">
        <v>488</v>
      </c>
      <c r="G7" s="46" t="n">
        <v>474</v>
      </c>
      <c r="H7" s="46" t="n">
        <v>962</v>
      </c>
      <c r="I7" s="38" t="n">
        <f aca="false">IF(H7="","",LN(H7))</f>
        <v>6.86901445066571</v>
      </c>
      <c r="J7" s="38" t="n">
        <f aca="false">IF(H7="","",LN(H7)^2)</f>
        <v>47.1833595234543</v>
      </c>
      <c r="K7" s="34" t="n">
        <f aca="false">IF(H7="","",t_ref/H7)</f>
        <v>0.935550935550936</v>
      </c>
      <c r="L7" s="43" t="n">
        <v>2</v>
      </c>
      <c r="M7" s="51" t="n">
        <v>2.3</v>
      </c>
      <c r="N7" s="43" t="n">
        <v>2</v>
      </c>
      <c r="O7" s="43" t="n">
        <v>4</v>
      </c>
      <c r="P7" s="43" t="s">
        <v>314</v>
      </c>
      <c r="Q7" s="43" t="n">
        <v>0</v>
      </c>
      <c r="R7" s="46" t="n">
        <v>129.395</v>
      </c>
      <c r="S7" s="46" t="n">
        <v>754.3</v>
      </c>
    </row>
    <row r="8" customFormat="false" ht="15" hidden="false" customHeight="false" outlineLevel="0" collapsed="false">
      <c r="A8" s="8" t="s">
        <v>315</v>
      </c>
      <c r="B8" s="19" t="s">
        <v>164</v>
      </c>
      <c r="C8" s="4" t="s">
        <v>165</v>
      </c>
      <c r="D8" s="19" t="s">
        <v>166</v>
      </c>
      <c r="E8" s="48" t="s">
        <v>313</v>
      </c>
      <c r="F8" s="46" t="n">
        <v>1036</v>
      </c>
      <c r="G8" s="46"/>
      <c r="H8" s="46"/>
      <c r="I8" s="38" t="str">
        <f aca="false">IF(H8="","",LN(H8))</f>
        <v/>
      </c>
      <c r="J8" s="38" t="str">
        <f aca="false">IF(H8="","",LN(H8)^2)</f>
        <v/>
      </c>
      <c r="K8" s="34" t="str">
        <f aca="false">IF(H8="","",t_ref/H8)</f>
        <v/>
      </c>
      <c r="L8" s="43" t="n">
        <v>1</v>
      </c>
      <c r="M8" s="51" t="n">
        <v>0</v>
      </c>
      <c r="N8" s="43" t="n">
        <v>1</v>
      </c>
      <c r="O8" s="43" t="n">
        <v>1</v>
      </c>
      <c r="P8" s="43"/>
      <c r="Q8" s="43" t="n">
        <v>0</v>
      </c>
      <c r="R8" s="46" t="n">
        <v>0</v>
      </c>
      <c r="S8" s="46" t="n">
        <v>430.6</v>
      </c>
    </row>
    <row r="9" customFormat="false" ht="15" hidden="false" customHeight="false" outlineLevel="0" collapsed="false">
      <c r="A9" s="8" t="s">
        <v>316</v>
      </c>
      <c r="B9" s="19" t="s">
        <v>164</v>
      </c>
      <c r="C9" s="4" t="s">
        <v>165</v>
      </c>
      <c r="D9" s="19" t="s">
        <v>166</v>
      </c>
      <c r="E9" s="48" t="s">
        <v>313</v>
      </c>
      <c r="F9" s="46" t="n">
        <v>868</v>
      </c>
      <c r="G9" s="46" t="n">
        <v>107</v>
      </c>
      <c r="H9" s="46" t="n">
        <v>975</v>
      </c>
      <c r="I9" s="38" t="n">
        <f aca="false">IF(H9="","",LN(H9))</f>
        <v>6.88243747099785</v>
      </c>
      <c r="J9" s="38" t="n">
        <f aca="false">IF(H9="","",LN(H9)^2)</f>
        <v>47.3679455421952</v>
      </c>
      <c r="K9" s="34" t="n">
        <f aca="false">IF(H9="","",t_ref/H9)</f>
        <v>0.923076923076923</v>
      </c>
      <c r="L9" s="43" t="n">
        <v>2</v>
      </c>
      <c r="M9" s="51" t="n">
        <v>0.566667</v>
      </c>
      <c r="N9" s="43" t="n">
        <v>1</v>
      </c>
      <c r="O9" s="43" t="n">
        <v>2</v>
      </c>
      <c r="P9" s="43" t="s">
        <v>314</v>
      </c>
      <c r="Q9" s="43" t="n">
        <v>0</v>
      </c>
      <c r="R9" s="46" t="n">
        <v>19.675</v>
      </c>
      <c r="S9" s="46" t="n">
        <v>689.6</v>
      </c>
    </row>
    <row r="10" customFormat="false" ht="15" hidden="false" customHeight="false" outlineLevel="0" collapsed="false">
      <c r="A10" s="8" t="s">
        <v>317</v>
      </c>
      <c r="B10" s="19" t="s">
        <v>168</v>
      </c>
      <c r="C10" s="4" t="s">
        <v>169</v>
      </c>
      <c r="D10" s="19" t="s">
        <v>162</v>
      </c>
      <c r="E10" s="48" t="s">
        <v>313</v>
      </c>
      <c r="F10" s="46"/>
      <c r="G10" s="46"/>
      <c r="H10" s="46" t="n">
        <v>31</v>
      </c>
      <c r="I10" s="38" t="n">
        <f aca="false">IF(H10="","",LN(H10))</f>
        <v>3.43398720448515</v>
      </c>
      <c r="J10" s="38" t="n">
        <f aca="false">IF(H10="","",LN(H10)^2)</f>
        <v>11.7922681205677</v>
      </c>
      <c r="K10" s="34" t="n">
        <f aca="false">IF(H10="","",t_ref/H10)</f>
        <v>29.0322580645161</v>
      </c>
      <c r="L10" s="43" t="n">
        <v>4</v>
      </c>
      <c r="M10" s="51" t="n">
        <v>14.866667</v>
      </c>
      <c r="N10" s="43" t="n">
        <v>4</v>
      </c>
      <c r="O10" s="43" t="n">
        <v>16</v>
      </c>
      <c r="P10" s="43" t="s">
        <v>314</v>
      </c>
      <c r="Q10" s="43" t="n">
        <v>0</v>
      </c>
      <c r="R10" s="46" t="n">
        <v>3029.333333</v>
      </c>
      <c r="S10" s="46" t="n">
        <v>985.5</v>
      </c>
    </row>
    <row r="11" customFormat="false" ht="15" hidden="false" customHeight="false" outlineLevel="0" collapsed="false">
      <c r="A11" s="8" t="s">
        <v>318</v>
      </c>
      <c r="B11" s="19" t="s">
        <v>168</v>
      </c>
      <c r="C11" s="4" t="s">
        <v>169</v>
      </c>
      <c r="D11" s="19" t="s">
        <v>162</v>
      </c>
      <c r="E11" s="48" t="s">
        <v>313</v>
      </c>
      <c r="F11" s="46"/>
      <c r="G11" s="46"/>
      <c r="H11" s="46" t="n">
        <v>29</v>
      </c>
      <c r="I11" s="38" t="n">
        <f aca="false">IF(H11="","",LN(H11))</f>
        <v>3.36729582998647</v>
      </c>
      <c r="J11" s="38" t="n">
        <f aca="false">IF(H11="","",LN(H11)^2)</f>
        <v>11.3386812066443</v>
      </c>
      <c r="K11" s="34" t="n">
        <f aca="false">IF(H11="","",t_ref/H11)</f>
        <v>31.0344827586207</v>
      </c>
      <c r="L11" s="43" t="n">
        <v>4</v>
      </c>
      <c r="M11" s="51" t="n">
        <v>16.1</v>
      </c>
      <c r="N11" s="43" t="n">
        <v>4</v>
      </c>
      <c r="O11" s="43" t="n">
        <v>16</v>
      </c>
      <c r="P11" s="43" t="s">
        <v>314</v>
      </c>
      <c r="Q11" s="43" t="n">
        <v>0</v>
      </c>
      <c r="R11" s="46" t="n">
        <v>3703.75</v>
      </c>
      <c r="S11" s="46" t="n">
        <v>1046</v>
      </c>
    </row>
    <row r="12" customFormat="false" ht="15" hidden="false" customHeight="false" outlineLevel="0" collapsed="false">
      <c r="A12" s="8" t="s">
        <v>319</v>
      </c>
      <c r="B12" s="19" t="s">
        <v>171</v>
      </c>
      <c r="C12" s="4" t="s">
        <v>172</v>
      </c>
      <c r="D12" s="19" t="s">
        <v>166</v>
      </c>
      <c r="E12" s="48" t="s">
        <v>313</v>
      </c>
      <c r="F12" s="46" t="n">
        <v>288</v>
      </c>
      <c r="G12" s="46" t="n">
        <v>780</v>
      </c>
      <c r="H12" s="46" t="n">
        <v>1068</v>
      </c>
      <c r="I12" s="38" t="n">
        <f aca="false">IF(H12="","",LN(H12))</f>
        <v>6.97354301952014</v>
      </c>
      <c r="J12" s="38" t="n">
        <f aca="false">IF(H12="","",LN(H12)^2)</f>
        <v>48.6303022450981</v>
      </c>
      <c r="K12" s="34" t="n">
        <f aca="false">IF(H12="","",t_ref/H12)</f>
        <v>0.842696629213483</v>
      </c>
      <c r="L12" s="43" t="n">
        <v>2</v>
      </c>
      <c r="M12" s="51" t="n">
        <v>4.65</v>
      </c>
      <c r="N12" s="43" t="n">
        <v>2</v>
      </c>
      <c r="O12" s="43" t="n">
        <v>4</v>
      </c>
      <c r="P12" s="43"/>
      <c r="Q12" s="43" t="n">
        <v>0</v>
      </c>
      <c r="R12" s="46" t="n">
        <v>616.313333</v>
      </c>
      <c r="S12" s="46" t="n">
        <v>861.2</v>
      </c>
    </row>
    <row r="13" customFormat="false" ht="15" hidden="false" customHeight="false" outlineLevel="0" collapsed="false">
      <c r="A13" s="8" t="s">
        <v>320</v>
      </c>
      <c r="B13" s="19" t="s">
        <v>171</v>
      </c>
      <c r="C13" s="4" t="s">
        <v>172</v>
      </c>
      <c r="D13" s="19" t="s">
        <v>166</v>
      </c>
      <c r="E13" s="48" t="s">
        <v>313</v>
      </c>
      <c r="F13" s="46" t="n">
        <v>282</v>
      </c>
      <c r="G13" s="46" t="n">
        <v>809</v>
      </c>
      <c r="H13" s="46" t="n">
        <v>1091</v>
      </c>
      <c r="I13" s="38" t="n">
        <f aca="false">IF(H13="","",LN(H13))</f>
        <v>6.99484998583307</v>
      </c>
      <c r="J13" s="38" t="n">
        <f aca="false">IF(H13="","",LN(H13)^2)</f>
        <v>48.9279263243089</v>
      </c>
      <c r="K13" s="34" t="n">
        <f aca="false">IF(H13="","",t_ref/H13)</f>
        <v>0.824931255728689</v>
      </c>
      <c r="L13" s="43" t="n">
        <v>2</v>
      </c>
      <c r="M13" s="51" t="n">
        <v>6.866667</v>
      </c>
      <c r="N13" s="43" t="n">
        <v>3</v>
      </c>
      <c r="O13" s="43" t="n">
        <v>6</v>
      </c>
      <c r="P13" s="43"/>
      <c r="Q13" s="43" t="n">
        <v>0</v>
      </c>
      <c r="R13" s="46" t="n">
        <v>1365.636667</v>
      </c>
      <c r="S13" s="46" t="n">
        <v>1148.9</v>
      </c>
    </row>
    <row r="14" customFormat="false" ht="15" hidden="false" customHeight="false" outlineLevel="0" collapsed="false">
      <c r="A14" s="8" t="s">
        <v>321</v>
      </c>
      <c r="B14" s="19" t="s">
        <v>174</v>
      </c>
      <c r="C14" s="4" t="s">
        <v>175</v>
      </c>
      <c r="D14" s="19" t="s">
        <v>166</v>
      </c>
      <c r="E14" s="48" t="s">
        <v>313</v>
      </c>
      <c r="F14" s="46" t="n">
        <v>220</v>
      </c>
      <c r="G14" s="46" t="n">
        <v>1025</v>
      </c>
      <c r="H14" s="46" t="n">
        <v>1245</v>
      </c>
      <c r="I14" s="38" t="n">
        <f aca="false">IF(H14="","",LN(H14))</f>
        <v>7.12689080889881</v>
      </c>
      <c r="J14" s="38" t="n">
        <f aca="false">IF(H14="","",LN(H14)^2)</f>
        <v>50.7925726019663</v>
      </c>
      <c r="K14" s="34" t="n">
        <f aca="false">IF(H14="","",t_ref/H14)</f>
        <v>0.72289156626506</v>
      </c>
      <c r="L14" s="43" t="n">
        <v>2</v>
      </c>
      <c r="M14" s="51" t="n">
        <v>2.883333</v>
      </c>
      <c r="N14" s="43" t="n">
        <v>2</v>
      </c>
      <c r="O14" s="43" t="n">
        <v>4</v>
      </c>
      <c r="P14" s="43"/>
      <c r="Q14" s="43" t="n">
        <v>1</v>
      </c>
      <c r="R14" s="46" t="n">
        <v>474.618333</v>
      </c>
      <c r="S14" s="46" t="n">
        <v>998.2</v>
      </c>
    </row>
    <row r="15" customFormat="false" ht="15" hidden="false" customHeight="false" outlineLevel="0" collapsed="false">
      <c r="A15" s="8" t="s">
        <v>322</v>
      </c>
      <c r="B15" s="19" t="s">
        <v>174</v>
      </c>
      <c r="C15" s="4" t="s">
        <v>175</v>
      </c>
      <c r="D15" s="19" t="s">
        <v>166</v>
      </c>
      <c r="E15" s="48" t="s">
        <v>313</v>
      </c>
      <c r="F15" s="46" t="n">
        <v>275</v>
      </c>
      <c r="G15" s="46" t="n">
        <v>1180</v>
      </c>
      <c r="H15" s="46" t="n">
        <v>1455</v>
      </c>
      <c r="I15" s="38" t="n">
        <f aca="false">IF(H15="","",LN(H15))</f>
        <v>7.28276117960559</v>
      </c>
      <c r="J15" s="38" t="n">
        <f aca="false">IF(H15="","",LN(H15)^2)</f>
        <v>53.0386103991703</v>
      </c>
      <c r="K15" s="34" t="n">
        <f aca="false">IF(H15="","",t_ref/H15)</f>
        <v>0.618556701030928</v>
      </c>
      <c r="L15" s="43" t="n">
        <v>2</v>
      </c>
      <c r="M15" s="51" t="n">
        <v>4.466667</v>
      </c>
      <c r="N15" s="43" t="n">
        <v>2</v>
      </c>
      <c r="O15" s="43" t="n">
        <v>4</v>
      </c>
      <c r="P15" s="43"/>
      <c r="Q15" s="43" t="n">
        <v>1</v>
      </c>
      <c r="R15" s="46" t="n">
        <v>999.068333</v>
      </c>
      <c r="S15" s="46" t="n">
        <v>1161.6</v>
      </c>
    </row>
    <row r="16" customFormat="false" ht="15" hidden="false" customHeight="false" outlineLevel="0" collapsed="false">
      <c r="A16" s="8" t="s">
        <v>323</v>
      </c>
      <c r="B16" s="19" t="s">
        <v>176</v>
      </c>
      <c r="C16" s="4" t="s">
        <v>177</v>
      </c>
      <c r="D16" s="19" t="s">
        <v>166</v>
      </c>
      <c r="E16" s="48" t="s">
        <v>313</v>
      </c>
      <c r="F16" s="46" t="n">
        <v>220</v>
      </c>
      <c r="G16" s="46" t="n">
        <v>336</v>
      </c>
      <c r="H16" s="46" t="n">
        <v>556</v>
      </c>
      <c r="I16" s="38" t="n">
        <f aca="false">IF(H16="","",LN(H16))</f>
        <v>6.32076829425058</v>
      </c>
      <c r="J16" s="38" t="n">
        <f aca="false">IF(H16="","",LN(H16)^2)</f>
        <v>39.9521118296034</v>
      </c>
      <c r="K16" s="34" t="n">
        <f aca="false">IF(H16="","",t_ref/H16)</f>
        <v>1.61870503597122</v>
      </c>
      <c r="L16" s="43" t="n">
        <v>3</v>
      </c>
      <c r="M16" s="51" t="n">
        <v>10.866667</v>
      </c>
      <c r="N16" s="43" t="n">
        <v>4</v>
      </c>
      <c r="O16" s="43" t="n">
        <v>12</v>
      </c>
      <c r="P16" s="43"/>
      <c r="Q16" s="43" t="n">
        <v>0</v>
      </c>
      <c r="R16" s="46" t="n">
        <v>2097.946667</v>
      </c>
      <c r="S16" s="46" t="n">
        <v>1135.3</v>
      </c>
    </row>
    <row r="17" customFormat="false" ht="15" hidden="false" customHeight="false" outlineLevel="0" collapsed="false">
      <c r="A17" s="8" t="s">
        <v>324</v>
      </c>
      <c r="B17" s="19" t="s">
        <v>176</v>
      </c>
      <c r="C17" s="4" t="s">
        <v>177</v>
      </c>
      <c r="D17" s="19" t="s">
        <v>166</v>
      </c>
      <c r="E17" s="48" t="s">
        <v>313</v>
      </c>
      <c r="F17" s="46" t="n">
        <v>188</v>
      </c>
      <c r="G17" s="46" t="n">
        <v>284</v>
      </c>
      <c r="H17" s="46" t="n">
        <v>472</v>
      </c>
      <c r="I17" s="38" t="n">
        <f aca="false">IF(H17="","",LN(H17))</f>
        <v>6.15697898558556</v>
      </c>
      <c r="J17" s="38" t="n">
        <f aca="false">IF(H17="","",LN(H17)^2)</f>
        <v>37.9083902289421</v>
      </c>
      <c r="K17" s="34" t="n">
        <f aca="false">IF(H17="","",t_ref/H17)</f>
        <v>1.90677966101695</v>
      </c>
      <c r="L17" s="43" t="n">
        <v>3</v>
      </c>
      <c r="M17" s="51" t="n">
        <v>17.083333</v>
      </c>
      <c r="N17" s="43" t="n">
        <v>4</v>
      </c>
      <c r="O17" s="43" t="n">
        <v>12</v>
      </c>
      <c r="P17" s="43"/>
      <c r="Q17" s="43" t="n">
        <v>1</v>
      </c>
      <c r="R17" s="46" t="n">
        <v>3768.716667</v>
      </c>
      <c r="S17" s="46" t="n">
        <v>1095.8</v>
      </c>
    </row>
    <row r="19" customFormat="false" ht="15" hidden="false" customHeight="false" outlineLevel="0" collapsed="false">
      <c r="A19" s="5" t="s">
        <v>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4" min="3" style="0" width="12"/>
    <col collapsed="false" customWidth="true" hidden="false" outlineLevel="0" max="5" min="5" style="0" width="52"/>
  </cols>
  <sheetData>
    <row r="1" customFormat="false" ht="19.4" hidden="false" customHeight="false" outlineLevel="0" collapsed="false">
      <c r="A1" s="1" t="s">
        <v>326</v>
      </c>
    </row>
    <row r="2" customFormat="false" ht="15" hidden="false" customHeight="false" outlineLevel="0" collapsed="false">
      <c r="A2" s="15" t="s">
        <v>327</v>
      </c>
    </row>
    <row r="4" customFormat="false" ht="15" hidden="false" customHeight="true" outlineLevel="0" collapsed="false">
      <c r="A4" s="17" t="s">
        <v>328</v>
      </c>
      <c r="B4" s="17"/>
      <c r="C4" s="17"/>
      <c r="D4" s="17"/>
      <c r="E4" s="17"/>
      <c r="F4" s="17"/>
    </row>
    <row r="5" customFormat="false" ht="15" hidden="false" customHeight="false" outlineLevel="0" collapsed="false">
      <c r="A5" s="6" t="s">
        <v>329</v>
      </c>
      <c r="B5" s="6" t="s">
        <v>330</v>
      </c>
      <c r="C5" s="6" t="s">
        <v>331</v>
      </c>
      <c r="D5" s="6" t="s">
        <v>332</v>
      </c>
      <c r="E5" s="6" t="s">
        <v>333</v>
      </c>
    </row>
    <row r="6" customFormat="false" ht="15" hidden="false" customHeight="false" outlineLevel="0" collapsed="false">
      <c r="A6" s="8" t="s">
        <v>334</v>
      </c>
      <c r="B6" s="3" t="s">
        <v>335</v>
      </c>
      <c r="C6" s="52" t="n">
        <v>247.5</v>
      </c>
      <c r="D6" s="19" t="s">
        <v>88</v>
      </c>
      <c r="E6" s="53" t="s">
        <v>336</v>
      </c>
    </row>
    <row r="7" customFormat="false" ht="15" hidden="false" customHeight="false" outlineLevel="0" collapsed="false">
      <c r="A7" s="8" t="s">
        <v>337</v>
      </c>
      <c r="B7" s="3" t="s">
        <v>338</v>
      </c>
      <c r="C7" s="52" t="n">
        <v>422.9665</v>
      </c>
      <c r="D7" s="19" t="s">
        <v>339</v>
      </c>
      <c r="E7" s="53" t="s">
        <v>340</v>
      </c>
    </row>
    <row r="8" customFormat="false" ht="15" hidden="false" customHeight="false" outlineLevel="0" collapsed="false">
      <c r="A8" s="8" t="s">
        <v>341</v>
      </c>
      <c r="B8" s="4" t="s">
        <v>342</v>
      </c>
      <c r="C8" s="52" t="n">
        <v>900</v>
      </c>
      <c r="D8" s="19" t="s">
        <v>88</v>
      </c>
      <c r="E8" s="53" t="s">
        <v>343</v>
      </c>
    </row>
    <row r="9" customFormat="false" ht="15" hidden="false" customHeight="false" outlineLevel="0" collapsed="false">
      <c r="A9" s="8" t="s">
        <v>344</v>
      </c>
      <c r="B9" s="4" t="s">
        <v>345</v>
      </c>
      <c r="C9" s="18" t="n">
        <v>0.6</v>
      </c>
      <c r="D9" s="19" t="s">
        <v>346</v>
      </c>
      <c r="E9" s="53" t="s">
        <v>347</v>
      </c>
    </row>
    <row r="10" customFormat="false" ht="15" hidden="false" customHeight="false" outlineLevel="0" collapsed="false">
      <c r="A10" s="8" t="s">
        <v>348</v>
      </c>
      <c r="B10" s="4" t="s">
        <v>349</v>
      </c>
      <c r="C10" s="18" t="n">
        <v>0.7</v>
      </c>
      <c r="D10" s="19" t="s">
        <v>346</v>
      </c>
      <c r="E10" s="53" t="s">
        <v>350</v>
      </c>
    </row>
    <row r="11" customFormat="false" ht="15" hidden="false" customHeight="false" outlineLevel="0" collapsed="false">
      <c r="A11" s="8" t="s">
        <v>351</v>
      </c>
      <c r="B11" s="4" t="s">
        <v>352</v>
      </c>
      <c r="C11" s="18" t="n">
        <v>2</v>
      </c>
      <c r="D11" s="50" t="s">
        <v>353</v>
      </c>
      <c r="E11" s="54" t="s">
        <v>354</v>
      </c>
    </row>
    <row r="12" customFormat="false" ht="15" hidden="false" customHeight="false" outlineLevel="0" collapsed="false">
      <c r="A12" s="8" t="s">
        <v>355</v>
      </c>
      <c r="B12" s="3" t="s">
        <v>356</v>
      </c>
      <c r="C12" s="18" t="n">
        <v>0.5</v>
      </c>
      <c r="D12" s="19" t="s">
        <v>346</v>
      </c>
      <c r="E12" s="53" t="s">
        <v>357</v>
      </c>
    </row>
    <row r="13" customFormat="false" ht="15" hidden="false" customHeight="false" outlineLevel="0" collapsed="false">
      <c r="A13" s="8" t="s">
        <v>358</v>
      </c>
      <c r="B13" s="4" t="s">
        <v>359</v>
      </c>
      <c r="C13" s="18" t="n">
        <v>0.05</v>
      </c>
      <c r="D13" s="19" t="s">
        <v>346</v>
      </c>
      <c r="E13" s="54" t="s">
        <v>360</v>
      </c>
    </row>
    <row r="14" customFormat="false" ht="15" hidden="false" customHeight="false" outlineLevel="0" collapsed="false">
      <c r="A14" s="8" t="s">
        <v>361</v>
      </c>
      <c r="B14" s="4" t="s">
        <v>362</v>
      </c>
      <c r="C14" s="18" t="n">
        <v>0.25</v>
      </c>
      <c r="D14" s="19" t="s">
        <v>346</v>
      </c>
      <c r="E14" s="53" t="s">
        <v>363</v>
      </c>
    </row>
    <row r="15" customFormat="false" ht="15" hidden="false" customHeight="false" outlineLevel="0" collapsed="false">
      <c r="A15" s="8" t="s">
        <v>364</v>
      </c>
      <c r="B15" s="4" t="s">
        <v>365</v>
      </c>
      <c r="C15" s="18" t="n">
        <v>1</v>
      </c>
      <c r="D15" s="19" t="s">
        <v>346</v>
      </c>
      <c r="E15" s="53" t="s">
        <v>363</v>
      </c>
    </row>
    <row r="16" customFormat="false" ht="15" hidden="false" customHeight="false" outlineLevel="0" collapsed="false">
      <c r="A16" s="8" t="s">
        <v>366</v>
      </c>
      <c r="B16" s="3" t="s">
        <v>367</v>
      </c>
      <c r="C16" s="18" t="n">
        <v>0.9</v>
      </c>
      <c r="D16" s="19" t="s">
        <v>346</v>
      </c>
      <c r="E16" s="53" t="s">
        <v>368</v>
      </c>
    </row>
    <row r="18" customFormat="false" ht="15" hidden="false" customHeight="true" outlineLevel="0" collapsed="false">
      <c r="A18" s="17" t="s">
        <v>369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</row>
    <row r="19" customFormat="false" ht="31.5" hidden="false" customHeight="true" outlineLevel="0" collapsed="false">
      <c r="A19" s="6" t="s">
        <v>370</v>
      </c>
      <c r="B19" s="7" t="s">
        <v>371</v>
      </c>
      <c r="C19" s="7" t="s">
        <v>372</v>
      </c>
      <c r="D19" s="7" t="s">
        <v>373</v>
      </c>
      <c r="E19" s="7" t="s">
        <v>374</v>
      </c>
      <c r="F19" s="6" t="s">
        <v>375</v>
      </c>
      <c r="G19" s="7" t="s">
        <v>376</v>
      </c>
      <c r="H19" s="7" t="s">
        <v>377</v>
      </c>
      <c r="I19" s="7" t="s">
        <v>378</v>
      </c>
      <c r="J19" s="6" t="s">
        <v>379</v>
      </c>
      <c r="K19" s="7" t="s">
        <v>380</v>
      </c>
      <c r="L19" s="6" t="s">
        <v>381</v>
      </c>
      <c r="M19" s="6" t="s">
        <v>382</v>
      </c>
    </row>
    <row r="20" customFormat="false" ht="15" hidden="false" customHeight="false" outlineLevel="0" collapsed="false">
      <c r="A20" s="8" t="s">
        <v>171</v>
      </c>
      <c r="B20" s="51" t="n">
        <v>220</v>
      </c>
      <c r="C20" s="55" t="n">
        <v>405.95</v>
      </c>
      <c r="D20" s="56" t="n">
        <f aca="false">3_L1_TGA!F8</f>
        <v>0.5752</v>
      </c>
      <c r="E20" s="57" t="n">
        <v>925.76</v>
      </c>
      <c r="F20" s="50" t="n">
        <f aca="false">COUNTIFS(l2_mat,A20,l2_use,"예",l2_t600,"&gt;0")</f>
        <v>2</v>
      </c>
      <c r="G20" s="58" t="n">
        <f aca="false">SUMIFS(l2_ln,l2_mat,A20,l2_use,"예",l2_t600,"&gt;0")/F20</f>
        <v>6.98419650267661</v>
      </c>
      <c r="H20" s="58" t="n">
        <f aca="false">SUMIFS(l2_lnsq,l2_mat,A20,l2_use,"예",l2_t600,"&gt;0")</f>
        <v>97.558228569407</v>
      </c>
      <c r="I20" s="59" t="n">
        <f aca="false">H20-F20*G20^2</f>
        <v>0.000226993406755582</v>
      </c>
      <c r="J20" s="38" t="n">
        <f aca="false">G20-LN(E20)</f>
        <v>0.153581480888835</v>
      </c>
      <c r="K20" s="58" t="n">
        <f aca="false">J20^2-sigma_rep^2/F20</f>
        <v>0.0192892298627743</v>
      </c>
      <c r="L20" s="36" t="n">
        <f aca="false">EXP(G20)</f>
        <v>1079.43874305122</v>
      </c>
      <c r="M20" s="34" t="n">
        <f aca="false">B20+C20/D20</f>
        <v>925.754520166898</v>
      </c>
    </row>
    <row r="21" customFormat="false" ht="15" hidden="false" customHeight="false" outlineLevel="0" collapsed="false">
      <c r="A21" s="8" t="s">
        <v>174</v>
      </c>
      <c r="B21" s="51" t="n">
        <v>251</v>
      </c>
      <c r="C21" s="55" t="n">
        <v>410.42</v>
      </c>
      <c r="D21" s="56" t="n">
        <f aca="false">3_L1_TGA!F9</f>
        <v>0.4064</v>
      </c>
      <c r="E21" s="57" t="n">
        <v>1260.9</v>
      </c>
      <c r="F21" s="50" t="n">
        <f aca="false">COUNTIFS(l2_mat,A21,l2_use,"예",l2_t600,"&gt;0")</f>
        <v>2</v>
      </c>
      <c r="G21" s="58" t="n">
        <f aca="false">SUMIFS(l2_ln,l2_mat,A21,l2_use,"예",l2_t600,"&gt;0")/F21</f>
        <v>7.2048259942522</v>
      </c>
      <c r="H21" s="58" t="n">
        <f aca="false">SUMIFS(l2_lnsq,l2_mat,A21,l2_use,"예",l2_t600,"&gt;0")</f>
        <v>103.831183001137</v>
      </c>
      <c r="I21" s="59" t="n">
        <f aca="false">H21-F21*G21^2</f>
        <v>0.0121477862321626</v>
      </c>
      <c r="J21" s="38" t="n">
        <f aca="false">G21-LN(E21)</f>
        <v>0.0652449635730195</v>
      </c>
      <c r="K21" s="58" t="n">
        <f aca="false">J21^2-sigma_rep^2/F21</f>
        <v>-4.11361375885037E-005</v>
      </c>
      <c r="L21" s="36" t="n">
        <f aca="false">EXP(G21)</f>
        <v>1345.91047250551</v>
      </c>
      <c r="M21" s="34" t="n">
        <f aca="false">B21+C21/D21</f>
        <v>1260.89173228346</v>
      </c>
    </row>
    <row r="22" customFormat="false" ht="15" hidden="false" customHeight="false" outlineLevel="0" collapsed="false">
      <c r="A22" s="8" t="s">
        <v>176</v>
      </c>
      <c r="B22" s="51" t="n">
        <v>278.5</v>
      </c>
      <c r="C22" s="55" t="n">
        <v>452.53</v>
      </c>
      <c r="D22" s="56" t="n">
        <f aca="false">3_L1_TGA!F10</f>
        <v>1.1737</v>
      </c>
      <c r="E22" s="57" t="n">
        <v>664.06</v>
      </c>
      <c r="F22" s="50" t="n">
        <f aca="false">COUNTIFS(l2_mat,A22,l2_use,"예",l2_t600,"&gt;0")</f>
        <v>2</v>
      </c>
      <c r="G22" s="58" t="n">
        <f aca="false">SUMIFS(l2_ln,l2_mat,A22,l2_use,"예",l2_t600,"&gt;0")/F22</f>
        <v>6.23887363991807</v>
      </c>
      <c r="H22" s="58" t="n">
        <f aca="false">SUMIFS(l2_lnsq,l2_mat,A22,l2_use,"예",l2_t600,"&gt;0")</f>
        <v>77.8605020585456</v>
      </c>
      <c r="I22" s="59" t="n">
        <f aca="false">H22-F22*G22^2</f>
        <v>0.0134134688164806</v>
      </c>
      <c r="J22" s="38" t="n">
        <f aca="false">G22-LN(E22)</f>
        <v>-0.259498866921799</v>
      </c>
      <c r="K22" s="58" t="n">
        <f aca="false">J22^2-sigma_rep^2/F22</f>
        <v>0.0630416205244644</v>
      </c>
      <c r="L22" s="36" t="n">
        <f aca="false">EXP(G22)</f>
        <v>512.281172794785</v>
      </c>
      <c r="M22" s="34" t="n">
        <f aca="false">B22+C22/D22</f>
        <v>664.058490244526</v>
      </c>
    </row>
    <row r="23" customFormat="false" ht="15" hidden="false" customHeight="false" outlineLevel="0" collapsed="false">
      <c r="A23" s="5" t="s">
        <v>383</v>
      </c>
    </row>
    <row r="25" customFormat="false" ht="15" hidden="false" customHeight="true" outlineLevel="0" collapsed="false">
      <c r="A25" s="17" t="s">
        <v>384</v>
      </c>
      <c r="B25" s="17"/>
      <c r="C25" s="17"/>
      <c r="D25" s="17"/>
      <c r="E25" s="17"/>
      <c r="F25" s="17"/>
    </row>
    <row r="26" customFormat="false" ht="15" hidden="false" customHeight="false" outlineLevel="0" collapsed="false">
      <c r="A26" s="8" t="s">
        <v>385</v>
      </c>
      <c r="B26" s="3" t="s">
        <v>386</v>
      </c>
      <c r="C26" s="60" t="n">
        <f aca="false">SQRT(SUM(I20:I22)/(SUM(F20:F22)-COUNT(F20:F22)))</f>
        <v>0.0927150625220427</v>
      </c>
      <c r="D26" s="19" t="s">
        <v>346</v>
      </c>
    </row>
    <row r="27" customFormat="false" ht="15" hidden="false" customHeight="false" outlineLevel="0" collapsed="false">
      <c r="A27" s="8" t="s">
        <v>387</v>
      </c>
      <c r="B27" s="4" t="s">
        <v>388</v>
      </c>
      <c r="C27" s="60" t="n">
        <f aca="false">AVERAGE(K20:K22)</f>
        <v>0.0274299047498834</v>
      </c>
      <c r="D27" s="19" t="s">
        <v>346</v>
      </c>
    </row>
    <row r="28" customFormat="false" ht="15" hidden="false" customHeight="false" outlineLevel="0" collapsed="false">
      <c r="A28" s="8" t="s">
        <v>389</v>
      </c>
      <c r="B28" s="4" t="s">
        <v>390</v>
      </c>
      <c r="C28" s="60" t="n">
        <f aca="false">SQRT(MAX(tau2_raw,tau_min^2))</f>
        <v>0.165619759539384</v>
      </c>
      <c r="D28" s="19" t="s">
        <v>346</v>
      </c>
    </row>
    <row r="29" customFormat="false" ht="26.85" hidden="false" customHeight="false" outlineLevel="0" collapsed="false">
      <c r="A29" s="8" t="s">
        <v>391</v>
      </c>
      <c r="B29" s="3" t="s">
        <v>392</v>
      </c>
      <c r="C29" s="60" t="n">
        <f aca="false">STDEV(G20:G22)</f>
        <v>0.506169848494083</v>
      </c>
      <c r="D29" s="19" t="s">
        <v>346</v>
      </c>
    </row>
    <row r="31" customFormat="false" ht="15" hidden="false" customHeight="true" outlineLevel="0" collapsed="false">
      <c r="A31" s="17" t="s">
        <v>393</v>
      </c>
      <c r="B31" s="17"/>
      <c r="C31" s="17"/>
      <c r="D31" s="17"/>
      <c r="E31" s="17"/>
      <c r="F31" s="17"/>
    </row>
    <row r="32" customFormat="false" ht="15" hidden="false" customHeight="false" outlineLevel="0" collapsed="false">
      <c r="A32" s="6" t="s">
        <v>394</v>
      </c>
      <c r="B32" s="6" t="s">
        <v>395</v>
      </c>
      <c r="C32" s="6" t="s">
        <v>396</v>
      </c>
      <c r="D32" s="6" t="s">
        <v>397</v>
      </c>
      <c r="E32" s="6" t="s">
        <v>398</v>
      </c>
      <c r="F32" s="6" t="s">
        <v>21</v>
      </c>
    </row>
    <row r="33" customFormat="false" ht="30" hidden="false" customHeight="true" outlineLevel="0" collapsed="false">
      <c r="A33" s="61" t="s">
        <v>399</v>
      </c>
      <c r="B33" s="4" t="s">
        <v>400</v>
      </c>
      <c r="C33" s="4" t="s">
        <v>401</v>
      </c>
      <c r="D33" s="3" t="s">
        <v>402</v>
      </c>
      <c r="E33" s="3" t="s">
        <v>403</v>
      </c>
      <c r="F33" s="19" t="s">
        <v>404</v>
      </c>
    </row>
    <row r="34" customFormat="false" ht="30" hidden="false" customHeight="true" outlineLevel="0" collapsed="false">
      <c r="A34" s="61" t="s">
        <v>405</v>
      </c>
      <c r="B34" s="4" t="s">
        <v>406</v>
      </c>
      <c r="C34" s="4" t="s">
        <v>407</v>
      </c>
      <c r="D34" s="3" t="s">
        <v>408</v>
      </c>
      <c r="E34" s="3" t="s">
        <v>409</v>
      </c>
      <c r="F34" s="19" t="s">
        <v>410</v>
      </c>
    </row>
    <row r="35" customFormat="false" ht="30" hidden="false" customHeight="true" outlineLevel="0" collapsed="false">
      <c r="A35" s="61" t="s">
        <v>411</v>
      </c>
      <c r="B35" s="4" t="s">
        <v>412</v>
      </c>
      <c r="C35" s="4" t="s">
        <v>413</v>
      </c>
      <c r="D35" s="3" t="s">
        <v>414</v>
      </c>
      <c r="E35" s="3" t="s">
        <v>415</v>
      </c>
      <c r="F35" s="19" t="s">
        <v>416</v>
      </c>
    </row>
    <row r="36" customFormat="false" ht="30" hidden="false" customHeight="true" outlineLevel="0" collapsed="false">
      <c r="A36" s="61" t="s">
        <v>417</v>
      </c>
      <c r="B36" s="3" t="s">
        <v>418</v>
      </c>
      <c r="C36" s="3" t="s">
        <v>419</v>
      </c>
      <c r="D36" s="3" t="s">
        <v>414</v>
      </c>
      <c r="E36" s="3" t="s">
        <v>420</v>
      </c>
      <c r="F36" s="19" t="s">
        <v>421</v>
      </c>
    </row>
    <row r="37" customFormat="false" ht="30" hidden="false" customHeight="true" outlineLevel="0" collapsed="false">
      <c r="A37" s="61" t="s">
        <v>422</v>
      </c>
      <c r="B37" s="3" t="s">
        <v>423</v>
      </c>
      <c r="C37" s="4" t="s">
        <v>424</v>
      </c>
      <c r="D37" s="3" t="s">
        <v>425</v>
      </c>
      <c r="E37" s="3" t="s">
        <v>426</v>
      </c>
      <c r="F37" s="19" t="s">
        <v>404</v>
      </c>
    </row>
    <row r="38" customFormat="false" ht="30" hidden="false" customHeight="true" outlineLevel="0" collapsed="false">
      <c r="A38" s="61" t="s">
        <v>427</v>
      </c>
      <c r="B38" s="3" t="s">
        <v>428</v>
      </c>
      <c r="C38" s="4" t="s">
        <v>429</v>
      </c>
      <c r="D38" s="3" t="s">
        <v>414</v>
      </c>
      <c r="E38" s="3" t="s">
        <v>430</v>
      </c>
      <c r="F38" s="19" t="s">
        <v>431</v>
      </c>
    </row>
    <row r="39" customFormat="false" ht="30" hidden="false" customHeight="true" outlineLevel="0" collapsed="false">
      <c r="A39" s="61" t="s">
        <v>432</v>
      </c>
      <c r="B39" s="4" t="s">
        <v>433</v>
      </c>
      <c r="C39" s="3" t="s">
        <v>434</v>
      </c>
      <c r="D39" s="3" t="s">
        <v>414</v>
      </c>
      <c r="E39" s="3" t="s">
        <v>430</v>
      </c>
      <c r="F39" s="19" t="s">
        <v>421</v>
      </c>
    </row>
    <row r="40" customFormat="false" ht="30" hidden="false" customHeight="true" outlineLevel="0" collapsed="false">
      <c r="A40" s="61" t="s">
        <v>435</v>
      </c>
      <c r="B40" s="4" t="s">
        <v>436</v>
      </c>
      <c r="C40" s="4" t="s">
        <v>437</v>
      </c>
      <c r="D40" s="3" t="s">
        <v>414</v>
      </c>
      <c r="E40" s="3" t="s">
        <v>430</v>
      </c>
      <c r="F40" s="19" t="s">
        <v>438</v>
      </c>
    </row>
    <row r="41" customFormat="false" ht="30" hidden="false" customHeight="true" outlineLevel="0" collapsed="false">
      <c r="A41" s="61" t="s">
        <v>303</v>
      </c>
      <c r="B41" s="3" t="s">
        <v>439</v>
      </c>
      <c r="C41" s="4" t="s">
        <v>440</v>
      </c>
      <c r="D41" s="3" t="s">
        <v>414</v>
      </c>
      <c r="E41" s="3" t="s">
        <v>441</v>
      </c>
      <c r="F41" s="19" t="s">
        <v>404</v>
      </c>
    </row>
  </sheetData>
  <mergeCells count="4">
    <mergeCell ref="A4:F4"/>
    <mergeCell ref="A18:L18"/>
    <mergeCell ref="A25:F25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5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10" min="9" style="0" width="9"/>
    <col collapsed="false" customWidth="true" hidden="false" outlineLevel="0" max="11" min="11" style="0" width="8"/>
    <col collapsed="false" customWidth="true" hidden="false" outlineLevel="0" max="14" min="12" style="0" width="10"/>
    <col collapsed="false" customWidth="true" hidden="false" outlineLevel="0" max="16" min="15" style="0" width="9"/>
    <col collapsed="false" customWidth="true" hidden="false" outlineLevel="0" max="17" min="17" style="0" width="14"/>
    <col collapsed="false" customWidth="true" hidden="false" outlineLevel="0" max="18" min="18" style="0" width="8"/>
  </cols>
  <sheetData>
    <row r="1" customFormat="false" ht="19.4" hidden="false" customHeight="false" outlineLevel="0" collapsed="false">
      <c r="A1" s="1" t="s">
        <v>442</v>
      </c>
    </row>
    <row r="2" customFormat="false" ht="15" hidden="false" customHeight="false" outlineLevel="0" collapsed="false">
      <c r="A2" s="5" t="s">
        <v>443</v>
      </c>
    </row>
    <row r="4" customFormat="false" ht="15" hidden="false" customHeight="true" outlineLevel="0" collapsed="false">
      <c r="A4" s="22" t="s">
        <v>444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customFormat="false" ht="39.75" hidden="false" customHeight="true" outlineLevel="0" collapsed="false">
      <c r="A5" s="6" t="s">
        <v>370</v>
      </c>
      <c r="B5" s="7" t="s">
        <v>445</v>
      </c>
      <c r="C5" s="7" t="s">
        <v>446</v>
      </c>
      <c r="D5" s="7" t="s">
        <v>447</v>
      </c>
      <c r="E5" s="7" t="s">
        <v>448</v>
      </c>
      <c r="F5" s="7" t="s">
        <v>449</v>
      </c>
      <c r="G5" s="6" t="s">
        <v>450</v>
      </c>
      <c r="H5" s="6" t="s">
        <v>451</v>
      </c>
      <c r="I5" s="7" t="s">
        <v>452</v>
      </c>
      <c r="J5" s="7" t="s">
        <v>453</v>
      </c>
      <c r="K5" s="7" t="s">
        <v>454</v>
      </c>
      <c r="L5" s="7" t="s">
        <v>455</v>
      </c>
      <c r="M5" s="7" t="s">
        <v>456</v>
      </c>
      <c r="N5" s="7" t="s">
        <v>457</v>
      </c>
      <c r="O5" s="7" t="s">
        <v>458</v>
      </c>
      <c r="P5" s="7" t="s">
        <v>459</v>
      </c>
      <c r="Q5" s="7" t="s">
        <v>460</v>
      </c>
      <c r="R5" s="6" t="s">
        <v>461</v>
      </c>
    </row>
    <row r="6" customFormat="false" ht="15" hidden="false" customHeight="false" outlineLevel="0" collapsed="false">
      <c r="A6" s="8" t="s">
        <v>171</v>
      </c>
      <c r="B6" s="56" t="n">
        <f aca="false">LN(6_전이함수!E20)</f>
        <v>6.83061502178777</v>
      </c>
      <c r="C6" s="56" t="n">
        <f aca="false">tau_tga</f>
        <v>0.165619759539384</v>
      </c>
      <c r="D6" s="56" t="n">
        <f aca="false">6_전이함수!G20</f>
        <v>6.98419650267661</v>
      </c>
      <c r="E6" s="62" t="n">
        <f aca="false">6_전이함수!F20</f>
        <v>2</v>
      </c>
      <c r="F6" s="56" t="n">
        <f aca="false">sigma_rep</f>
        <v>0.0927150625220427</v>
      </c>
      <c r="G6" s="36" t="n">
        <f aca="false">1/C6^2</f>
        <v>36.4565611553664</v>
      </c>
      <c r="H6" s="36" t="n">
        <f aca="false">E6/F6^2</f>
        <v>232.664114834208</v>
      </c>
      <c r="I6" s="35" t="n">
        <f aca="false">G6/(G6+H6)</f>
        <v>0.135465478530452</v>
      </c>
      <c r="J6" s="38" t="n">
        <f aca="false">I6*B6+(1-I6)*D6</f>
        <v>6.96339151387458</v>
      </c>
      <c r="K6" s="38" t="n">
        <f aca="false">1/SQRT(G6+H6)</f>
        <v>0.0609574045788342</v>
      </c>
      <c r="L6" s="37" t="n">
        <f aca="false">EXP(B6)</f>
        <v>925.76</v>
      </c>
      <c r="M6" s="37" t="n">
        <f aca="false">EXP(D6)</f>
        <v>1079.43874305122</v>
      </c>
      <c r="N6" s="41" t="n">
        <f aca="false">EXP(J6)</f>
        <v>1057.21303656629</v>
      </c>
      <c r="O6" s="37" t="n">
        <f aca="false">EXP(J6-1.645*K6)</f>
        <v>956.342950297561</v>
      </c>
      <c r="P6" s="37" t="n">
        <f aca="false">EXP(J6+1.645*K6)</f>
        <v>1168.72237552224</v>
      </c>
      <c r="Q6" s="63" t="n">
        <f aca="false">(D6-B6)/SQRT(C6^2+F6^2/E6)</f>
        <v>0.862219560160625</v>
      </c>
      <c r="R6" s="50" t="str">
        <f aca="false">IF(ABS(Q6)&lt;=2,"정합","불일치")</f>
        <v>정합</v>
      </c>
    </row>
    <row r="7" customFormat="false" ht="15" hidden="false" customHeight="false" outlineLevel="0" collapsed="false">
      <c r="A7" s="8" t="s">
        <v>174</v>
      </c>
      <c r="B7" s="56" t="n">
        <f aca="false">LN(6_전이함수!E21)</f>
        <v>7.13958103067918</v>
      </c>
      <c r="C7" s="56" t="n">
        <f aca="false">tau_tga</f>
        <v>0.165619759539384</v>
      </c>
      <c r="D7" s="56" t="n">
        <f aca="false">6_전이함수!G21</f>
        <v>7.2048259942522</v>
      </c>
      <c r="E7" s="62" t="n">
        <f aca="false">6_전이함수!F21</f>
        <v>2</v>
      </c>
      <c r="F7" s="56" t="n">
        <f aca="false">sigma_rep</f>
        <v>0.0927150625220427</v>
      </c>
      <c r="G7" s="36" t="n">
        <f aca="false">1/C7^2</f>
        <v>36.4565611553664</v>
      </c>
      <c r="H7" s="36" t="n">
        <f aca="false">E7/F7^2</f>
        <v>232.664114834208</v>
      </c>
      <c r="I7" s="35" t="n">
        <f aca="false">G7/(G7+H7)</f>
        <v>0.135465478530452</v>
      </c>
      <c r="J7" s="38" t="n">
        <f aca="false">I7*B7+(1-I7)*D7</f>
        <v>7.19598755404008</v>
      </c>
      <c r="K7" s="38" t="n">
        <f aca="false">1/SQRT(G7+H7)</f>
        <v>0.0609574045788342</v>
      </c>
      <c r="L7" s="37" t="n">
        <f aca="false">EXP(B7)</f>
        <v>1260.9</v>
      </c>
      <c r="M7" s="37" t="n">
        <f aca="false">EXP(D7)</f>
        <v>1345.91047250551</v>
      </c>
      <c r="N7" s="41" t="n">
        <f aca="false">EXP(J7)</f>
        <v>1334.06713866051</v>
      </c>
      <c r="O7" s="37" t="n">
        <f aca="false">EXP(J7-1.645*K7)</f>
        <v>1206.78203839157</v>
      </c>
      <c r="P7" s="37" t="n">
        <f aca="false">EXP(J7+1.645*K7)</f>
        <v>1474.77761006942</v>
      </c>
      <c r="Q7" s="63" t="n">
        <f aca="false">(D7-B7)/SQRT(C7^2+F7^2/E7)</f>
        <v>0.366290801918649</v>
      </c>
      <c r="R7" s="50" t="str">
        <f aca="false">IF(ABS(Q7)&lt;=2,"정합","불일치")</f>
        <v>정합</v>
      </c>
    </row>
    <row r="8" customFormat="false" ht="15" hidden="false" customHeight="false" outlineLevel="0" collapsed="false">
      <c r="A8" s="8" t="s">
        <v>176</v>
      </c>
      <c r="B8" s="56" t="n">
        <f aca="false">LN(6_전이함수!E22)</f>
        <v>6.49837250683987</v>
      </c>
      <c r="C8" s="56" t="n">
        <f aca="false">tau_tga</f>
        <v>0.165619759539384</v>
      </c>
      <c r="D8" s="56" t="n">
        <f aca="false">6_전이함수!G22</f>
        <v>6.23887363991807</v>
      </c>
      <c r="E8" s="62" t="n">
        <f aca="false">6_전이함수!F22</f>
        <v>2</v>
      </c>
      <c r="F8" s="56" t="n">
        <f aca="false">sigma_rep</f>
        <v>0.0927150625220427</v>
      </c>
      <c r="G8" s="36" t="n">
        <f aca="false">1/C8^2</f>
        <v>36.4565611553664</v>
      </c>
      <c r="H8" s="36" t="n">
        <f aca="false">E8/F8^2</f>
        <v>232.664114834208</v>
      </c>
      <c r="I8" s="35" t="n">
        <f aca="false">G8/(G8+H8)</f>
        <v>0.135465478530452</v>
      </c>
      <c r="J8" s="38" t="n">
        <f aca="false">I8*B8+(1-I8)*D8</f>
        <v>6.27402677810374</v>
      </c>
      <c r="K8" s="38" t="n">
        <f aca="false">1/SQRT(G8+H8)</f>
        <v>0.0609574045788342</v>
      </c>
      <c r="L8" s="37" t="n">
        <f aca="false">EXP(B8)</f>
        <v>664.06</v>
      </c>
      <c r="M8" s="37" t="n">
        <f aca="false">EXP(D8)</f>
        <v>512.281172794785</v>
      </c>
      <c r="N8" s="41" t="n">
        <f aca="false">EXP(J8)</f>
        <v>530.609729383094</v>
      </c>
      <c r="O8" s="37" t="n">
        <f aca="false">EXP(J8-1.645*K8)</f>
        <v>479.983557243054</v>
      </c>
      <c r="P8" s="37" t="n">
        <f aca="false">EXP(J8+1.645*K8)</f>
        <v>586.575687161364</v>
      </c>
      <c r="Q8" s="63" t="n">
        <f aca="false">(D8-B8)/SQRT(C8^2+F8^2/E8)</f>
        <v>-1.45684881799939</v>
      </c>
      <c r="R8" s="50" t="str">
        <f aca="false">IF(ABS(Q8)&lt;=2,"정합","불일치")</f>
        <v>정합</v>
      </c>
    </row>
    <row r="10" customFormat="false" ht="15" hidden="false" customHeight="true" outlineLevel="0" collapsed="false">
      <c r="A10" s="22" t="s">
        <v>462</v>
      </c>
      <c r="B10" s="22"/>
      <c r="C10" s="22"/>
      <c r="D10" s="22"/>
      <c r="E10" s="22"/>
      <c r="F10" s="22"/>
      <c r="G10" s="22"/>
      <c r="H10" s="22"/>
      <c r="I10" s="22"/>
    </row>
    <row r="11" customFormat="false" ht="31.5" hidden="false" customHeight="true" outlineLevel="0" collapsed="false">
      <c r="A11" s="6" t="s">
        <v>370</v>
      </c>
      <c r="B11" s="6" t="s">
        <v>141</v>
      </c>
      <c r="C11" s="6" t="s">
        <v>150</v>
      </c>
      <c r="D11" s="7" t="s">
        <v>151</v>
      </c>
      <c r="E11" s="6" t="s">
        <v>463</v>
      </c>
      <c r="F11" s="6" t="s">
        <v>464</v>
      </c>
      <c r="G11" s="7" t="s">
        <v>465</v>
      </c>
      <c r="H11" s="6" t="s">
        <v>466</v>
      </c>
      <c r="I11" s="6" t="s">
        <v>467</v>
      </c>
      <c r="J11" s="6"/>
      <c r="K11" s="6"/>
      <c r="L11" s="6"/>
      <c r="M11" s="6"/>
      <c r="N11" s="6"/>
      <c r="O11" s="6"/>
      <c r="P11" s="6"/>
      <c r="Q11" s="6"/>
      <c r="R11" s="6"/>
    </row>
    <row r="12" customFormat="false" ht="21.75" hidden="false" customHeight="true" outlineLevel="0" collapsed="false">
      <c r="A12" s="8" t="s">
        <v>168</v>
      </c>
      <c r="B12" s="62" t="str">
        <f aca="false">3_L1_TGA!C7</f>
        <v>c</v>
      </c>
      <c r="C12" s="62" t="str">
        <f aca="false">3_L1_TGA!M7</f>
        <v>탄화형</v>
      </c>
      <c r="D12" s="45" t="n">
        <f aca="false">3_L1_TGA!O7</f>
        <v>811.756270010672</v>
      </c>
      <c r="E12" s="37" t="n">
        <f aca="false">EXP(SUMIFS(l2_ln,l2_mat,"PIR_C",l2_use,"예",l2_t600,"&gt;0")/COUNTIFS(l2_mat,"PIR_C",l2_use,"예",l2_t600,"&gt;0"))</f>
        <v>29.9833287011299</v>
      </c>
      <c r="F12" s="50" t="str">
        <f aca="false">COUNTIFS(l2_mat,"PIR_C",l2_use,"예",l2_t600,"&gt;0")&amp;" / "&amp;COUNTIFS(l2_mat,"PIR_C",l2_use,"예")</f>
        <v>2 / 2</v>
      </c>
      <c r="G12" s="63" t="n">
        <f aca="false">(LN(E12)-LN(D12))/SQRT(tau_tga^2+sigma_rep^2/COUNTIFS(l2_mat,"PIR_C",l2_use,"예",l2_t600,"&gt;0"))</f>
        <v>-18.5183900046378</v>
      </c>
      <c r="H12" s="50" t="str">
        <f aca="false">IF(ABS(G12)&lt;=2,"정합","불일치")</f>
        <v>불일치</v>
      </c>
      <c r="I12" s="3" t="s">
        <v>468</v>
      </c>
      <c r="J12" s="3"/>
      <c r="K12" s="3"/>
      <c r="L12" s="3"/>
      <c r="M12" s="3"/>
      <c r="N12" s="3"/>
      <c r="O12" s="3"/>
      <c r="P12" s="3"/>
      <c r="Q12" s="3"/>
      <c r="R12" s="3"/>
    </row>
    <row r="13" customFormat="false" ht="21.75" hidden="false" customHeight="true" outlineLevel="0" collapsed="false">
      <c r="A13" s="8" t="s">
        <v>164</v>
      </c>
      <c r="B13" s="62" t="str">
        <f aca="false">3_L1_TGA!C6</f>
        <v>sc</v>
      </c>
      <c r="C13" s="62" t="str">
        <f aca="false">3_L1_TGA!M6</f>
        <v>용융형</v>
      </c>
      <c r="D13" s="45" t="n">
        <f aca="false">3_L1_TGA!O6</f>
        <v>661.199628325509</v>
      </c>
      <c r="E13" s="37" t="n">
        <f aca="false">EXP(SUMIFS(l2_ln,l2_mat,"EPS_SC",l2_use,"예",l2_t600,"&gt;0")/COUNTIFS(l2_mat,"EPS_SC",l2_use,"예",l2_t600,"&gt;0"))</f>
        <v>968.478187673837</v>
      </c>
      <c r="F13" s="50" t="str">
        <f aca="false">COUNTIFS(l2_mat,"EPS_SC",l2_use,"예",l2_t600,"&gt;0")&amp;" / "&amp;COUNTIFS(l2_mat,"EPS_SC",l2_use,"예")</f>
        <v>2 / 3</v>
      </c>
      <c r="G13" s="63" t="n">
        <f aca="false">(LN(E13)-LN(D13))/SQRT(tau_tga^2+sigma_rep^2/COUNTIFS(l2_mat,"EPS_SC",l2_use,"예",l2_t600,"&gt;0"))</f>
        <v>2.1427288823873</v>
      </c>
      <c r="H13" s="50" t="str">
        <f aca="false">IF(ABS(G13)&lt;=2,"정합","불일치")</f>
        <v>불일치</v>
      </c>
      <c r="I13" s="3" t="s">
        <v>469</v>
      </c>
      <c r="J13" s="3"/>
      <c r="K13" s="3"/>
      <c r="L13" s="3"/>
      <c r="M13" s="3"/>
      <c r="N13" s="3"/>
      <c r="O13" s="3"/>
      <c r="P13" s="3"/>
      <c r="Q13" s="3"/>
      <c r="R13" s="3"/>
    </row>
    <row r="15" customFormat="false" ht="15" hidden="false" customHeight="true" outlineLevel="0" collapsed="false">
      <c r="A15" s="22" t="s">
        <v>470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customFormat="false" ht="39.75" hidden="false" customHeight="true" outlineLevel="0" collapsed="false">
      <c r="A16" s="6" t="s">
        <v>370</v>
      </c>
      <c r="B16" s="7" t="s">
        <v>146</v>
      </c>
      <c r="C16" s="7" t="s">
        <v>155</v>
      </c>
      <c r="D16" s="7" t="s">
        <v>471</v>
      </c>
      <c r="E16" s="7" t="s">
        <v>472</v>
      </c>
      <c r="F16" s="7" t="s">
        <v>473</v>
      </c>
      <c r="G16" s="6" t="s">
        <v>375</v>
      </c>
      <c r="H16" s="7" t="s">
        <v>474</v>
      </c>
      <c r="I16" s="7" t="s">
        <v>475</v>
      </c>
      <c r="J16" s="7" t="s">
        <v>476</v>
      </c>
      <c r="K16" s="7" t="s">
        <v>477</v>
      </c>
      <c r="L16" s="7" t="s">
        <v>478</v>
      </c>
      <c r="M16" s="6" t="s">
        <v>479</v>
      </c>
      <c r="N16" s="6" t="s">
        <v>461</v>
      </c>
    </row>
    <row r="17" customFormat="false" ht="15" hidden="false" customHeight="false" outlineLevel="0" collapsed="false">
      <c r="A17" s="8" t="s">
        <v>164</v>
      </c>
      <c r="B17" s="64" t="n">
        <f aca="false">3_L1_TGA!H6</f>
        <v>0.3333</v>
      </c>
      <c r="C17" s="64" t="n">
        <f aca="false">3_L1_TGA!S6</f>
        <v>0.05</v>
      </c>
      <c r="D17" s="64" t="n">
        <f aca="false">3_L1_TGA!T6</f>
        <v>0.1</v>
      </c>
      <c r="E17" s="64" t="n">
        <f aca="false">3_L1_TGA!U6</f>
        <v>1.9</v>
      </c>
      <c r="F17" s="50" t="n">
        <f aca="false">SUMIFS(l2_B,l2_mat,A17,l2_use,"예")</f>
        <v>0</v>
      </c>
      <c r="G17" s="50" t="n">
        <f aca="false">COUNTIFS(l2_mat,A17,l2_use,"예")</f>
        <v>3</v>
      </c>
      <c r="H17" s="35" t="n">
        <f aca="false">D17+F17</f>
        <v>0.1</v>
      </c>
      <c r="I17" s="35" t="n">
        <f aca="false">E17+G17-F17</f>
        <v>4.9</v>
      </c>
      <c r="J17" s="49" t="n">
        <f aca="false">H17/(H17+I17)</f>
        <v>0.02</v>
      </c>
      <c r="K17" s="35" t="n">
        <f aca="false">(F17+0.5)/(G17+1)</f>
        <v>0.125</v>
      </c>
      <c r="L17" s="35" t="n">
        <f aca="false">D17/(D17+E17)</f>
        <v>0.05</v>
      </c>
      <c r="M17" s="49" t="n">
        <f aca="false">COMBIN(G17,F17)*EXP(GAMMALN(F17+D17)+GAMMALN(G17-F17+E17)-GAMMALN(G17+D17+E17)-GAMMALN(D17)-GAMMALN(E17)+GAMMALN(D17+E17))</f>
        <v>0.895375</v>
      </c>
      <c r="N17" s="50" t="str">
        <f aca="false">IF(M17&gt;=0.05,"정합","불일치")</f>
        <v>정합</v>
      </c>
    </row>
    <row r="18" customFormat="false" ht="15" hidden="false" customHeight="false" outlineLevel="0" collapsed="false">
      <c r="A18" s="8" t="s">
        <v>171</v>
      </c>
      <c r="B18" s="64" t="n">
        <f aca="false">3_L1_TGA!H8</f>
        <v>0.6288</v>
      </c>
      <c r="C18" s="64" t="n">
        <f aca="false">3_L1_TGA!S8</f>
        <v>0.288000000000001</v>
      </c>
      <c r="D18" s="64" t="n">
        <f aca="false">3_L1_TGA!T8</f>
        <v>0.576000000000001</v>
      </c>
      <c r="E18" s="64" t="n">
        <f aca="false">3_L1_TGA!U8</f>
        <v>1.424</v>
      </c>
      <c r="F18" s="50" t="n">
        <f aca="false">SUMIFS(l2_B,l2_mat,A18,l2_use,"예")</f>
        <v>0</v>
      </c>
      <c r="G18" s="50" t="n">
        <f aca="false">COUNTIFS(l2_mat,A18,l2_use,"예")</f>
        <v>2</v>
      </c>
      <c r="H18" s="35" t="n">
        <f aca="false">D18+F18</f>
        <v>0.576000000000001</v>
      </c>
      <c r="I18" s="35" t="n">
        <f aca="false">E18+G18-F18</f>
        <v>3.424</v>
      </c>
      <c r="J18" s="49" t="n">
        <f aca="false">H18/(H18+I18)</f>
        <v>0.144</v>
      </c>
      <c r="K18" s="35" t="n">
        <f aca="false">(F18+0.5)/(G18+1)</f>
        <v>0.166666666666667</v>
      </c>
      <c r="L18" s="35" t="n">
        <f aca="false">D18/(D18+E18)</f>
        <v>0.288000000000001</v>
      </c>
      <c r="M18" s="49" t="n">
        <f aca="false">COMBIN(G18,F18)*EXP(GAMMALN(F18+D18)+GAMMALN(G18-F18+E18)-GAMMALN(G18+D18+E18)-GAMMALN(D18)-GAMMALN(E18)+GAMMALN(D18+E18))</f>
        <v>0.575296</v>
      </c>
      <c r="N18" s="50" t="str">
        <f aca="false">IF(M18&gt;=0.05,"정합","불일치")</f>
        <v>정합</v>
      </c>
    </row>
    <row r="19" customFormat="false" ht="15" hidden="false" customHeight="false" outlineLevel="0" collapsed="false">
      <c r="A19" s="8" t="s">
        <v>174</v>
      </c>
      <c r="B19" s="64" t="n">
        <f aca="false">3_L1_TGA!H9</f>
        <v>0.7032</v>
      </c>
      <c r="C19" s="64" t="n">
        <f aca="false">3_L1_TGA!S9</f>
        <v>0.95</v>
      </c>
      <c r="D19" s="64" t="n">
        <f aca="false">3_L1_TGA!T9</f>
        <v>1.9</v>
      </c>
      <c r="E19" s="64" t="n">
        <f aca="false">3_L1_TGA!U9</f>
        <v>0.1</v>
      </c>
      <c r="F19" s="50" t="n">
        <f aca="false">SUMIFS(l2_B,l2_mat,A19,l2_use,"예")</f>
        <v>2</v>
      </c>
      <c r="G19" s="50" t="n">
        <f aca="false">COUNTIFS(l2_mat,A19,l2_use,"예")</f>
        <v>2</v>
      </c>
      <c r="H19" s="35" t="n">
        <f aca="false">D19+F19</f>
        <v>3.9</v>
      </c>
      <c r="I19" s="35" t="n">
        <f aca="false">E19+G19-F19</f>
        <v>0.1</v>
      </c>
      <c r="J19" s="49" t="n">
        <f aca="false">H19/(H19+I19)</f>
        <v>0.975</v>
      </c>
      <c r="K19" s="35" t="n">
        <f aca="false">(F19+0.5)/(G19+1)</f>
        <v>0.833333333333333</v>
      </c>
      <c r="L19" s="35" t="n">
        <f aca="false">D19/(D19+E19)</f>
        <v>0.95</v>
      </c>
      <c r="M19" s="49" t="n">
        <f aca="false">COMBIN(G19,F19)*EXP(GAMMALN(F19+D19)+GAMMALN(G19-F19+E19)-GAMMALN(G19+D19+E19)-GAMMALN(D19)-GAMMALN(E19)+GAMMALN(D19+E19))</f>
        <v>0.918333333333333</v>
      </c>
      <c r="N19" s="50" t="str">
        <f aca="false">IF(M19&gt;=0.05,"정합","불일치")</f>
        <v>정합</v>
      </c>
    </row>
    <row r="20" customFormat="false" ht="15" hidden="false" customHeight="false" outlineLevel="0" collapsed="false">
      <c r="A20" s="8" t="s">
        <v>176</v>
      </c>
      <c r="B20" s="64" t="n">
        <f aca="false">3_L1_TGA!H10</f>
        <v>0.6512</v>
      </c>
      <c r="C20" s="64" t="n">
        <f aca="false">3_L1_TGA!S10</f>
        <v>0.512</v>
      </c>
      <c r="D20" s="64" t="n">
        <f aca="false">3_L1_TGA!T10</f>
        <v>1.024</v>
      </c>
      <c r="E20" s="64" t="n">
        <f aca="false">3_L1_TGA!U10</f>
        <v>0.975999999999999</v>
      </c>
      <c r="F20" s="50" t="n">
        <f aca="false">SUMIFS(l2_B,l2_mat,A20,l2_use,"예")</f>
        <v>1</v>
      </c>
      <c r="G20" s="50" t="n">
        <f aca="false">COUNTIFS(l2_mat,A20,l2_use,"예")</f>
        <v>2</v>
      </c>
      <c r="H20" s="35" t="n">
        <f aca="false">D20+F20</f>
        <v>2.024</v>
      </c>
      <c r="I20" s="35" t="n">
        <f aca="false">E20+G20-F20</f>
        <v>1.976</v>
      </c>
      <c r="J20" s="49" t="n">
        <f aca="false">H20/(H20+I20)</f>
        <v>0.506</v>
      </c>
      <c r="K20" s="35" t="n">
        <f aca="false">(F20+0.5)/(G20+1)</f>
        <v>0.5</v>
      </c>
      <c r="L20" s="35" t="n">
        <f aca="false">D20/(D20+E20)</f>
        <v>0.512</v>
      </c>
      <c r="M20" s="49" t="n">
        <f aca="false">COMBIN(G20,F20)*EXP(GAMMALN(F20+D20)+GAMMALN(G20-F20+E20)-GAMMALN(G20+D20+E20)-GAMMALN(D20)-GAMMALN(E20)+GAMMALN(D20+E20))</f>
        <v>0.333141333333333</v>
      </c>
      <c r="N20" s="50" t="str">
        <f aca="false">IF(M20&gt;=0.05,"정합","불일치")</f>
        <v>정합</v>
      </c>
    </row>
    <row r="22" customFormat="false" ht="15" hidden="false" customHeight="false" outlineLevel="0" collapsed="false">
      <c r="A22" s="15" t="s">
        <v>480</v>
      </c>
    </row>
  </sheetData>
  <mergeCells count="6">
    <mergeCell ref="A4:R4"/>
    <mergeCell ref="A10:I10"/>
    <mergeCell ref="I11:R11"/>
    <mergeCell ref="I12:R12"/>
    <mergeCell ref="I13:R13"/>
    <mergeCell ref="A15:N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19" min="4" style="0" width="8"/>
  </cols>
  <sheetData>
    <row r="1" customFormat="false" ht="19.4" hidden="false" customHeight="false" outlineLevel="0" collapsed="false">
      <c r="A1" s="16" t="s">
        <v>481</v>
      </c>
    </row>
    <row r="2" customFormat="false" ht="15" hidden="false" customHeight="false" outlineLevel="0" collapsed="false">
      <c r="A2" s="5" t="s">
        <v>482</v>
      </c>
    </row>
    <row r="4" customFormat="false" ht="15" hidden="false" customHeight="true" outlineLevel="0" collapsed="false">
      <c r="A4" s="17" t="s">
        <v>483</v>
      </c>
      <c r="B4" s="17"/>
      <c r="C4" s="17"/>
      <c r="D4" s="17"/>
    </row>
    <row r="5" customFormat="false" ht="26.85" hidden="false" customHeight="false" outlineLevel="0" collapsed="false">
      <c r="A5" s="8" t="s">
        <v>484</v>
      </c>
      <c r="B5" s="4" t="s">
        <v>485</v>
      </c>
      <c r="C5" s="65" t="n">
        <v>0.3</v>
      </c>
    </row>
    <row r="6" customFormat="false" ht="38.05" hidden="false" customHeight="false" outlineLevel="0" collapsed="false">
      <c r="A6" s="8" t="s">
        <v>486</v>
      </c>
      <c r="B6" s="4" t="s">
        <v>487</v>
      </c>
      <c r="C6" s="21" t="n">
        <v>100</v>
      </c>
    </row>
    <row r="7" customFormat="false" ht="15" hidden="false" customHeight="false" outlineLevel="0" collapsed="false">
      <c r="A7" s="8" t="s">
        <v>488</v>
      </c>
      <c r="B7" s="3" t="s">
        <v>489</v>
      </c>
      <c r="C7" s="52" t="n">
        <v>3</v>
      </c>
    </row>
    <row r="9" customFormat="false" ht="15" hidden="false" customHeight="true" outlineLevel="0" collapsed="false">
      <c r="A9" s="22" t="s">
        <v>490</v>
      </c>
      <c r="B9" s="22"/>
      <c r="C9" s="22"/>
      <c r="D9" s="22"/>
      <c r="E9" s="22"/>
      <c r="F9" s="22"/>
      <c r="G9" s="22"/>
      <c r="H9" s="22"/>
    </row>
    <row r="10" customFormat="false" ht="31.5" hidden="false" customHeight="true" outlineLevel="0" collapsed="false">
      <c r="A10" s="6" t="s">
        <v>92</v>
      </c>
      <c r="B10" s="6" t="s">
        <v>491</v>
      </c>
      <c r="C10" s="7" t="s">
        <v>492</v>
      </c>
      <c r="D10" s="6" t="s">
        <v>493</v>
      </c>
      <c r="E10" s="6" t="s">
        <v>494</v>
      </c>
      <c r="F10" s="7" t="s">
        <v>495</v>
      </c>
      <c r="G10" s="6" t="s">
        <v>496</v>
      </c>
      <c r="H10" s="6" t="s">
        <v>466</v>
      </c>
    </row>
    <row r="11" customFormat="false" ht="15" hidden="false" customHeight="false" outlineLevel="0" collapsed="false">
      <c r="A11" s="8" t="s">
        <v>125</v>
      </c>
      <c r="B11" s="45" t="n">
        <f aca="false">EXP(SUMIFS(l2_ln,l2_mat,"EPS_SC",l2_use,"예",l2_t600,"&gt;0")/COUNTIFS(l2_mat,"EPS_SC",l2_use,"예",l2_t600,"&gt;0"))</f>
        <v>968.478187673837</v>
      </c>
      <c r="C11" s="32"/>
      <c r="D11" s="66" t="str">
        <f aca="false">IF(C11="","",(C11-B11)/B11)</f>
        <v/>
      </c>
      <c r="E11" s="46" t="n">
        <v>689.6</v>
      </c>
      <c r="F11" s="32"/>
      <c r="G11" s="37" t="str">
        <f aca="false">IF(F11="","",F11-E11)</f>
        <v/>
      </c>
      <c r="H11" s="44" t="str">
        <f aca="false">IF(OR(C11="",F11=""),"",IF(AND(ABS(D11)&lt;=tol_t600,ABS(G11)&lt;=tol_peak),"검증 통과","보완 필요"))</f>
        <v/>
      </c>
    </row>
    <row r="12" customFormat="false" ht="15" hidden="false" customHeight="false" outlineLevel="0" collapsed="false">
      <c r="A12" s="8" t="s">
        <v>126</v>
      </c>
      <c r="B12" s="45" t="n">
        <f aca="false">EXP(SUMIFS(l2_ln,l2_mat,"PIR_C",l2_use,"예",l2_t600,"&gt;0")/COUNTIFS(l2_mat,"PIR_C",l2_use,"예",l2_t600,"&gt;0"))</f>
        <v>29.9833287011299</v>
      </c>
      <c r="C12" s="32"/>
      <c r="D12" s="66" t="str">
        <f aca="false">IF(C12="","",(C12-B12)/B12)</f>
        <v/>
      </c>
      <c r="E12" s="46" t="n">
        <v>1015.75</v>
      </c>
      <c r="F12" s="32"/>
      <c r="G12" s="37" t="str">
        <f aca="false">IF(F12="","",F12-E12)</f>
        <v/>
      </c>
      <c r="H12" s="44" t="str">
        <f aca="false">IF(OR(C12="",F12=""),"",IF(AND(ABS(D12)&lt;=tol_t600,ABS(G12)&lt;=tol_peak),"검증 통과","보완 필요"))</f>
        <v/>
      </c>
    </row>
    <row r="13" customFormat="false" ht="15" hidden="false" customHeight="false" outlineLevel="0" collapsed="false">
      <c r="A13" s="8" t="s">
        <v>127</v>
      </c>
      <c r="B13" s="45" t="n">
        <f aca="false">EXP(SUMIFS(l2_ln,l2_mat,"PIR_SC",l2_use,"예",l2_t600,"&gt;0")/COUNTIFS(l2_mat,"PIR_SC",l2_use,"예",l2_t600,"&gt;0"))</f>
        <v>1079.43874305122</v>
      </c>
      <c r="C13" s="32"/>
      <c r="D13" s="66" t="str">
        <f aca="false">IF(C13="","",(C13-B13)/B13)</f>
        <v/>
      </c>
      <c r="E13" s="46" t="n">
        <v>1005.05</v>
      </c>
      <c r="F13" s="32"/>
      <c r="G13" s="37" t="str">
        <f aca="false">IF(F13="","",F13-E13)</f>
        <v/>
      </c>
      <c r="H13" s="44" t="str">
        <f aca="false">IF(OR(C13="",F13=""),"",IF(AND(ABS(D13)&lt;=tol_t600,ABS(G13)&lt;=tol_peak),"검증 통과","보완 필요"))</f>
        <v/>
      </c>
    </row>
    <row r="14" customFormat="false" ht="15" hidden="false" customHeight="false" outlineLevel="0" collapsed="false">
      <c r="A14" s="8" t="s">
        <v>128</v>
      </c>
      <c r="B14" s="45" t="n">
        <f aca="false">EXP(SUMIFS(l2_ln,l2_mat,"PF_out",l2_use,"예",l2_t600,"&gt;0")/COUNTIFS(l2_mat,"PF_out",l2_use,"예",l2_t600,"&gt;0"))</f>
        <v>1345.91047250551</v>
      </c>
      <c r="C14" s="32"/>
      <c r="D14" s="66" t="str">
        <f aca="false">IF(C14="","",(C14-B14)/B14)</f>
        <v/>
      </c>
      <c r="E14" s="46" t="n">
        <v>1079.9</v>
      </c>
      <c r="F14" s="32"/>
      <c r="G14" s="37" t="str">
        <f aca="false">IF(F14="","",F14-E14)</f>
        <v/>
      </c>
      <c r="H14" s="44" t="str">
        <f aca="false">IF(OR(C14="",F14=""),"",IF(AND(ABS(D14)&lt;=tol_t600,ABS(G14)&lt;=tol_peak),"검증 통과","보완 필요"))</f>
        <v/>
      </c>
    </row>
    <row r="15" customFormat="false" ht="15" hidden="false" customHeight="false" outlineLevel="0" collapsed="false">
      <c r="A15" s="8" t="s">
        <v>129</v>
      </c>
      <c r="B15" s="45" t="n">
        <f aca="false">EXP(SUMIFS(l2_ln,l2_mat,"PF_in",l2_use,"예",l2_t600,"&gt;0")/COUNTIFS(l2_mat,"PF_in",l2_use,"예",l2_t600,"&gt;0"))</f>
        <v>512.281172794785</v>
      </c>
      <c r="C15" s="32"/>
      <c r="D15" s="66" t="str">
        <f aca="false">IF(C15="","",(C15-B15)/B15)</f>
        <v/>
      </c>
      <c r="E15" s="46" t="n">
        <v>1115.55</v>
      </c>
      <c r="F15" s="32"/>
      <c r="G15" s="37" t="str">
        <f aca="false">IF(F15="","",F15-E15)</f>
        <v/>
      </c>
      <c r="H15" s="44" t="str">
        <f aca="false">IF(OR(C15="",F15=""),"",IF(AND(ABS(D15)&lt;=tol_t600,ABS(G15)&lt;=tol_peak),"검증 통과","보완 필요"))</f>
        <v/>
      </c>
    </row>
    <row r="17" customFormat="false" ht="15" hidden="false" customHeight="true" outlineLevel="0" collapsed="false">
      <c r="A17" s="22" t="s">
        <v>497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</row>
    <row r="18" customFormat="false" ht="33.75" hidden="false" customHeight="true" outlineLevel="0" collapsed="false">
      <c r="A18" s="6" t="s">
        <v>92</v>
      </c>
      <c r="B18" s="6" t="s">
        <v>498</v>
      </c>
      <c r="C18" s="6" t="s">
        <v>491</v>
      </c>
      <c r="D18" s="7" t="s">
        <v>499</v>
      </c>
      <c r="E18" s="7" t="s">
        <v>500</v>
      </c>
      <c r="F18" s="7" t="s">
        <v>501</v>
      </c>
      <c r="G18" s="7" t="s">
        <v>502</v>
      </c>
      <c r="H18" s="7" t="s">
        <v>503</v>
      </c>
      <c r="I18" s="7" t="s">
        <v>504</v>
      </c>
      <c r="J18" s="7" t="s">
        <v>505</v>
      </c>
      <c r="K18" s="7" t="s">
        <v>506</v>
      </c>
      <c r="L18" s="7" t="s">
        <v>507</v>
      </c>
      <c r="M18" s="7" t="s">
        <v>508</v>
      </c>
      <c r="N18" s="7" t="s">
        <v>509</v>
      </c>
      <c r="O18" s="7" t="s">
        <v>510</v>
      </c>
      <c r="P18" s="7" t="s">
        <v>511</v>
      </c>
      <c r="Q18" s="6" t="s">
        <v>512</v>
      </c>
      <c r="R18" s="6" t="s">
        <v>513</v>
      </c>
      <c r="S18" s="6" t="s">
        <v>514</v>
      </c>
    </row>
    <row r="19" customFormat="false" ht="26.85" hidden="false" customHeight="false" outlineLevel="0" collapsed="false">
      <c r="A19" s="23" t="s">
        <v>114</v>
      </c>
      <c r="B19" s="67" t="s">
        <v>515</v>
      </c>
      <c r="C19" s="29" t="n">
        <v>1000</v>
      </c>
      <c r="D19" s="25" t="n">
        <v>480</v>
      </c>
      <c r="E19" s="25" t="n">
        <v>1000</v>
      </c>
      <c r="F19" s="25" t="n">
        <v>1500</v>
      </c>
      <c r="G19" s="25" t="n">
        <v>2050</v>
      </c>
      <c r="H19" s="25"/>
      <c r="I19" s="25"/>
      <c r="J19" s="68" t="n">
        <f aca="false">IF(D19="","",D19/($C19*h_storey/3))</f>
        <v>0.48</v>
      </c>
      <c r="K19" s="68" t="n">
        <f aca="false">IF(OR(E19="",D19=""),"",(E19-D19)/($C19*h_storey/3))</f>
        <v>0.52</v>
      </c>
      <c r="L19" s="68" t="n">
        <f aca="false">IF(OR(F19="",E19=""),"",(F19-E19)/($C19*h_storey/3))</f>
        <v>0.5</v>
      </c>
      <c r="M19" s="68" t="n">
        <f aca="false">IF(OR(G19="",F19=""),"",(G19-F19)/($C19*h_storey/3))</f>
        <v>0.55</v>
      </c>
      <c r="N19" s="68" t="str">
        <f aca="false">IF(OR(H19="",G19=""),"",(H19-G19)/($C19*h_storey/3))</f>
        <v/>
      </c>
      <c r="O19" s="68" t="str">
        <f aca="false">IF(OR(I19="",H19=""),"",(I19-H19)/($C19*h_storey/3))</f>
        <v/>
      </c>
      <c r="P19" s="63" t="n">
        <f aca="false">IFERROR(MEDIAN(J19:O19),"")</f>
        <v>0.51</v>
      </c>
      <c r="Q19" s="26" t="n">
        <v>0.69</v>
      </c>
      <c r="R19" s="26" t="n">
        <v>0.38</v>
      </c>
      <c r="S19" s="44" t="str">
        <f aca="false">IF(P19="","",IF(AND(Q19&lt;&gt;"",P19&gt;=Q19),"충족",IF(AND(R19&lt;&gt;"",P19&lt;=R19),"불충족","판단 유보")))</f>
        <v>판단 유보</v>
      </c>
    </row>
    <row r="20" customFormat="false" ht="15" hidden="false" customHeight="false" outlineLevel="0" collapsed="false">
      <c r="A20" s="8" t="s">
        <v>125</v>
      </c>
      <c r="B20" s="19" t="s">
        <v>515</v>
      </c>
      <c r="C20" s="45" t="n">
        <f aca="false">EXP(SUMIFS(l2_ln,l2_mat,"EPS_SC",l2_use,"예",l2_t600,"&gt;0")/COUNTIFS(l2_mat,"EPS_SC",l2_use,"예",l2_t600,"&gt;0"))</f>
        <v>968.478187673837</v>
      </c>
      <c r="D20" s="32"/>
      <c r="E20" s="32"/>
      <c r="F20" s="32"/>
      <c r="G20" s="32"/>
      <c r="H20" s="32"/>
      <c r="I20" s="32"/>
      <c r="J20" s="34" t="str">
        <f aca="false">IF(D20="","",D20/($C20*h_storey/3))</f>
        <v/>
      </c>
      <c r="K20" s="34" t="str">
        <f aca="false">IF(OR(E20="",D20=""),"",(E20-D20)/($C20*h_storey/3))</f>
        <v/>
      </c>
      <c r="L20" s="34" t="str">
        <f aca="false">IF(OR(F20="",E20=""),"",(F20-E20)/($C20*h_storey/3))</f>
        <v/>
      </c>
      <c r="M20" s="34" t="str">
        <f aca="false">IF(OR(G20="",F20=""),"",(G20-F20)/($C20*h_storey/3))</f>
        <v/>
      </c>
      <c r="N20" s="34" t="str">
        <f aca="false">IF(OR(H20="",G20=""),"",(H20-G20)/($C20*h_storey/3))</f>
        <v/>
      </c>
      <c r="O20" s="34" t="str">
        <f aca="false">IF(OR(I20="",H20=""),"",(I20-H20)/($C20*h_storey/3))</f>
        <v/>
      </c>
      <c r="P20" s="63" t="str">
        <f aca="false">IFERROR(MEDIAN(J20:O20),"")</f>
        <v/>
      </c>
      <c r="Q20" s="55" t="n">
        <v>0.575260912</v>
      </c>
      <c r="R20" s="55" t="n">
        <v>0.3332135789</v>
      </c>
      <c r="S20" s="44" t="str">
        <f aca="false">IF(P20="","",IF(AND(Q20&lt;&gt;"",P20&gt;=Q20),"충족",IF(AND(R20&lt;&gt;"",P20&lt;=R20),"불충족","판단 유보")))</f>
        <v/>
      </c>
    </row>
    <row r="21" customFormat="false" ht="15" hidden="false" customHeight="false" outlineLevel="0" collapsed="false">
      <c r="A21" s="8" t="s">
        <v>125</v>
      </c>
      <c r="B21" s="19" t="s">
        <v>516</v>
      </c>
      <c r="C21" s="45" t="n">
        <f aca="false">EXP(SUMIFS(l2_ln,l2_mat,"EPS_SC",l2_use,"예",l2_t600,"&gt;0")/COUNTIFS(l2_mat,"EPS_SC",l2_use,"예",l2_t600,"&gt;0"))</f>
        <v>968.478187673837</v>
      </c>
      <c r="D21" s="32"/>
      <c r="E21" s="32"/>
      <c r="F21" s="32"/>
      <c r="G21" s="32"/>
      <c r="H21" s="32"/>
      <c r="I21" s="32"/>
      <c r="J21" s="34" t="str">
        <f aca="false">IF(D21="","",D21/($C21*h_storey/3))</f>
        <v/>
      </c>
      <c r="K21" s="34" t="str">
        <f aca="false">IF(OR(E21="",D21=""),"",(E21-D21)/($C21*h_storey/3))</f>
        <v/>
      </c>
      <c r="L21" s="34" t="str">
        <f aca="false">IF(OR(F21="",E21=""),"",(F21-E21)/($C21*h_storey/3))</f>
        <v/>
      </c>
      <c r="M21" s="34" t="str">
        <f aca="false">IF(OR(G21="",F21=""),"",(G21-F21)/($C21*h_storey/3))</f>
        <v/>
      </c>
      <c r="N21" s="34" t="str">
        <f aca="false">IF(OR(H21="",G21=""),"",(H21-G21)/($C21*h_storey/3))</f>
        <v/>
      </c>
      <c r="O21" s="34" t="str">
        <f aca="false">IF(OR(I21="",H21=""),"",(I21-H21)/($C21*h_storey/3))</f>
        <v/>
      </c>
      <c r="P21" s="63" t="str">
        <f aca="false">IFERROR(MEDIAN(J21:O21),"")</f>
        <v/>
      </c>
      <c r="Q21" s="55" t="n">
        <v>0.575260912</v>
      </c>
      <c r="R21" s="55" t="n">
        <v>0.3332135789</v>
      </c>
      <c r="S21" s="44" t="str">
        <f aca="false">IF(P21="","",IF(AND(Q21&lt;&gt;"",P21&gt;=Q21),"충족",IF(AND(R21&lt;&gt;"",P21&lt;=R21),"불충족","판단 유보")))</f>
        <v/>
      </c>
    </row>
    <row r="22" customFormat="false" ht="15" hidden="false" customHeight="false" outlineLevel="0" collapsed="false">
      <c r="A22" s="8" t="s">
        <v>126</v>
      </c>
      <c r="B22" s="19" t="s">
        <v>515</v>
      </c>
      <c r="C22" s="45" t="n">
        <f aca="false">EXP(SUMIFS(l2_ln,l2_mat,"PIR_C",l2_use,"예",l2_t600,"&gt;0")/COUNTIFS(l2_mat,"PIR_C",l2_use,"예",l2_t600,"&gt;0"))</f>
        <v>29.9833287011299</v>
      </c>
      <c r="D22" s="32"/>
      <c r="E22" s="32"/>
      <c r="F22" s="32"/>
      <c r="G22" s="32"/>
      <c r="H22" s="32"/>
      <c r="I22" s="32"/>
      <c r="J22" s="34" t="str">
        <f aca="false">IF(D22="","",D22/($C22*h_storey/3))</f>
        <v/>
      </c>
      <c r="K22" s="34" t="str">
        <f aca="false">IF(OR(E22="",D22=""),"",(E22-D22)/($C22*h_storey/3))</f>
        <v/>
      </c>
      <c r="L22" s="34" t="str">
        <f aca="false">IF(OR(F22="",E22=""),"",(F22-E22)/($C22*h_storey/3))</f>
        <v/>
      </c>
      <c r="M22" s="34" t="str">
        <f aca="false">IF(OR(G22="",F22=""),"",(G22-F22)/($C22*h_storey/3))</f>
        <v/>
      </c>
      <c r="N22" s="34" t="str">
        <f aca="false">IF(OR(H22="",G22=""),"",(H22-G22)/($C22*h_storey/3))</f>
        <v/>
      </c>
      <c r="O22" s="34" t="str">
        <f aca="false">IF(OR(I22="",H22=""),"",(I22-H22)/($C22*h_storey/3))</f>
        <v/>
      </c>
      <c r="P22" s="63" t="str">
        <f aca="false">IFERROR(MEDIAN(J22:O22),"")</f>
        <v/>
      </c>
      <c r="Q22" s="55"/>
      <c r="R22" s="55" t="n">
        <v>1</v>
      </c>
      <c r="S22" s="44" t="str">
        <f aca="false">IF(P22="","",IF(AND(Q22&lt;&gt;"",P22&gt;=Q22),"충족",IF(AND(R22&lt;&gt;"",P22&lt;=R22),"불충족","판단 유보")))</f>
        <v/>
      </c>
    </row>
    <row r="23" customFormat="false" ht="15" hidden="false" customHeight="false" outlineLevel="0" collapsed="false">
      <c r="A23" s="8" t="s">
        <v>126</v>
      </c>
      <c r="B23" s="19" t="s">
        <v>516</v>
      </c>
      <c r="C23" s="45" t="n">
        <f aca="false">EXP(SUMIFS(l2_ln,l2_mat,"PIR_C",l2_use,"예",l2_t600,"&gt;0")/COUNTIFS(l2_mat,"PIR_C",l2_use,"예",l2_t600,"&gt;0"))</f>
        <v>29.9833287011299</v>
      </c>
      <c r="D23" s="32"/>
      <c r="E23" s="32"/>
      <c r="F23" s="32"/>
      <c r="G23" s="32"/>
      <c r="H23" s="32"/>
      <c r="I23" s="32"/>
      <c r="J23" s="34" t="str">
        <f aca="false">IF(D23="","",D23/($C23*h_storey/3))</f>
        <v/>
      </c>
      <c r="K23" s="34" t="str">
        <f aca="false">IF(OR(E23="",D23=""),"",(E23-D23)/($C23*h_storey/3))</f>
        <v/>
      </c>
      <c r="L23" s="34" t="str">
        <f aca="false">IF(OR(F23="",E23=""),"",(F23-E23)/($C23*h_storey/3))</f>
        <v/>
      </c>
      <c r="M23" s="34" t="str">
        <f aca="false">IF(OR(G23="",F23=""),"",(G23-F23)/($C23*h_storey/3))</f>
        <v/>
      </c>
      <c r="N23" s="34" t="str">
        <f aca="false">IF(OR(H23="",G23=""),"",(H23-G23)/($C23*h_storey/3))</f>
        <v/>
      </c>
      <c r="O23" s="34" t="str">
        <f aca="false">IF(OR(I23="",H23=""),"",(I23-H23)/($C23*h_storey/3))</f>
        <v/>
      </c>
      <c r="P23" s="63" t="str">
        <f aca="false">IFERROR(MEDIAN(J23:O23),"")</f>
        <v/>
      </c>
      <c r="Q23" s="55"/>
      <c r="R23" s="55" t="n">
        <v>1</v>
      </c>
      <c r="S23" s="44" t="str">
        <f aca="false">IF(P23="","",IF(AND(Q23&lt;&gt;"",P23&gt;=Q23),"충족",IF(AND(R23&lt;&gt;"",P23&lt;=R23),"불충족","판단 유보")))</f>
        <v/>
      </c>
    </row>
    <row r="24" customFormat="false" ht="15" hidden="false" customHeight="false" outlineLevel="0" collapsed="false">
      <c r="A24" s="8" t="s">
        <v>127</v>
      </c>
      <c r="B24" s="19" t="s">
        <v>515</v>
      </c>
      <c r="C24" s="45" t="n">
        <f aca="false">EXP(SUMIFS(l2_ln,l2_mat,"PIR_SC",l2_use,"예",l2_t600,"&gt;0")/COUNTIFS(l2_mat,"PIR_SC",l2_use,"예",l2_t600,"&gt;0"))</f>
        <v>1079.43874305122</v>
      </c>
      <c r="D24" s="32"/>
      <c r="E24" s="32"/>
      <c r="F24" s="32"/>
      <c r="G24" s="32"/>
      <c r="H24" s="32"/>
      <c r="I24" s="32"/>
      <c r="J24" s="34" t="str">
        <f aca="false">IF(D24="","",D24/($C24*h_storey/3))</f>
        <v/>
      </c>
      <c r="K24" s="34" t="str">
        <f aca="false">IF(OR(E24="",D24=""),"",(E24-D24)/($C24*h_storey/3))</f>
        <v/>
      </c>
      <c r="L24" s="34" t="str">
        <f aca="false">IF(OR(F24="",E24=""),"",(F24-E24)/($C24*h_storey/3))</f>
        <v/>
      </c>
      <c r="M24" s="34" t="str">
        <f aca="false">IF(OR(G24="",F24=""),"",(G24-F24)/($C24*h_storey/3))</f>
        <v/>
      </c>
      <c r="N24" s="34" t="str">
        <f aca="false">IF(OR(H24="",G24=""),"",(H24-G24)/($C24*h_storey/3))</f>
        <v/>
      </c>
      <c r="O24" s="34" t="str">
        <f aca="false">IF(OR(I24="",H24=""),"",(I24-H24)/($C24*h_storey/3))</f>
        <v/>
      </c>
      <c r="P24" s="63" t="str">
        <f aca="false">IFERROR(MEDIAN(J24:O24),"")</f>
        <v/>
      </c>
      <c r="Q24" s="55" t="n">
        <v>0.6861935872</v>
      </c>
      <c r="R24" s="55" t="n">
        <v>0.3756668473</v>
      </c>
      <c r="S24" s="44" t="str">
        <f aca="false">IF(P24="","",IF(AND(Q24&lt;&gt;"",P24&gt;=Q24),"충족",IF(AND(R24&lt;&gt;"",P24&lt;=R24),"불충족","판단 유보")))</f>
        <v/>
      </c>
    </row>
    <row r="25" customFormat="false" ht="15" hidden="false" customHeight="false" outlineLevel="0" collapsed="false">
      <c r="A25" s="8" t="s">
        <v>127</v>
      </c>
      <c r="B25" s="19" t="s">
        <v>516</v>
      </c>
      <c r="C25" s="45" t="n">
        <f aca="false">EXP(SUMIFS(l2_ln,l2_mat,"PIR_SC",l2_use,"예",l2_t600,"&gt;0")/COUNTIFS(l2_mat,"PIR_SC",l2_use,"예",l2_t600,"&gt;0"))</f>
        <v>1079.43874305122</v>
      </c>
      <c r="D25" s="32"/>
      <c r="E25" s="32"/>
      <c r="F25" s="32"/>
      <c r="G25" s="32"/>
      <c r="H25" s="32"/>
      <c r="I25" s="32"/>
      <c r="J25" s="34" t="str">
        <f aca="false">IF(D25="","",D25/($C25*h_storey/3))</f>
        <v/>
      </c>
      <c r="K25" s="34" t="str">
        <f aca="false">IF(OR(E25="",D25=""),"",(E25-D25)/($C25*h_storey/3))</f>
        <v/>
      </c>
      <c r="L25" s="34" t="str">
        <f aca="false">IF(OR(F25="",E25=""),"",(F25-E25)/($C25*h_storey/3))</f>
        <v/>
      </c>
      <c r="M25" s="34" t="str">
        <f aca="false">IF(OR(G25="",F25=""),"",(G25-F25)/($C25*h_storey/3))</f>
        <v/>
      </c>
      <c r="N25" s="34" t="str">
        <f aca="false">IF(OR(H25="",G25=""),"",(H25-G25)/($C25*h_storey/3))</f>
        <v/>
      </c>
      <c r="O25" s="34" t="str">
        <f aca="false">IF(OR(I25="",H25=""),"",(I25-H25)/($C25*h_storey/3))</f>
        <v/>
      </c>
      <c r="P25" s="63" t="str">
        <f aca="false">IFERROR(MEDIAN(J25:O25),"")</f>
        <v/>
      </c>
      <c r="Q25" s="55" t="n">
        <v>0.6861935872</v>
      </c>
      <c r="R25" s="55" t="n">
        <v>0.3756668473</v>
      </c>
      <c r="S25" s="44" t="str">
        <f aca="false">IF(P25="","",IF(AND(Q25&lt;&gt;"",P25&gt;=Q25),"충족",IF(AND(R25&lt;&gt;"",P25&lt;=R25),"불충족","판단 유보")))</f>
        <v/>
      </c>
    </row>
    <row r="26" customFormat="false" ht="15" hidden="false" customHeight="false" outlineLevel="0" collapsed="false">
      <c r="A26" s="8" t="s">
        <v>128</v>
      </c>
      <c r="B26" s="19" t="s">
        <v>515</v>
      </c>
      <c r="C26" s="45" t="n">
        <f aca="false">EXP(SUMIFS(l2_ln,l2_mat,"PF_out",l2_use,"예",l2_t600,"&gt;0")/COUNTIFS(l2_mat,"PF_out",l2_use,"예",l2_t600,"&gt;0"))</f>
        <v>1345.91047250551</v>
      </c>
      <c r="D26" s="32"/>
      <c r="E26" s="32"/>
      <c r="F26" s="32"/>
      <c r="G26" s="32"/>
      <c r="H26" s="32"/>
      <c r="I26" s="32"/>
      <c r="J26" s="34" t="str">
        <f aca="false">IF(D26="","",D26/($C26*h_storey/3))</f>
        <v/>
      </c>
      <c r="K26" s="34" t="str">
        <f aca="false">IF(OR(E26="",D26=""),"",(E26-D26)/($C26*h_storey/3))</f>
        <v/>
      </c>
      <c r="L26" s="34" t="str">
        <f aca="false">IF(OR(F26="",E26=""),"",(F26-E26)/($C26*h_storey/3))</f>
        <v/>
      </c>
      <c r="M26" s="34" t="str">
        <f aca="false">IF(OR(G26="",F26=""),"",(G26-F26)/($C26*h_storey/3))</f>
        <v/>
      </c>
      <c r="N26" s="34" t="str">
        <f aca="false">IF(OR(H26="",G26=""),"",(H26-G26)/($C26*h_storey/3))</f>
        <v/>
      </c>
      <c r="O26" s="34" t="str">
        <f aca="false">IF(OR(I26="",H26=""),"",(I26-H26)/($C26*h_storey/3))</f>
        <v/>
      </c>
      <c r="P26" s="63" t="str">
        <f aca="false">IFERROR(MEDIAN(J26:O26),"")</f>
        <v/>
      </c>
      <c r="Q26" s="55" t="n">
        <v>0.9410939158</v>
      </c>
      <c r="R26" s="55" t="n">
        <v>0.3983466661</v>
      </c>
      <c r="S26" s="44" t="str">
        <f aca="false">IF(P26="","",IF(AND(Q26&lt;&gt;"",P26&gt;=Q26),"충족",IF(AND(R26&lt;&gt;"",P26&lt;=R26),"불충족","판단 유보")))</f>
        <v/>
      </c>
    </row>
    <row r="27" customFormat="false" ht="15" hidden="false" customHeight="false" outlineLevel="0" collapsed="false">
      <c r="A27" s="8" t="s">
        <v>128</v>
      </c>
      <c r="B27" s="19" t="s">
        <v>516</v>
      </c>
      <c r="C27" s="45" t="n">
        <f aca="false">EXP(SUMIFS(l2_ln,l2_mat,"PF_out",l2_use,"예",l2_t600,"&gt;0")/COUNTIFS(l2_mat,"PF_out",l2_use,"예",l2_t600,"&gt;0"))</f>
        <v>1345.91047250551</v>
      </c>
      <c r="D27" s="32"/>
      <c r="E27" s="32"/>
      <c r="F27" s="32"/>
      <c r="G27" s="32"/>
      <c r="H27" s="32"/>
      <c r="I27" s="32"/>
      <c r="J27" s="34" t="str">
        <f aca="false">IF(D27="","",D27/($C27*h_storey/3))</f>
        <v/>
      </c>
      <c r="K27" s="34" t="str">
        <f aca="false">IF(OR(E27="",D27=""),"",(E27-D27)/($C27*h_storey/3))</f>
        <v/>
      </c>
      <c r="L27" s="34" t="str">
        <f aca="false">IF(OR(F27="",E27=""),"",(F27-E27)/($C27*h_storey/3))</f>
        <v/>
      </c>
      <c r="M27" s="34" t="str">
        <f aca="false">IF(OR(G27="",F27=""),"",(G27-F27)/($C27*h_storey/3))</f>
        <v/>
      </c>
      <c r="N27" s="34" t="str">
        <f aca="false">IF(OR(H27="",G27=""),"",(H27-G27)/($C27*h_storey/3))</f>
        <v/>
      </c>
      <c r="O27" s="34" t="str">
        <f aca="false">IF(OR(I27="",H27=""),"",(I27-H27)/($C27*h_storey/3))</f>
        <v/>
      </c>
      <c r="P27" s="63" t="str">
        <f aca="false">IFERROR(MEDIAN(J27:O27),"")</f>
        <v/>
      </c>
      <c r="Q27" s="55" t="n">
        <v>0.9410939158</v>
      </c>
      <c r="R27" s="55" t="n">
        <v>0.3983466661</v>
      </c>
      <c r="S27" s="44" t="str">
        <f aca="false">IF(P27="","",IF(AND(Q27&lt;&gt;"",P27&gt;=Q27),"충족",IF(AND(R27&lt;&gt;"",P27&lt;=R27),"불충족","판단 유보")))</f>
        <v/>
      </c>
    </row>
    <row r="28" customFormat="false" ht="15" hidden="false" customHeight="false" outlineLevel="0" collapsed="false">
      <c r="A28" s="8" t="s">
        <v>129</v>
      </c>
      <c r="B28" s="19" t="s">
        <v>515</v>
      </c>
      <c r="C28" s="45" t="n">
        <f aca="false">EXP(SUMIFS(l2_ln,l2_mat,"PF_in",l2_use,"예",l2_t600,"&gt;0")/COUNTIFS(l2_mat,"PF_in",l2_use,"예",l2_t600,"&gt;0"))</f>
        <v>512.281172794785</v>
      </c>
      <c r="D28" s="32"/>
      <c r="E28" s="32"/>
      <c r="F28" s="32"/>
      <c r="G28" s="32"/>
      <c r="H28" s="32"/>
      <c r="I28" s="32"/>
      <c r="J28" s="34" t="str">
        <f aca="false">IF(D28="","",D28/($C28*h_storey/3))</f>
        <v/>
      </c>
      <c r="K28" s="34" t="str">
        <f aca="false">IF(OR(E28="",D28=""),"",(E28-D28)/($C28*h_storey/3))</f>
        <v/>
      </c>
      <c r="L28" s="34" t="str">
        <f aca="false">IF(OR(F28="",E28=""),"",(F28-E28)/($C28*h_storey/3))</f>
        <v/>
      </c>
      <c r="M28" s="34" t="str">
        <f aca="false">IF(OR(G28="",F28=""),"",(G28-F28)/($C28*h_storey/3))</f>
        <v/>
      </c>
      <c r="N28" s="34" t="str">
        <f aca="false">IF(OR(H28="",G28=""),"",(H28-G28)/($C28*h_storey/3))</f>
        <v/>
      </c>
      <c r="O28" s="34" t="str">
        <f aca="false">IF(OR(I28="",H28=""),"",(I28-H28)/($C28*h_storey/3))</f>
        <v/>
      </c>
      <c r="P28" s="63" t="str">
        <f aca="false">IFERROR(MEDIAN(J28:O28),"")</f>
        <v/>
      </c>
      <c r="Q28" s="55"/>
      <c r="R28" s="55" t="n">
        <v>0.8441710273</v>
      </c>
      <c r="S28" s="44" t="str">
        <f aca="false">IF(P28="","",IF(AND(Q28&lt;&gt;"",P28&gt;=Q28),"충족",IF(AND(R28&lt;&gt;"",P28&lt;=R28),"불충족","판단 유보")))</f>
        <v/>
      </c>
    </row>
    <row r="29" customFormat="false" ht="15" hidden="false" customHeight="false" outlineLevel="0" collapsed="false">
      <c r="A29" s="8" t="s">
        <v>129</v>
      </c>
      <c r="B29" s="19" t="s">
        <v>516</v>
      </c>
      <c r="C29" s="45" t="n">
        <f aca="false">EXP(SUMIFS(l2_ln,l2_mat,"PF_in",l2_use,"예",l2_t600,"&gt;0")/COUNTIFS(l2_mat,"PF_in",l2_use,"예",l2_t600,"&gt;0"))</f>
        <v>512.281172794785</v>
      </c>
      <c r="D29" s="32"/>
      <c r="E29" s="32"/>
      <c r="F29" s="32"/>
      <c r="G29" s="32"/>
      <c r="H29" s="32"/>
      <c r="I29" s="32"/>
      <c r="J29" s="34" t="str">
        <f aca="false">IF(D29="","",D29/($C29*h_storey/3))</f>
        <v/>
      </c>
      <c r="K29" s="34" t="str">
        <f aca="false">IF(OR(E29="",D29=""),"",(E29-D29)/($C29*h_storey/3))</f>
        <v/>
      </c>
      <c r="L29" s="34" t="str">
        <f aca="false">IF(OR(F29="",E29=""),"",(F29-E29)/($C29*h_storey/3))</f>
        <v/>
      </c>
      <c r="M29" s="34" t="str">
        <f aca="false">IF(OR(G29="",F29=""),"",(G29-F29)/($C29*h_storey/3))</f>
        <v/>
      </c>
      <c r="N29" s="34" t="str">
        <f aca="false">IF(OR(H29="",G29=""),"",(H29-G29)/($C29*h_storey/3))</f>
        <v/>
      </c>
      <c r="O29" s="34" t="str">
        <f aca="false">IF(OR(I29="",H29=""),"",(I29-H29)/($C29*h_storey/3))</f>
        <v/>
      </c>
      <c r="P29" s="63" t="str">
        <f aca="false">IFERROR(MEDIAN(J29:O29),"")</f>
        <v/>
      </c>
      <c r="Q29" s="55"/>
      <c r="R29" s="55" t="n">
        <v>0.8441710273</v>
      </c>
      <c r="S29" s="44" t="str">
        <f aca="false">IF(P29="","",IF(AND(Q29&lt;&gt;"",P29&gt;=Q29),"충족",IF(AND(R29&lt;&gt;"",P29&lt;=R29),"불충족","판단 유보")))</f>
        <v/>
      </c>
    </row>
    <row r="31" customFormat="false" ht="15" hidden="false" customHeight="false" outlineLevel="0" collapsed="false">
      <c r="A31" s="5" t="s">
        <v>517</v>
      </c>
    </row>
    <row r="32" customFormat="false" ht="15" hidden="false" customHeight="false" outlineLevel="0" collapsed="false">
      <c r="A32" s="15" t="s">
        <v>518</v>
      </c>
    </row>
  </sheetData>
  <mergeCells count="3">
    <mergeCell ref="A4:D4"/>
    <mergeCell ref="A9:H9"/>
    <mergeCell ref="A17:T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"/>
    <col collapsed="false" customWidth="true" hidden="false" outlineLevel="0" max="4" min="3" style="0" width="12"/>
    <col collapsed="false" customWidth="true" hidden="false" outlineLevel="0" max="7" min="5" style="0" width="10"/>
    <col collapsed="false" customWidth="true" hidden="false" outlineLevel="0" max="8" min="8" style="0" width="50"/>
    <col collapsed="false" customWidth="true" hidden="false" outlineLevel="0" max="11" min="9" style="0" width="8"/>
  </cols>
  <sheetData>
    <row r="1" customFormat="false" ht="19.4" hidden="false" customHeight="false" outlineLevel="0" collapsed="false">
      <c r="A1" s="1" t="s">
        <v>519</v>
      </c>
    </row>
    <row r="2" customFormat="false" ht="15" hidden="false" customHeight="false" outlineLevel="0" collapsed="false">
      <c r="A2" s="5" t="s">
        <v>520</v>
      </c>
    </row>
    <row r="4" customFormat="false" ht="15" hidden="false" customHeight="true" outlineLevel="0" collapsed="false">
      <c r="A4" s="22" t="s">
        <v>521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customFormat="false" ht="15" hidden="false" customHeight="false" outlineLevel="0" collapsed="false">
      <c r="A5" s="6" t="s">
        <v>92</v>
      </c>
      <c r="B5" s="7" t="s">
        <v>522</v>
      </c>
      <c r="C5" s="7" t="s">
        <v>523</v>
      </c>
      <c r="D5" s="7" t="s">
        <v>524</v>
      </c>
      <c r="E5" s="7" t="s">
        <v>525</v>
      </c>
      <c r="F5" s="7" t="s">
        <v>526</v>
      </c>
      <c r="G5" s="7" t="s">
        <v>527</v>
      </c>
      <c r="H5" s="7" t="s">
        <v>528</v>
      </c>
      <c r="I5" s="7" t="s">
        <v>529</v>
      </c>
      <c r="J5" s="7" t="s">
        <v>530</v>
      </c>
      <c r="K5" s="7" t="s">
        <v>531</v>
      </c>
    </row>
    <row r="6" customFormat="false" ht="15" hidden="false" customHeight="false" outlineLevel="0" collapsed="false">
      <c r="A6" s="8" t="s">
        <v>125</v>
      </c>
      <c r="B6" s="50"/>
      <c r="C6" s="69" t="n">
        <v>0.021</v>
      </c>
      <c r="D6" s="69" t="n">
        <v>0.053</v>
      </c>
      <c r="E6" s="70" t="n">
        <v>0.122</v>
      </c>
      <c r="F6" s="70" t="n">
        <v>0.27</v>
      </c>
      <c r="G6" s="70" t="n">
        <v>0.573</v>
      </c>
      <c r="H6" s="57" t="n">
        <v>0.959</v>
      </c>
      <c r="I6" s="57" t="n">
        <v>0.995</v>
      </c>
      <c r="J6" s="57" t="n">
        <v>0.999</v>
      </c>
      <c r="K6" s="57" t="n">
        <v>1</v>
      </c>
    </row>
    <row r="7" customFormat="false" ht="15" hidden="false" customHeight="false" outlineLevel="0" collapsed="false">
      <c r="A7" s="8" t="s">
        <v>126</v>
      </c>
      <c r="B7" s="50"/>
      <c r="C7" s="69" t="n">
        <v>0</v>
      </c>
      <c r="D7" s="69" t="n">
        <v>0</v>
      </c>
      <c r="E7" s="69" t="n">
        <v>0</v>
      </c>
      <c r="F7" s="69" t="n">
        <v>0</v>
      </c>
      <c r="G7" s="69" t="n">
        <v>0</v>
      </c>
      <c r="H7" s="69" t="n">
        <v>0</v>
      </c>
      <c r="I7" s="69" t="n">
        <v>0</v>
      </c>
      <c r="J7" s="69" t="n">
        <v>0</v>
      </c>
      <c r="K7" s="69" t="n">
        <v>0</v>
      </c>
    </row>
    <row r="8" customFormat="false" ht="15" hidden="false" customHeight="false" outlineLevel="0" collapsed="false">
      <c r="A8" s="8" t="s">
        <v>127</v>
      </c>
      <c r="B8" s="50"/>
      <c r="C8" s="69" t="n">
        <v>0.003</v>
      </c>
      <c r="D8" s="69" t="n">
        <v>0.012</v>
      </c>
      <c r="E8" s="69" t="n">
        <v>0.041</v>
      </c>
      <c r="F8" s="70" t="n">
        <v>0.193</v>
      </c>
      <c r="G8" s="70" t="n">
        <v>0.513</v>
      </c>
      <c r="H8" s="70" t="n">
        <v>0.807</v>
      </c>
      <c r="I8" s="57" t="n">
        <v>0.921</v>
      </c>
      <c r="J8" s="57" t="n">
        <v>0.955</v>
      </c>
      <c r="K8" s="57" t="n">
        <v>0.988</v>
      </c>
    </row>
    <row r="9" customFormat="false" ht="15" hidden="false" customHeight="false" outlineLevel="0" collapsed="false">
      <c r="A9" s="8" t="s">
        <v>128</v>
      </c>
      <c r="B9" s="50"/>
      <c r="C9" s="69" t="n">
        <v>0.004</v>
      </c>
      <c r="D9" s="69" t="n">
        <v>0.015</v>
      </c>
      <c r="E9" s="69" t="n">
        <v>0.034</v>
      </c>
      <c r="F9" s="70" t="n">
        <v>0.127</v>
      </c>
      <c r="G9" s="70" t="n">
        <v>0.268</v>
      </c>
      <c r="H9" s="70" t="n">
        <v>0.455</v>
      </c>
      <c r="I9" s="70" t="n">
        <v>0.664</v>
      </c>
      <c r="J9" s="70" t="n">
        <v>0.827</v>
      </c>
      <c r="K9" s="57" t="n">
        <v>0.939</v>
      </c>
    </row>
    <row r="10" customFormat="false" ht="15" hidden="false" customHeight="false" outlineLevel="0" collapsed="false">
      <c r="A10" s="8" t="s">
        <v>129</v>
      </c>
      <c r="B10" s="50"/>
      <c r="C10" s="69" t="n">
        <v>0</v>
      </c>
      <c r="D10" s="69" t="n">
        <v>0</v>
      </c>
      <c r="E10" s="69" t="n">
        <v>0</v>
      </c>
      <c r="F10" s="69" t="n">
        <v>0</v>
      </c>
      <c r="G10" s="69" t="n">
        <v>0.002</v>
      </c>
      <c r="H10" s="69" t="n">
        <v>0.008</v>
      </c>
      <c r="I10" s="69" t="n">
        <v>0.029</v>
      </c>
      <c r="J10" s="69" t="n">
        <v>0.095</v>
      </c>
      <c r="K10" s="70" t="n">
        <v>0.271</v>
      </c>
    </row>
    <row r="12" customFormat="false" ht="15" hidden="false" customHeight="true" outlineLevel="0" collapsed="false">
      <c r="A12" s="22" t="s">
        <v>532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customFormat="false" ht="15" hidden="false" customHeight="false" outlineLevel="0" collapsed="false">
      <c r="A13" s="6" t="s">
        <v>92</v>
      </c>
      <c r="B13" s="7" t="s">
        <v>522</v>
      </c>
      <c r="C13" s="7" t="s">
        <v>523</v>
      </c>
      <c r="D13" s="7" t="s">
        <v>524</v>
      </c>
      <c r="E13" s="7" t="s">
        <v>525</v>
      </c>
      <c r="F13" s="7" t="s">
        <v>526</v>
      </c>
      <c r="G13" s="7" t="s">
        <v>527</v>
      </c>
      <c r="H13" s="7" t="s">
        <v>528</v>
      </c>
      <c r="I13" s="7" t="s">
        <v>529</v>
      </c>
      <c r="J13" s="7" t="s">
        <v>530</v>
      </c>
      <c r="K13" s="7" t="s">
        <v>531</v>
      </c>
    </row>
    <row r="14" customFormat="false" ht="15" hidden="false" customHeight="false" outlineLevel="0" collapsed="false">
      <c r="A14" s="8" t="s">
        <v>125</v>
      </c>
      <c r="B14" s="50"/>
      <c r="C14" s="57" t="n">
        <v>0.99</v>
      </c>
      <c r="D14" s="57" t="n">
        <v>0.996</v>
      </c>
      <c r="E14" s="57" t="n">
        <v>0.999</v>
      </c>
      <c r="F14" s="57" t="n">
        <v>1</v>
      </c>
      <c r="G14" s="57" t="n">
        <v>1</v>
      </c>
      <c r="H14" s="57" t="n">
        <v>1</v>
      </c>
      <c r="I14" s="57" t="n">
        <v>1</v>
      </c>
      <c r="J14" s="57" t="n">
        <v>1</v>
      </c>
      <c r="K14" s="57" t="n">
        <v>1</v>
      </c>
    </row>
    <row r="15" customFormat="false" ht="15" hidden="false" customHeight="false" outlineLevel="0" collapsed="false">
      <c r="A15" s="8" t="s">
        <v>126</v>
      </c>
      <c r="B15" s="50"/>
      <c r="C15" s="69" t="n">
        <v>0</v>
      </c>
      <c r="D15" s="69" t="n">
        <v>0</v>
      </c>
      <c r="E15" s="69" t="n">
        <v>0</v>
      </c>
      <c r="F15" s="69" t="n">
        <v>0</v>
      </c>
      <c r="G15" s="69" t="n">
        <v>0</v>
      </c>
      <c r="H15" s="69" t="n">
        <v>0</v>
      </c>
      <c r="I15" s="69" t="n">
        <v>0</v>
      </c>
      <c r="J15" s="69" t="n">
        <v>0</v>
      </c>
      <c r="K15" s="69" t="n">
        <v>0</v>
      </c>
    </row>
    <row r="16" customFormat="false" ht="15" hidden="false" customHeight="false" outlineLevel="0" collapsed="false">
      <c r="A16" s="8" t="s">
        <v>127</v>
      </c>
      <c r="B16" s="50"/>
      <c r="C16" s="57" t="n">
        <v>0.964</v>
      </c>
      <c r="D16" s="57" t="n">
        <v>0.983</v>
      </c>
      <c r="E16" s="57" t="n">
        <v>0.993</v>
      </c>
      <c r="F16" s="57" t="n">
        <v>0.998</v>
      </c>
      <c r="G16" s="57" t="n">
        <v>1</v>
      </c>
      <c r="H16" s="57" t="n">
        <v>1</v>
      </c>
      <c r="I16" s="57" t="n">
        <v>1</v>
      </c>
      <c r="J16" s="57" t="n">
        <v>1</v>
      </c>
      <c r="K16" s="57" t="n">
        <v>1</v>
      </c>
    </row>
    <row r="17" customFormat="false" ht="15" hidden="false" customHeight="false" outlineLevel="0" collapsed="false">
      <c r="A17" s="8" t="s">
        <v>128</v>
      </c>
      <c r="B17" s="50"/>
      <c r="C17" s="57" t="n">
        <v>0.957</v>
      </c>
      <c r="D17" s="57" t="n">
        <v>0.972</v>
      </c>
      <c r="E17" s="57" t="n">
        <v>0.98</v>
      </c>
      <c r="F17" s="57" t="n">
        <v>0.991</v>
      </c>
      <c r="G17" s="57" t="n">
        <v>0.998</v>
      </c>
      <c r="H17" s="57" t="n">
        <v>1</v>
      </c>
      <c r="I17" s="57" t="n">
        <v>1</v>
      </c>
      <c r="J17" s="57" t="n">
        <v>1</v>
      </c>
      <c r="K17" s="57" t="n">
        <v>1</v>
      </c>
    </row>
    <row r="18" customFormat="false" ht="15" hidden="false" customHeight="false" outlineLevel="0" collapsed="false">
      <c r="A18" s="8" t="s">
        <v>129</v>
      </c>
      <c r="B18" s="50"/>
      <c r="C18" s="57" t="n">
        <v>0.929</v>
      </c>
      <c r="D18" s="57" t="n">
        <v>0.934</v>
      </c>
      <c r="E18" s="57" t="n">
        <v>0.936</v>
      </c>
      <c r="F18" s="57" t="n">
        <v>0.943</v>
      </c>
      <c r="G18" s="57" t="n">
        <v>0.956</v>
      </c>
      <c r="H18" s="57" t="n">
        <v>0.969</v>
      </c>
      <c r="I18" s="57" t="n">
        <v>0.982</v>
      </c>
      <c r="J18" s="57" t="n">
        <v>0.995</v>
      </c>
      <c r="K18" s="57" t="n">
        <v>0.998</v>
      </c>
    </row>
    <row r="20" customFormat="false" ht="15" hidden="false" customHeight="true" outlineLevel="0" collapsed="false">
      <c r="A20" s="17" t="s">
        <v>533</v>
      </c>
      <c r="B20" s="17"/>
      <c r="C20" s="17"/>
      <c r="D20" s="17"/>
      <c r="E20" s="17"/>
      <c r="F20" s="17"/>
      <c r="G20" s="17"/>
      <c r="H20" s="17"/>
    </row>
    <row r="21" customFormat="false" ht="31.5" hidden="false" customHeight="true" outlineLevel="0" collapsed="false">
      <c r="A21" s="6" t="s">
        <v>92</v>
      </c>
      <c r="B21" s="6" t="s">
        <v>534</v>
      </c>
      <c r="C21" s="7" t="s">
        <v>535</v>
      </c>
      <c r="D21" s="7" t="s">
        <v>536</v>
      </c>
      <c r="E21" s="7" t="s">
        <v>537</v>
      </c>
      <c r="F21" s="7" t="s">
        <v>538</v>
      </c>
      <c r="G21" s="7" t="s">
        <v>539</v>
      </c>
      <c r="H21" s="6" t="s">
        <v>467</v>
      </c>
    </row>
    <row r="22" customFormat="false" ht="15" hidden="false" customHeight="false" outlineLevel="0" collapsed="false">
      <c r="A22" s="8" t="s">
        <v>125</v>
      </c>
      <c r="B22" s="19" t="s">
        <v>540</v>
      </c>
      <c r="C22" s="55" t="n">
        <v>0.575260912</v>
      </c>
      <c r="D22" s="55" t="n">
        <v>0.3332135789</v>
      </c>
      <c r="E22" s="66" t="n">
        <f aca="false">IF(C22="",0,MIN(1,MAX(0,LN(s_hi/C22)/LN(s_hi/s_lo))))</f>
        <v>0.398855825003896</v>
      </c>
      <c r="F22" s="66" t="n">
        <f aca="false">IF(D22="",0,MIN(1,MAX(0,1-LN(s_hi/D22)/LN(s_hi/s_lo))))</f>
        <v>0.207259549385422</v>
      </c>
      <c r="G22" s="71" t="n">
        <f aca="false">MIN(1,E22+F22)</f>
        <v>0.606115374389319</v>
      </c>
      <c r="H22" s="4" t="s">
        <v>541</v>
      </c>
    </row>
    <row r="23" customFormat="false" ht="15" hidden="false" customHeight="false" outlineLevel="0" collapsed="false">
      <c r="A23" s="8" t="s">
        <v>126</v>
      </c>
      <c r="B23" s="19" t="s">
        <v>540</v>
      </c>
      <c r="C23" s="55"/>
      <c r="D23" s="55" t="n">
        <v>1</v>
      </c>
      <c r="E23" s="66" t="n">
        <f aca="false">IF(C23="",0,MIN(1,MAX(0,LN(s_hi/C23)/LN(s_hi/s_lo))))</f>
        <v>0</v>
      </c>
      <c r="F23" s="66" t="n">
        <f aca="false">IF(D23="",0,MIN(1,MAX(0,1-LN(s_hi/D23)/LN(s_hi/s_lo))))</f>
        <v>1</v>
      </c>
      <c r="G23" s="71" t="n">
        <f aca="false">MIN(1,E23+F23)</f>
        <v>1</v>
      </c>
      <c r="H23" s="4" t="s">
        <v>542</v>
      </c>
    </row>
    <row r="24" customFormat="false" ht="15" hidden="false" customHeight="false" outlineLevel="0" collapsed="false">
      <c r="A24" s="8" t="s">
        <v>127</v>
      </c>
      <c r="B24" s="19" t="s">
        <v>540</v>
      </c>
      <c r="C24" s="55" t="n">
        <v>0.6861935872</v>
      </c>
      <c r="D24" s="55" t="n">
        <v>0.3756668473</v>
      </c>
      <c r="E24" s="66" t="n">
        <f aca="false">IF(C24="",0,MIN(1,MAX(0,LN(s_hi/C24)/LN(s_hi/s_lo))))</f>
        <v>0.271656225794345</v>
      </c>
      <c r="F24" s="66" t="n">
        <f aca="false">IF(D24="",0,MIN(1,MAX(0,1-LN(s_hi/D24)/LN(s_hi/s_lo))))</f>
        <v>0.293762854242872</v>
      </c>
      <c r="G24" s="71" t="n">
        <f aca="false">MIN(1,E24+F24)</f>
        <v>0.565419080037216</v>
      </c>
      <c r="H24" s="4" t="s">
        <v>543</v>
      </c>
    </row>
    <row r="25" customFormat="false" ht="15" hidden="false" customHeight="false" outlineLevel="0" collapsed="false">
      <c r="A25" s="8" t="s">
        <v>128</v>
      </c>
      <c r="B25" s="19" t="s">
        <v>540</v>
      </c>
      <c r="C25" s="55" t="n">
        <v>0.9410939158</v>
      </c>
      <c r="D25" s="55" t="n">
        <v>0.3983466661</v>
      </c>
      <c r="E25" s="66" t="n">
        <f aca="false">IF(C25="",0,MIN(1,MAX(0,LN(s_hi/C25)/LN(s_hi/s_lo))))</f>
        <v>0.043794696010325</v>
      </c>
      <c r="F25" s="66" t="n">
        <f aca="false">IF(D25="",0,MIN(1,MAX(0,1-LN(s_hi/D25)/LN(s_hi/s_lo))))</f>
        <v>0.33604820283588</v>
      </c>
      <c r="G25" s="71" t="n">
        <f aca="false">MIN(1,E25+F25)</f>
        <v>0.379842898846205</v>
      </c>
      <c r="H25" s="4" t="s">
        <v>544</v>
      </c>
    </row>
    <row r="26" customFormat="false" ht="15" hidden="false" customHeight="false" outlineLevel="0" collapsed="false">
      <c r="A26" s="8" t="s">
        <v>129</v>
      </c>
      <c r="B26" s="19" t="s">
        <v>540</v>
      </c>
      <c r="C26" s="55"/>
      <c r="D26" s="55" t="n">
        <v>0.8441710273</v>
      </c>
      <c r="E26" s="66" t="n">
        <f aca="false">IF(C26="",0,MIN(1,MAX(0,LN(s_hi/C26)/LN(s_hi/s_lo))))</f>
        <v>0</v>
      </c>
      <c r="F26" s="66" t="n">
        <f aca="false">IF(D26="",0,MIN(1,MAX(0,1-LN(s_hi/D26)/LN(s_hi/s_lo))))</f>
        <v>0.877803610340883</v>
      </c>
      <c r="G26" s="71" t="n">
        <f aca="false">MIN(1,E26+F26)</f>
        <v>0.877803610340883</v>
      </c>
      <c r="H26" s="4" t="s">
        <v>545</v>
      </c>
    </row>
    <row r="27" customFormat="false" ht="15" hidden="false" customHeight="false" outlineLevel="0" collapsed="false">
      <c r="A27" s="8" t="s">
        <v>125</v>
      </c>
      <c r="B27" s="19" t="s">
        <v>546</v>
      </c>
      <c r="C27" s="55" t="n">
        <v>0.25</v>
      </c>
      <c r="D27" s="55"/>
      <c r="E27" s="66" t="n">
        <f aca="false">IF(C27="",0,MIN(1,MAX(0,LN(s_hi/C27)/LN(s_hi/s_lo))))</f>
        <v>1</v>
      </c>
      <c r="F27" s="66" t="n">
        <f aca="false">IF(D27="",0,MIN(1,MAX(0,1-LN(s_hi/D27)/LN(s_hi/s_lo))))</f>
        <v>0</v>
      </c>
      <c r="G27" s="71" t="n">
        <f aca="false">MIN(1,E27+F27)</f>
        <v>1</v>
      </c>
      <c r="H27" s="4" t="s">
        <v>547</v>
      </c>
    </row>
    <row r="28" customFormat="false" ht="15" hidden="false" customHeight="false" outlineLevel="0" collapsed="false">
      <c r="A28" s="8" t="s">
        <v>126</v>
      </c>
      <c r="B28" s="19" t="s">
        <v>546</v>
      </c>
      <c r="C28" s="55"/>
      <c r="D28" s="55" t="n">
        <v>1</v>
      </c>
      <c r="E28" s="66" t="n">
        <f aca="false">IF(C28="",0,MIN(1,MAX(0,LN(s_hi/C28)/LN(s_hi/s_lo))))</f>
        <v>0</v>
      </c>
      <c r="F28" s="66" t="n">
        <f aca="false">IF(D28="",0,MIN(1,MAX(0,1-LN(s_hi/D28)/LN(s_hi/s_lo))))</f>
        <v>1</v>
      </c>
      <c r="G28" s="71" t="n">
        <f aca="false">MIN(1,E28+F28)</f>
        <v>1</v>
      </c>
      <c r="H28" s="4" t="s">
        <v>542</v>
      </c>
    </row>
    <row r="29" customFormat="false" ht="15" hidden="false" customHeight="false" outlineLevel="0" collapsed="false">
      <c r="A29" s="8" t="s">
        <v>127</v>
      </c>
      <c r="B29" s="19" t="s">
        <v>546</v>
      </c>
      <c r="C29" s="55" t="n">
        <v>0.25</v>
      </c>
      <c r="D29" s="55"/>
      <c r="E29" s="66" t="n">
        <f aca="false">IF(C29="",0,MIN(1,MAX(0,LN(s_hi/C29)/LN(s_hi/s_lo))))</f>
        <v>1</v>
      </c>
      <c r="F29" s="66" t="n">
        <f aca="false">IF(D29="",0,MIN(1,MAX(0,1-LN(s_hi/D29)/LN(s_hi/s_lo))))</f>
        <v>0</v>
      </c>
      <c r="G29" s="71" t="n">
        <f aca="false">MIN(1,E29+F29)</f>
        <v>1</v>
      </c>
      <c r="H29" s="4" t="s">
        <v>547</v>
      </c>
    </row>
    <row r="30" customFormat="false" ht="15" hidden="false" customHeight="false" outlineLevel="0" collapsed="false">
      <c r="A30" s="8" t="s">
        <v>128</v>
      </c>
      <c r="B30" s="19" t="s">
        <v>546</v>
      </c>
      <c r="C30" s="55" t="n">
        <v>0.25</v>
      </c>
      <c r="D30" s="55"/>
      <c r="E30" s="66" t="n">
        <f aca="false">IF(C30="",0,MIN(1,MAX(0,LN(s_hi/C30)/LN(s_hi/s_lo))))</f>
        <v>1</v>
      </c>
      <c r="F30" s="66" t="n">
        <f aca="false">IF(D30="",0,MIN(1,MAX(0,1-LN(s_hi/D30)/LN(s_hi/s_lo))))</f>
        <v>0</v>
      </c>
      <c r="G30" s="71" t="n">
        <f aca="false">MIN(1,E30+F30)</f>
        <v>1</v>
      </c>
      <c r="H30" s="4" t="s">
        <v>547</v>
      </c>
    </row>
    <row r="31" customFormat="false" ht="15" hidden="false" customHeight="false" outlineLevel="0" collapsed="false">
      <c r="A31" s="8" t="s">
        <v>129</v>
      </c>
      <c r="B31" s="19" t="s">
        <v>546</v>
      </c>
      <c r="C31" s="55" t="n">
        <v>0.25</v>
      </c>
      <c r="D31" s="55"/>
      <c r="E31" s="66" t="n">
        <f aca="false">IF(C31="",0,MIN(1,MAX(0,LN(s_hi/C31)/LN(s_hi/s_lo))))</f>
        <v>1</v>
      </c>
      <c r="F31" s="66" t="n">
        <f aca="false">IF(D31="",0,MIN(1,MAX(0,1-LN(s_hi/D31)/LN(s_hi/s_lo))))</f>
        <v>0</v>
      </c>
      <c r="G31" s="71" t="n">
        <f aca="false">MIN(1,E31+F31)</f>
        <v>1</v>
      </c>
      <c r="H31" s="4" t="s">
        <v>547</v>
      </c>
    </row>
  </sheetData>
  <mergeCells count="3">
    <mergeCell ref="A4:K4"/>
    <mergeCell ref="A12:K12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6"/>
    <col collapsed="false" customWidth="true" hidden="false" outlineLevel="0" max="9" min="4" style="0" width="11"/>
    <col collapsed="false" customWidth="true" hidden="false" outlineLevel="0" max="11" min="10" style="0" width="9"/>
    <col collapsed="false" customWidth="true" hidden="false" outlineLevel="0" max="12" min="12" style="0" width="10"/>
    <col collapsed="false" customWidth="true" hidden="false" outlineLevel="0" max="13" min="13" style="0" width="12"/>
  </cols>
  <sheetData>
    <row r="1" customFormat="false" ht="19.4" hidden="false" customHeight="false" outlineLevel="0" collapsed="false">
      <c r="A1" s="1" t="s">
        <v>548</v>
      </c>
    </row>
    <row r="2" customFormat="false" ht="15" hidden="false" customHeight="false" outlineLevel="0" collapsed="false">
      <c r="A2" s="5" t="s">
        <v>549</v>
      </c>
    </row>
    <row r="4" customFormat="false" ht="31.5" hidden="false" customHeight="true" outlineLevel="0" collapsed="false">
      <c r="A4" s="6" t="s">
        <v>550</v>
      </c>
      <c r="B4" s="6" t="s">
        <v>92</v>
      </c>
      <c r="C4" s="6" t="s">
        <v>534</v>
      </c>
      <c r="D4" s="7" t="s">
        <v>551</v>
      </c>
      <c r="E4" s="7" t="s">
        <v>552</v>
      </c>
      <c r="F4" s="7" t="s">
        <v>553</v>
      </c>
      <c r="G4" s="7" t="s">
        <v>554</v>
      </c>
      <c r="H4" s="7" t="s">
        <v>555</v>
      </c>
      <c r="I4" s="6" t="s">
        <v>556</v>
      </c>
      <c r="J4" s="7" t="s">
        <v>557</v>
      </c>
      <c r="K4" s="7" t="s">
        <v>558</v>
      </c>
      <c r="L4" s="6" t="s">
        <v>559</v>
      </c>
      <c r="M4" s="6" t="s">
        <v>560</v>
      </c>
    </row>
    <row r="5" customFormat="false" ht="15" hidden="false" customHeight="false" outlineLevel="0" collapsed="false">
      <c r="A5" s="3" t="s">
        <v>561</v>
      </c>
      <c r="B5" s="3" t="s">
        <v>562</v>
      </c>
      <c r="C5" s="19" t="s">
        <v>540</v>
      </c>
      <c r="D5" s="72" t="n">
        <v>1.764E-005</v>
      </c>
      <c r="E5" s="72" t="n">
        <v>1.76513E-005</v>
      </c>
      <c r="F5" s="72" t="n">
        <v>3.2349E-006</v>
      </c>
      <c r="G5" s="72" t="n">
        <v>4.74027E-005</v>
      </c>
      <c r="H5" s="72" t="n">
        <v>1.0625E-006</v>
      </c>
      <c r="I5" s="51" t="n">
        <v>1</v>
      </c>
      <c r="J5" s="51" t="n">
        <v>1</v>
      </c>
      <c r="K5" s="51" t="n">
        <v>1</v>
      </c>
      <c r="L5" s="73" t="n">
        <v>1</v>
      </c>
      <c r="M5" s="74" t="s">
        <v>563</v>
      </c>
    </row>
    <row r="6" customFormat="false" ht="15" hidden="false" customHeight="false" outlineLevel="0" collapsed="false">
      <c r="A6" s="3" t="s">
        <v>561</v>
      </c>
      <c r="B6" s="4" t="s">
        <v>165</v>
      </c>
      <c r="C6" s="19" t="s">
        <v>540</v>
      </c>
      <c r="D6" s="72" t="n">
        <v>0.000831744</v>
      </c>
      <c r="E6" s="72" t="n">
        <v>0.0016370968</v>
      </c>
      <c r="F6" s="72" t="n">
        <v>8.82403E-005</v>
      </c>
      <c r="G6" s="72" t="n">
        <v>0.0057722822</v>
      </c>
      <c r="H6" s="72" t="n">
        <v>0.0003618252</v>
      </c>
      <c r="I6" s="51" t="n">
        <v>67.8772471827</v>
      </c>
      <c r="J6" s="51" t="n">
        <v>6.0153772347</v>
      </c>
      <c r="K6" s="51" t="n">
        <v>573.1955189317</v>
      </c>
      <c r="L6" s="73" t="n">
        <v>0.3155</v>
      </c>
      <c r="M6" s="75" t="s">
        <v>564</v>
      </c>
    </row>
    <row r="7" customFormat="false" ht="15" hidden="false" customHeight="false" outlineLevel="0" collapsed="false">
      <c r="A7" s="3" t="s">
        <v>561</v>
      </c>
      <c r="B7" s="4" t="s">
        <v>169</v>
      </c>
      <c r="C7" s="19" t="s">
        <v>540</v>
      </c>
      <c r="D7" s="72" t="n">
        <v>0.008355564</v>
      </c>
      <c r="E7" s="72" t="n">
        <v>0.0115067461</v>
      </c>
      <c r="F7" s="72" t="n">
        <v>0.0027768003</v>
      </c>
      <c r="G7" s="72" t="n">
        <v>0.0301847033</v>
      </c>
      <c r="H7" s="72" t="n">
        <v>0.0008772746</v>
      </c>
      <c r="I7" s="51" t="n">
        <v>630.5202214337</v>
      </c>
      <c r="J7" s="51" t="n">
        <v>134.8032160411</v>
      </c>
      <c r="K7" s="51" t="n">
        <v>4289.1930355853</v>
      </c>
      <c r="L7" s="73" t="n">
        <v>0.001</v>
      </c>
      <c r="M7" s="76" t="s">
        <v>565</v>
      </c>
    </row>
    <row r="8" customFormat="false" ht="15" hidden="false" customHeight="false" outlineLevel="0" collapsed="false">
      <c r="A8" s="3" t="s">
        <v>561</v>
      </c>
      <c r="B8" s="4" t="s">
        <v>172</v>
      </c>
      <c r="C8" s="19" t="s">
        <v>540</v>
      </c>
      <c r="D8" s="72" t="n">
        <v>0.000831744</v>
      </c>
      <c r="E8" s="72" t="n">
        <v>0.001811762</v>
      </c>
      <c r="F8" s="72" t="n">
        <v>9.64903E-005</v>
      </c>
      <c r="G8" s="72" t="n">
        <v>0.0059813897</v>
      </c>
      <c r="H8" s="72" t="n">
        <v>0.000400182</v>
      </c>
      <c r="I8" s="51" t="n">
        <v>74.7500786296</v>
      </c>
      <c r="J8" s="51" t="n">
        <v>7.3101906123</v>
      </c>
      <c r="K8" s="51" t="n">
        <v>673.7422005195</v>
      </c>
      <c r="L8" s="73" t="n">
        <v>0.2855</v>
      </c>
      <c r="M8" s="75" t="s">
        <v>564</v>
      </c>
    </row>
    <row r="9" customFormat="false" ht="15" hidden="false" customHeight="false" outlineLevel="0" collapsed="false">
      <c r="A9" s="3" t="s">
        <v>561</v>
      </c>
      <c r="B9" s="4" t="s">
        <v>175</v>
      </c>
      <c r="C9" s="19" t="s">
        <v>540</v>
      </c>
      <c r="D9" s="72" t="n">
        <v>0.001150884</v>
      </c>
      <c r="E9" s="72" t="n">
        <v>0.0020575148</v>
      </c>
      <c r="F9" s="72" t="n">
        <v>0.000158023</v>
      </c>
      <c r="G9" s="72" t="n">
        <v>0.0069143589</v>
      </c>
      <c r="H9" s="72" t="n">
        <v>0.000450967</v>
      </c>
      <c r="I9" s="51" t="n">
        <v>88.5882712819</v>
      </c>
      <c r="J9" s="51" t="n">
        <v>9.2107691177</v>
      </c>
      <c r="K9" s="51" t="n">
        <v>778.6792965777</v>
      </c>
      <c r="L9" s="73" t="n">
        <v>0.2335</v>
      </c>
      <c r="M9" s="75" t="s">
        <v>564</v>
      </c>
    </row>
    <row r="10" customFormat="false" ht="15" hidden="false" customHeight="false" outlineLevel="0" collapsed="false">
      <c r="A10" s="3" t="s">
        <v>561</v>
      </c>
      <c r="B10" s="4" t="s">
        <v>177</v>
      </c>
      <c r="C10" s="19" t="s">
        <v>540</v>
      </c>
      <c r="D10" s="72" t="n">
        <v>0.000647604</v>
      </c>
      <c r="E10" s="72" t="n">
        <v>0.0011733169</v>
      </c>
      <c r="F10" s="72" t="n">
        <v>3.32305E-005</v>
      </c>
      <c r="G10" s="72" t="n">
        <v>0.0040754765</v>
      </c>
      <c r="H10" s="72" t="n">
        <v>0.0002696936</v>
      </c>
      <c r="I10" s="51" t="n">
        <v>44.3085514111</v>
      </c>
      <c r="J10" s="51" t="n">
        <v>2.1809879907</v>
      </c>
      <c r="K10" s="51" t="n">
        <v>427.4442459294</v>
      </c>
      <c r="L10" s="73" t="n">
        <v>0.4585</v>
      </c>
      <c r="M10" s="75" t="s">
        <v>564</v>
      </c>
    </row>
    <row r="11" customFormat="false" ht="15" hidden="false" customHeight="false" outlineLevel="0" collapsed="false">
      <c r="A11" s="3" t="s">
        <v>566</v>
      </c>
      <c r="B11" s="3" t="s">
        <v>562</v>
      </c>
      <c r="C11" s="19" t="s">
        <v>540</v>
      </c>
      <c r="D11" s="72" t="n">
        <v>1.764E-005</v>
      </c>
      <c r="E11" s="72" t="n">
        <v>1.76513E-005</v>
      </c>
      <c r="F11" s="72" t="n">
        <v>3.2349E-006</v>
      </c>
      <c r="G11" s="72" t="n">
        <v>4.74027E-005</v>
      </c>
      <c r="H11" s="72" t="n">
        <v>1.0625E-006</v>
      </c>
      <c r="I11" s="51" t="n">
        <v>1</v>
      </c>
      <c r="J11" s="51" t="n">
        <v>1</v>
      </c>
      <c r="K11" s="51" t="n">
        <v>1</v>
      </c>
      <c r="L11" s="73" t="n">
        <v>1</v>
      </c>
      <c r="M11" s="74" t="s">
        <v>563</v>
      </c>
    </row>
    <row r="12" customFormat="false" ht="15" hidden="false" customHeight="false" outlineLevel="0" collapsed="false">
      <c r="A12" s="3" t="s">
        <v>566</v>
      </c>
      <c r="B12" s="4" t="s">
        <v>165</v>
      </c>
      <c r="C12" s="19" t="s">
        <v>540</v>
      </c>
      <c r="D12" s="72" t="n">
        <v>0.000710244</v>
      </c>
      <c r="E12" s="72" t="n">
        <v>0.0012296833</v>
      </c>
      <c r="F12" s="72" t="n">
        <v>3.90366E-005</v>
      </c>
      <c r="G12" s="72" t="n">
        <v>0.0042460588</v>
      </c>
      <c r="H12" s="72" t="n">
        <v>0.0002832332</v>
      </c>
      <c r="I12" s="51" t="n">
        <v>50.8717868936</v>
      </c>
      <c r="J12" s="51" t="n">
        <v>2.2542613048</v>
      </c>
      <c r="K12" s="51" t="n">
        <v>427.1480112266</v>
      </c>
      <c r="L12" s="73" t="n">
        <v>0.457</v>
      </c>
      <c r="M12" s="75" t="s">
        <v>564</v>
      </c>
    </row>
    <row r="13" customFormat="false" ht="15" hidden="false" customHeight="false" outlineLevel="0" collapsed="false">
      <c r="A13" s="3" t="s">
        <v>566</v>
      </c>
      <c r="B13" s="4" t="s">
        <v>169</v>
      </c>
      <c r="C13" s="19" t="s">
        <v>540</v>
      </c>
      <c r="D13" s="72" t="n">
        <v>0.008355564</v>
      </c>
      <c r="E13" s="72" t="n">
        <v>0.0115067461</v>
      </c>
      <c r="F13" s="72" t="n">
        <v>0.0027768003</v>
      </c>
      <c r="G13" s="72" t="n">
        <v>0.0301847033</v>
      </c>
      <c r="H13" s="72" t="n">
        <v>0.0008772746</v>
      </c>
      <c r="I13" s="51" t="n">
        <v>630.5202214337</v>
      </c>
      <c r="J13" s="51" t="n">
        <v>134.8032160411</v>
      </c>
      <c r="K13" s="51" t="n">
        <v>4289.1930355853</v>
      </c>
      <c r="L13" s="73" t="n">
        <v>0.001</v>
      </c>
      <c r="M13" s="76" t="s">
        <v>565</v>
      </c>
    </row>
    <row r="14" customFormat="false" ht="15" hidden="false" customHeight="false" outlineLevel="0" collapsed="false">
      <c r="A14" s="3" t="s">
        <v>566</v>
      </c>
      <c r="B14" s="4" t="s">
        <v>172</v>
      </c>
      <c r="C14" s="19" t="s">
        <v>540</v>
      </c>
      <c r="D14" s="72" t="n">
        <v>0.000774504</v>
      </c>
      <c r="E14" s="72" t="n">
        <v>0.0012307996</v>
      </c>
      <c r="F14" s="72" t="n">
        <v>0.0001493348</v>
      </c>
      <c r="G14" s="72" t="n">
        <v>0.00376627</v>
      </c>
      <c r="H14" s="72" t="n">
        <v>0.0002982853</v>
      </c>
      <c r="I14" s="51" t="n">
        <v>57.5403850077</v>
      </c>
      <c r="J14" s="51" t="n">
        <v>9.8430948749</v>
      </c>
      <c r="K14" s="51" t="n">
        <v>424.8833998955</v>
      </c>
      <c r="L14" s="73" t="n">
        <v>0.363</v>
      </c>
      <c r="M14" s="75" t="s">
        <v>564</v>
      </c>
    </row>
    <row r="15" customFormat="false" ht="15" hidden="false" customHeight="false" outlineLevel="0" collapsed="false">
      <c r="A15" s="3" t="s">
        <v>566</v>
      </c>
      <c r="B15" s="4" t="s">
        <v>175</v>
      </c>
      <c r="C15" s="19" t="s">
        <v>540</v>
      </c>
      <c r="D15" s="72" t="n">
        <v>0.000647604</v>
      </c>
      <c r="E15" s="72" t="n">
        <v>0.0012345631</v>
      </c>
      <c r="F15" s="72" t="n">
        <v>0.0001513884</v>
      </c>
      <c r="G15" s="72" t="n">
        <v>0.0039617512</v>
      </c>
      <c r="H15" s="72" t="n">
        <v>0.0003005252</v>
      </c>
      <c r="I15" s="51" t="n">
        <v>58.5041312563</v>
      </c>
      <c r="J15" s="51" t="n">
        <v>9.1593643109</v>
      </c>
      <c r="K15" s="51" t="n">
        <v>425.5144774055</v>
      </c>
      <c r="L15" s="73" t="n">
        <v>0.3395</v>
      </c>
      <c r="M15" s="75" t="s">
        <v>564</v>
      </c>
    </row>
    <row r="16" customFormat="false" ht="15" hidden="false" customHeight="false" outlineLevel="0" collapsed="false">
      <c r="A16" s="3" t="s">
        <v>566</v>
      </c>
      <c r="B16" s="4" t="s">
        <v>177</v>
      </c>
      <c r="C16" s="19" t="s">
        <v>540</v>
      </c>
      <c r="D16" s="72" t="n">
        <v>0.001285884</v>
      </c>
      <c r="E16" s="72" t="n">
        <v>0.0021705466</v>
      </c>
      <c r="F16" s="72" t="n">
        <v>0.0003327304</v>
      </c>
      <c r="G16" s="72" t="n">
        <v>0.0064567912</v>
      </c>
      <c r="H16" s="72" t="n">
        <v>0.0005152647</v>
      </c>
      <c r="I16" s="51" t="n">
        <v>108.7168922192</v>
      </c>
      <c r="J16" s="51" t="n">
        <v>19.9638929241</v>
      </c>
      <c r="K16" s="51" t="n">
        <v>742.2149804384</v>
      </c>
      <c r="L16" s="73" t="n">
        <v>0.111</v>
      </c>
      <c r="M16" s="75" t="s">
        <v>564</v>
      </c>
    </row>
    <row r="17" customFormat="false" ht="26.85" hidden="false" customHeight="false" outlineLevel="0" collapsed="false">
      <c r="A17" s="4" t="s">
        <v>567</v>
      </c>
      <c r="B17" s="3" t="s">
        <v>562</v>
      </c>
      <c r="C17" s="19" t="s">
        <v>540</v>
      </c>
      <c r="D17" s="72" t="n">
        <v>1.764E-005</v>
      </c>
      <c r="E17" s="72" t="n">
        <v>1.76513E-005</v>
      </c>
      <c r="F17" s="72" t="n">
        <v>3.2349E-006</v>
      </c>
      <c r="G17" s="72" t="n">
        <v>4.74027E-005</v>
      </c>
      <c r="H17" s="72" t="n">
        <v>1.0625E-006</v>
      </c>
      <c r="I17" s="51" t="n">
        <v>1</v>
      </c>
      <c r="J17" s="51" t="n">
        <v>1</v>
      </c>
      <c r="K17" s="51" t="n">
        <v>1</v>
      </c>
      <c r="L17" s="73" t="n">
        <v>1</v>
      </c>
      <c r="M17" s="74" t="s">
        <v>563</v>
      </c>
    </row>
    <row r="18" customFormat="false" ht="26.85" hidden="false" customHeight="false" outlineLevel="0" collapsed="false">
      <c r="A18" s="4" t="s">
        <v>567</v>
      </c>
      <c r="B18" s="4" t="s">
        <v>165</v>
      </c>
      <c r="C18" s="19" t="s">
        <v>540</v>
      </c>
      <c r="D18" s="72" t="n">
        <v>0.001285884</v>
      </c>
      <c r="E18" s="72" t="n">
        <v>0.0016082676</v>
      </c>
      <c r="F18" s="72" t="n">
        <v>0.000243135</v>
      </c>
      <c r="G18" s="72" t="n">
        <v>0.0047374398</v>
      </c>
      <c r="H18" s="72" t="n">
        <v>0.0004214636</v>
      </c>
      <c r="I18" s="51" t="n">
        <v>82.4399778871</v>
      </c>
      <c r="J18" s="51" t="n">
        <v>15.5449316372</v>
      </c>
      <c r="K18" s="51" t="n">
        <v>526.3738654153</v>
      </c>
      <c r="L18" s="73" t="n">
        <v>0.2185</v>
      </c>
      <c r="M18" s="75" t="s">
        <v>564</v>
      </c>
    </row>
    <row r="19" customFormat="false" ht="26.85" hidden="false" customHeight="false" outlineLevel="0" collapsed="false">
      <c r="A19" s="4" t="s">
        <v>567</v>
      </c>
      <c r="B19" s="4" t="s">
        <v>169</v>
      </c>
      <c r="C19" s="19" t="s">
        <v>540</v>
      </c>
      <c r="D19" s="72" t="n">
        <v>0.001192734</v>
      </c>
      <c r="E19" s="72" t="n">
        <v>0.0018489539</v>
      </c>
      <c r="F19" s="72" t="n">
        <v>0.0002696498</v>
      </c>
      <c r="G19" s="72" t="n">
        <v>0.0056132797</v>
      </c>
      <c r="H19" s="72" t="n">
        <v>0.0004479628</v>
      </c>
      <c r="I19" s="51" t="n">
        <v>90.3875380401</v>
      </c>
      <c r="J19" s="51" t="n">
        <v>16.1972123043</v>
      </c>
      <c r="K19" s="51" t="n">
        <v>649.3910822967</v>
      </c>
      <c r="L19" s="73" t="n">
        <v>0.1595</v>
      </c>
      <c r="M19" s="75" t="s">
        <v>564</v>
      </c>
    </row>
    <row r="20" customFormat="false" ht="26.85" hidden="false" customHeight="false" outlineLevel="0" collapsed="false">
      <c r="A20" s="4" t="s">
        <v>567</v>
      </c>
      <c r="B20" s="4" t="s">
        <v>172</v>
      </c>
      <c r="C20" s="19" t="s">
        <v>540</v>
      </c>
      <c r="D20" s="72" t="n">
        <v>0.000774504</v>
      </c>
      <c r="E20" s="72" t="n">
        <v>0.0012307996</v>
      </c>
      <c r="F20" s="72" t="n">
        <v>0.0001493348</v>
      </c>
      <c r="G20" s="72" t="n">
        <v>0.00376627</v>
      </c>
      <c r="H20" s="72" t="n">
        <v>0.0002982853</v>
      </c>
      <c r="I20" s="51" t="n">
        <v>57.5403850077</v>
      </c>
      <c r="J20" s="51" t="n">
        <v>9.8430948749</v>
      </c>
      <c r="K20" s="51" t="n">
        <v>424.8833998955</v>
      </c>
      <c r="L20" s="73" t="n">
        <v>0.363</v>
      </c>
      <c r="M20" s="75" t="s">
        <v>564</v>
      </c>
    </row>
    <row r="21" customFormat="false" ht="26.85" hidden="false" customHeight="false" outlineLevel="0" collapsed="false">
      <c r="A21" s="4" t="s">
        <v>567</v>
      </c>
      <c r="B21" s="4" t="s">
        <v>175</v>
      </c>
      <c r="C21" s="19" t="s">
        <v>540</v>
      </c>
      <c r="D21" s="72" t="n">
        <v>0.000647604</v>
      </c>
      <c r="E21" s="72" t="n">
        <v>0.0012345631</v>
      </c>
      <c r="F21" s="72" t="n">
        <v>0.0001513884</v>
      </c>
      <c r="G21" s="72" t="n">
        <v>0.0039617512</v>
      </c>
      <c r="H21" s="72" t="n">
        <v>0.0003005252</v>
      </c>
      <c r="I21" s="51" t="n">
        <v>58.5041312563</v>
      </c>
      <c r="J21" s="51" t="n">
        <v>9.1593643109</v>
      </c>
      <c r="K21" s="51" t="n">
        <v>425.5144774055</v>
      </c>
      <c r="L21" s="73" t="n">
        <v>0.3395</v>
      </c>
      <c r="M21" s="75" t="s">
        <v>564</v>
      </c>
    </row>
    <row r="22" customFormat="false" ht="26.85" hidden="false" customHeight="false" outlineLevel="0" collapsed="false">
      <c r="A22" s="4" t="s">
        <v>567</v>
      </c>
      <c r="B22" s="4" t="s">
        <v>177</v>
      </c>
      <c r="C22" s="19" t="s">
        <v>540</v>
      </c>
      <c r="D22" s="72" t="n">
        <v>0.001285884</v>
      </c>
      <c r="E22" s="72" t="n">
        <v>0.0021705466</v>
      </c>
      <c r="F22" s="72" t="n">
        <v>0.0003327304</v>
      </c>
      <c r="G22" s="72" t="n">
        <v>0.0064567912</v>
      </c>
      <c r="H22" s="72" t="n">
        <v>0.0005152647</v>
      </c>
      <c r="I22" s="51" t="n">
        <v>108.7168922192</v>
      </c>
      <c r="J22" s="51" t="n">
        <v>19.9638929241</v>
      </c>
      <c r="K22" s="51" t="n">
        <v>742.2149804384</v>
      </c>
      <c r="L22" s="73" t="n">
        <v>0.111</v>
      </c>
      <c r="M22" s="75" t="s">
        <v>564</v>
      </c>
    </row>
    <row r="23" customFormat="false" ht="15" hidden="false" customHeight="false" outlineLevel="0" collapsed="false">
      <c r="A23" s="3" t="s">
        <v>568</v>
      </c>
      <c r="B23" s="3" t="s">
        <v>562</v>
      </c>
      <c r="C23" s="19" t="s">
        <v>540</v>
      </c>
      <c r="D23" s="72" t="n">
        <v>1.764E-005</v>
      </c>
      <c r="E23" s="72" t="n">
        <v>1.76513E-005</v>
      </c>
      <c r="F23" s="72" t="n">
        <v>3.2349E-006</v>
      </c>
      <c r="G23" s="72" t="n">
        <v>4.74027E-005</v>
      </c>
      <c r="H23" s="72" t="n">
        <v>1.0625E-006</v>
      </c>
      <c r="I23" s="51" t="n">
        <v>1</v>
      </c>
      <c r="J23" s="51" t="n">
        <v>1</v>
      </c>
      <c r="K23" s="51" t="n">
        <v>1</v>
      </c>
      <c r="L23" s="73" t="n">
        <v>1</v>
      </c>
      <c r="M23" s="74" t="s">
        <v>563</v>
      </c>
    </row>
    <row r="24" customFormat="false" ht="15" hidden="false" customHeight="false" outlineLevel="0" collapsed="false">
      <c r="A24" s="3" t="s">
        <v>568</v>
      </c>
      <c r="B24" s="4" t="s">
        <v>165</v>
      </c>
      <c r="C24" s="19" t="s">
        <v>540</v>
      </c>
      <c r="D24" s="72" t="n">
        <v>0.000437616</v>
      </c>
      <c r="E24" s="72" t="n">
        <v>0.0006795255</v>
      </c>
      <c r="F24" s="72" t="n">
        <v>9.37397E-005</v>
      </c>
      <c r="G24" s="72" t="n">
        <v>0.0020389022</v>
      </c>
      <c r="H24" s="72" t="n">
        <v>0.0001616956</v>
      </c>
      <c r="I24" s="51" t="n">
        <v>33.136613222</v>
      </c>
      <c r="J24" s="51" t="n">
        <v>6.0880274164</v>
      </c>
      <c r="K24" s="51" t="n">
        <v>224.3320656055</v>
      </c>
      <c r="L24" s="73" t="n">
        <v>0.546</v>
      </c>
      <c r="M24" s="75" t="s">
        <v>564</v>
      </c>
    </row>
    <row r="25" customFormat="false" ht="15" hidden="false" customHeight="false" outlineLevel="0" collapsed="false">
      <c r="A25" s="3" t="s">
        <v>568</v>
      </c>
      <c r="B25" s="4" t="s">
        <v>169</v>
      </c>
      <c r="C25" s="19" t="s">
        <v>540</v>
      </c>
      <c r="D25" s="72" t="n">
        <v>0.008355564</v>
      </c>
      <c r="E25" s="72" t="n">
        <v>0.0114974766</v>
      </c>
      <c r="F25" s="72" t="n">
        <v>0.0027781404</v>
      </c>
      <c r="G25" s="72" t="n">
        <v>0.0301377883</v>
      </c>
      <c r="H25" s="72" t="n">
        <v>0.0008772746</v>
      </c>
      <c r="I25" s="51" t="n">
        <v>629.9000669461</v>
      </c>
      <c r="J25" s="51" t="n">
        <v>134.7157209314</v>
      </c>
      <c r="K25" s="51" t="n">
        <v>4289.1930355853</v>
      </c>
      <c r="L25" s="73" t="n">
        <v>0.001</v>
      </c>
      <c r="M25" s="76" t="s">
        <v>565</v>
      </c>
    </row>
    <row r="26" customFormat="false" ht="15" hidden="false" customHeight="false" outlineLevel="0" collapsed="false">
      <c r="A26" s="3" t="s">
        <v>568</v>
      </c>
      <c r="B26" s="4" t="s">
        <v>172</v>
      </c>
      <c r="C26" s="19" t="s">
        <v>540</v>
      </c>
      <c r="D26" s="72" t="n">
        <v>0.000647604</v>
      </c>
      <c r="E26" s="72" t="n">
        <v>0.0008823218</v>
      </c>
      <c r="F26" s="72" t="n">
        <v>0.0001049667</v>
      </c>
      <c r="G26" s="72" t="n">
        <v>0.002737092</v>
      </c>
      <c r="H26" s="72" t="n">
        <v>0.0002011212</v>
      </c>
      <c r="I26" s="51" t="n">
        <v>41.2561403509</v>
      </c>
      <c r="J26" s="51" t="n">
        <v>6.8688541428</v>
      </c>
      <c r="K26" s="51" t="n">
        <v>285.6677072303</v>
      </c>
      <c r="L26" s="73" t="n">
        <v>0.52</v>
      </c>
      <c r="M26" s="75" t="s">
        <v>564</v>
      </c>
    </row>
    <row r="27" customFormat="false" ht="15" hidden="false" customHeight="false" outlineLevel="0" collapsed="false">
      <c r="A27" s="3" t="s">
        <v>568</v>
      </c>
      <c r="B27" s="4" t="s">
        <v>175</v>
      </c>
      <c r="C27" s="19" t="s">
        <v>540</v>
      </c>
      <c r="D27" s="72" t="n">
        <v>0.000647604</v>
      </c>
      <c r="E27" s="72" t="n">
        <v>0.0010462716</v>
      </c>
      <c r="F27" s="72" t="n">
        <v>0.0001198073</v>
      </c>
      <c r="G27" s="72" t="n">
        <v>0.0032869895</v>
      </c>
      <c r="H27" s="72" t="n">
        <v>0.0002479692</v>
      </c>
      <c r="I27" s="51" t="n">
        <v>49.3766128457</v>
      </c>
      <c r="J27" s="51" t="n">
        <v>8.1290483061</v>
      </c>
      <c r="K27" s="51" t="n">
        <v>358.8010488632</v>
      </c>
      <c r="L27" s="73" t="n">
        <v>0.4105</v>
      </c>
      <c r="M27" s="75" t="s">
        <v>564</v>
      </c>
    </row>
    <row r="28" customFormat="false" ht="15" hidden="false" customHeight="false" outlineLevel="0" collapsed="false">
      <c r="A28" s="3" t="s">
        <v>568</v>
      </c>
      <c r="B28" s="4" t="s">
        <v>177</v>
      </c>
      <c r="C28" s="19" t="s">
        <v>540</v>
      </c>
      <c r="D28" s="72" t="n">
        <v>0.001781604</v>
      </c>
      <c r="E28" s="72" t="n">
        <v>0.0028427649</v>
      </c>
      <c r="F28" s="72" t="n">
        <v>0.0005108708</v>
      </c>
      <c r="G28" s="72" t="n">
        <v>0.0084293586</v>
      </c>
      <c r="H28" s="72" t="n">
        <v>0.0006417295</v>
      </c>
      <c r="I28" s="51" t="n">
        <v>146.912487628</v>
      </c>
      <c r="J28" s="51" t="n">
        <v>30.0146849384</v>
      </c>
      <c r="K28" s="51" t="n">
        <v>941.4041267018</v>
      </c>
      <c r="L28" s="73" t="n">
        <v>0.021</v>
      </c>
      <c r="M28" s="76" t="s">
        <v>565</v>
      </c>
    </row>
    <row r="29" customFormat="false" ht="15" hidden="false" customHeight="false" outlineLevel="0" collapsed="false">
      <c r="A29" s="3" t="s">
        <v>569</v>
      </c>
      <c r="B29" s="3" t="s">
        <v>562</v>
      </c>
      <c r="C29" s="19" t="s">
        <v>540</v>
      </c>
      <c r="D29" s="72" t="n">
        <v>1.764E-005</v>
      </c>
      <c r="E29" s="72" t="n">
        <v>1.76513E-005</v>
      </c>
      <c r="F29" s="72" t="n">
        <v>3.2349E-006</v>
      </c>
      <c r="G29" s="72" t="n">
        <v>4.74027E-005</v>
      </c>
      <c r="H29" s="72" t="n">
        <v>1.0625E-006</v>
      </c>
      <c r="I29" s="51" t="n">
        <v>1</v>
      </c>
      <c r="J29" s="51" t="n">
        <v>1</v>
      </c>
      <c r="K29" s="51" t="n">
        <v>1</v>
      </c>
      <c r="L29" s="73" t="n">
        <v>1</v>
      </c>
      <c r="M29" s="74" t="s">
        <v>563</v>
      </c>
    </row>
    <row r="30" customFormat="false" ht="15" hidden="false" customHeight="false" outlineLevel="0" collapsed="false">
      <c r="A30" s="3" t="s">
        <v>569</v>
      </c>
      <c r="B30" s="4" t="s">
        <v>165</v>
      </c>
      <c r="C30" s="19" t="s">
        <v>540</v>
      </c>
      <c r="D30" s="72" t="n">
        <v>0.000437616</v>
      </c>
      <c r="E30" s="72" t="n">
        <v>0.0006164261</v>
      </c>
      <c r="F30" s="72" t="n">
        <v>8.5454E-005</v>
      </c>
      <c r="G30" s="72" t="n">
        <v>0.0018683016</v>
      </c>
      <c r="H30" s="72" t="n">
        <v>0.0001454465</v>
      </c>
      <c r="I30" s="51" t="n">
        <v>29.9926261095</v>
      </c>
      <c r="J30" s="51" t="n">
        <v>5.795732668</v>
      </c>
      <c r="K30" s="51" t="n">
        <v>197.5515333439</v>
      </c>
      <c r="L30" s="73" t="n">
        <v>0.5765</v>
      </c>
      <c r="M30" s="75" t="s">
        <v>564</v>
      </c>
    </row>
    <row r="31" customFormat="false" ht="15" hidden="false" customHeight="false" outlineLevel="0" collapsed="false">
      <c r="A31" s="3" t="s">
        <v>569</v>
      </c>
      <c r="B31" s="4" t="s">
        <v>169</v>
      </c>
      <c r="C31" s="19" t="s">
        <v>540</v>
      </c>
      <c r="D31" s="72" t="n">
        <v>0.008355564</v>
      </c>
      <c r="E31" s="72" t="n">
        <v>0.0114977671</v>
      </c>
      <c r="F31" s="72" t="n">
        <v>0.0027767982</v>
      </c>
      <c r="G31" s="72" t="n">
        <v>0.0301377883</v>
      </c>
      <c r="H31" s="72" t="n">
        <v>0.0008772746</v>
      </c>
      <c r="I31" s="51" t="n">
        <v>629.9000669461</v>
      </c>
      <c r="J31" s="51" t="n">
        <v>134.7157209314</v>
      </c>
      <c r="K31" s="51" t="n">
        <v>4289.1930355853</v>
      </c>
      <c r="L31" s="73" t="n">
        <v>0.001</v>
      </c>
      <c r="M31" s="76" t="s">
        <v>565</v>
      </c>
    </row>
    <row r="32" customFormat="false" ht="15" hidden="false" customHeight="false" outlineLevel="0" collapsed="false">
      <c r="A32" s="3" t="s">
        <v>569</v>
      </c>
      <c r="B32" s="4" t="s">
        <v>172</v>
      </c>
      <c r="C32" s="19" t="s">
        <v>540</v>
      </c>
      <c r="D32" s="72" t="n">
        <v>0.000647604</v>
      </c>
      <c r="E32" s="72" t="n">
        <v>0.0008951235</v>
      </c>
      <c r="F32" s="72" t="n">
        <v>0.0001038598</v>
      </c>
      <c r="G32" s="72" t="n">
        <v>0.0027691335</v>
      </c>
      <c r="H32" s="72" t="n">
        <v>0.0002051243</v>
      </c>
      <c r="I32" s="51" t="n">
        <v>41.8275599592</v>
      </c>
      <c r="J32" s="51" t="n">
        <v>6.9793583183</v>
      </c>
      <c r="K32" s="51" t="n">
        <v>298.7638822084</v>
      </c>
      <c r="L32" s="73" t="n">
        <v>0.503</v>
      </c>
      <c r="M32" s="75" t="s">
        <v>564</v>
      </c>
    </row>
    <row r="33" customFormat="false" ht="15" hidden="false" customHeight="false" outlineLevel="0" collapsed="false">
      <c r="A33" s="3" t="s">
        <v>569</v>
      </c>
      <c r="B33" s="4" t="s">
        <v>175</v>
      </c>
      <c r="C33" s="19" t="s">
        <v>540</v>
      </c>
      <c r="D33" s="72" t="n">
        <v>0.000647604</v>
      </c>
      <c r="E33" s="72" t="n">
        <v>0.0011451974</v>
      </c>
      <c r="F33" s="72" t="n">
        <v>0.000146129</v>
      </c>
      <c r="G33" s="72" t="n">
        <v>0.003579924</v>
      </c>
      <c r="H33" s="72" t="n">
        <v>0.0002775453</v>
      </c>
      <c r="I33" s="51" t="n">
        <v>54.1811012143</v>
      </c>
      <c r="J33" s="51" t="n">
        <v>9.4347038301</v>
      </c>
      <c r="K33" s="51" t="n">
        <v>384.5739043856</v>
      </c>
      <c r="L33" s="73" t="n">
        <v>0.364</v>
      </c>
      <c r="M33" s="75" t="s">
        <v>564</v>
      </c>
    </row>
    <row r="34" customFormat="false" ht="15" hidden="false" customHeight="false" outlineLevel="0" collapsed="false">
      <c r="A34" s="3" t="s">
        <v>569</v>
      </c>
      <c r="B34" s="4" t="s">
        <v>177</v>
      </c>
      <c r="C34" s="19" t="s">
        <v>540</v>
      </c>
      <c r="D34" s="72" t="n">
        <v>0.001783224</v>
      </c>
      <c r="E34" s="72" t="n">
        <v>0.002740636</v>
      </c>
      <c r="F34" s="72" t="n">
        <v>0.0004819318</v>
      </c>
      <c r="G34" s="72" t="n">
        <v>0.0080396291</v>
      </c>
      <c r="H34" s="72" t="n">
        <v>0.0006229903</v>
      </c>
      <c r="I34" s="51" t="n">
        <v>143.7021805019</v>
      </c>
      <c r="J34" s="51" t="n">
        <v>28.2828670502</v>
      </c>
      <c r="K34" s="51" t="n">
        <v>929.723504198</v>
      </c>
      <c r="L34" s="73" t="n">
        <v>0.032</v>
      </c>
      <c r="M34" s="76" t="s">
        <v>565</v>
      </c>
    </row>
    <row r="35" customFormat="false" ht="15" hidden="false" customHeight="false" outlineLevel="0" collapsed="false">
      <c r="A35" s="3" t="s">
        <v>561</v>
      </c>
      <c r="B35" s="3" t="s">
        <v>562</v>
      </c>
      <c r="C35" s="19" t="s">
        <v>546</v>
      </c>
      <c r="D35" s="72" t="n">
        <v>1.764E-005</v>
      </c>
      <c r="E35" s="72" t="n">
        <v>1.76513E-005</v>
      </c>
      <c r="F35" s="72" t="n">
        <v>3.2349E-006</v>
      </c>
      <c r="G35" s="72" t="n">
        <v>4.74027E-005</v>
      </c>
      <c r="H35" s="72" t="n">
        <v>1.0625E-006</v>
      </c>
      <c r="I35" s="51" t="n">
        <v>1</v>
      </c>
      <c r="J35" s="51" t="n">
        <v>1</v>
      </c>
      <c r="K35" s="51" t="n">
        <v>1</v>
      </c>
      <c r="L35" s="73" t="n">
        <v>1</v>
      </c>
      <c r="M35" s="74" t="s">
        <v>563</v>
      </c>
    </row>
    <row r="36" customFormat="false" ht="15" hidden="false" customHeight="false" outlineLevel="0" collapsed="false">
      <c r="A36" s="3" t="s">
        <v>561</v>
      </c>
      <c r="B36" s="4" t="s">
        <v>165</v>
      </c>
      <c r="C36" s="19" t="s">
        <v>546</v>
      </c>
      <c r="D36" s="72" t="n">
        <v>8.61606E-005</v>
      </c>
      <c r="E36" s="72" t="n">
        <v>0.0001127805</v>
      </c>
      <c r="F36" s="72" t="n">
        <v>1.66303E-005</v>
      </c>
      <c r="G36" s="72" t="n">
        <v>0.0003242192</v>
      </c>
      <c r="H36" s="72" t="n">
        <v>1.68082E-005</v>
      </c>
      <c r="I36" s="51" t="n">
        <v>5.2951484926</v>
      </c>
      <c r="J36" s="51" t="n">
        <v>1.3883026905</v>
      </c>
      <c r="K36" s="51" t="n">
        <v>34.714517734</v>
      </c>
      <c r="L36" s="73" t="n">
        <v>0.9785</v>
      </c>
      <c r="M36" s="74" t="s">
        <v>563</v>
      </c>
    </row>
    <row r="37" customFormat="false" ht="15" hidden="false" customHeight="false" outlineLevel="0" collapsed="false">
      <c r="A37" s="3" t="s">
        <v>561</v>
      </c>
      <c r="B37" s="4" t="s">
        <v>169</v>
      </c>
      <c r="C37" s="19" t="s">
        <v>546</v>
      </c>
      <c r="D37" s="72" t="n">
        <v>0.008355564</v>
      </c>
      <c r="E37" s="72" t="n">
        <v>0.0115067461</v>
      </c>
      <c r="F37" s="72" t="n">
        <v>0.0027768003</v>
      </c>
      <c r="G37" s="72" t="n">
        <v>0.0301847033</v>
      </c>
      <c r="H37" s="72" t="n">
        <v>0.0008772746</v>
      </c>
      <c r="I37" s="51" t="n">
        <v>630.5202214337</v>
      </c>
      <c r="J37" s="51" t="n">
        <v>134.8032160411</v>
      </c>
      <c r="K37" s="51" t="n">
        <v>4289.1930355853</v>
      </c>
      <c r="L37" s="73" t="n">
        <v>0.001</v>
      </c>
      <c r="M37" s="76" t="s">
        <v>565</v>
      </c>
    </row>
    <row r="38" customFormat="false" ht="15" hidden="false" customHeight="false" outlineLevel="0" collapsed="false">
      <c r="A38" s="3" t="s">
        <v>561</v>
      </c>
      <c r="B38" s="4" t="s">
        <v>172</v>
      </c>
      <c r="C38" s="19" t="s">
        <v>546</v>
      </c>
      <c r="D38" s="72" t="n">
        <v>8.61606E-005</v>
      </c>
      <c r="E38" s="72" t="n">
        <v>0.0001183018</v>
      </c>
      <c r="F38" s="72" t="n">
        <v>1.67691E-005</v>
      </c>
      <c r="G38" s="72" t="n">
        <v>0.0003527013</v>
      </c>
      <c r="H38" s="72" t="n">
        <v>1.82807E-005</v>
      </c>
      <c r="I38" s="51" t="n">
        <v>5.6343048228</v>
      </c>
      <c r="J38" s="51" t="n">
        <v>1.4912458669</v>
      </c>
      <c r="K38" s="51" t="n">
        <v>39.0281056331</v>
      </c>
      <c r="L38" s="73" t="n">
        <v>0.974</v>
      </c>
      <c r="M38" s="74" t="s">
        <v>563</v>
      </c>
    </row>
    <row r="39" customFormat="false" ht="15" hidden="false" customHeight="false" outlineLevel="0" collapsed="false">
      <c r="A39" s="3" t="s">
        <v>561</v>
      </c>
      <c r="B39" s="4" t="s">
        <v>175</v>
      </c>
      <c r="C39" s="19" t="s">
        <v>546</v>
      </c>
      <c r="D39" s="72" t="n">
        <v>9.57348E-005</v>
      </c>
      <c r="E39" s="72" t="n">
        <v>0.000125184</v>
      </c>
      <c r="F39" s="72" t="n">
        <v>2.10566E-005</v>
      </c>
      <c r="G39" s="72" t="n">
        <v>0.0003732115</v>
      </c>
      <c r="H39" s="72" t="n">
        <v>2.04512E-005</v>
      </c>
      <c r="I39" s="51" t="n">
        <v>5.9831378308</v>
      </c>
      <c r="J39" s="51" t="n">
        <v>1.5697950662</v>
      </c>
      <c r="K39" s="51" t="n">
        <v>42.5186362447</v>
      </c>
      <c r="L39" s="73" t="n">
        <v>0.972</v>
      </c>
      <c r="M39" s="74" t="s">
        <v>563</v>
      </c>
    </row>
    <row r="40" customFormat="false" ht="15" hidden="false" customHeight="false" outlineLevel="0" collapsed="false">
      <c r="A40" s="3" t="s">
        <v>561</v>
      </c>
      <c r="B40" s="4" t="s">
        <v>177</v>
      </c>
      <c r="C40" s="19" t="s">
        <v>546</v>
      </c>
      <c r="D40" s="72" t="n">
        <v>8.06364E-005</v>
      </c>
      <c r="E40" s="72" t="n">
        <v>9.49325E-005</v>
      </c>
      <c r="F40" s="72" t="n">
        <v>1.12135E-005</v>
      </c>
      <c r="G40" s="72" t="n">
        <v>0.000279819</v>
      </c>
      <c r="H40" s="72" t="n">
        <v>1.26093E-005</v>
      </c>
      <c r="I40" s="51" t="n">
        <v>4.1566987676</v>
      </c>
      <c r="J40" s="51" t="n">
        <v>1.1213253719</v>
      </c>
      <c r="K40" s="51" t="n">
        <v>30.3070637828</v>
      </c>
      <c r="L40" s="73" t="n">
        <v>0.988</v>
      </c>
      <c r="M40" s="74" t="s">
        <v>563</v>
      </c>
    </row>
    <row r="41" customFormat="false" ht="15" hidden="false" customHeight="false" outlineLevel="0" collapsed="false">
      <c r="A41" s="3" t="s">
        <v>566</v>
      </c>
      <c r="B41" s="3" t="s">
        <v>562</v>
      </c>
      <c r="C41" s="19" t="s">
        <v>546</v>
      </c>
      <c r="D41" s="72" t="n">
        <v>1.764E-005</v>
      </c>
      <c r="E41" s="72" t="n">
        <v>1.76513E-005</v>
      </c>
      <c r="F41" s="72" t="n">
        <v>3.2349E-006</v>
      </c>
      <c r="G41" s="72" t="n">
        <v>4.74027E-005</v>
      </c>
      <c r="H41" s="72" t="n">
        <v>1.0625E-006</v>
      </c>
      <c r="I41" s="51" t="n">
        <v>1</v>
      </c>
      <c r="J41" s="51" t="n">
        <v>1</v>
      </c>
      <c r="K41" s="51" t="n">
        <v>1</v>
      </c>
      <c r="L41" s="73" t="n">
        <v>1</v>
      </c>
      <c r="M41" s="74" t="s">
        <v>563</v>
      </c>
    </row>
    <row r="42" customFormat="false" ht="15" hidden="false" customHeight="false" outlineLevel="0" collapsed="false">
      <c r="A42" s="3" t="s">
        <v>566</v>
      </c>
      <c r="B42" s="4" t="s">
        <v>165</v>
      </c>
      <c r="C42" s="19" t="s">
        <v>546</v>
      </c>
      <c r="D42" s="72" t="n">
        <v>8.25156E-005</v>
      </c>
      <c r="E42" s="72" t="n">
        <v>0.0001005463</v>
      </c>
      <c r="F42" s="72" t="n">
        <v>1.34967E-005</v>
      </c>
      <c r="G42" s="72" t="n">
        <v>0.000301173</v>
      </c>
      <c r="H42" s="72" t="n">
        <v>1.33247E-005</v>
      </c>
      <c r="I42" s="51" t="n">
        <v>4.5728825454</v>
      </c>
      <c r="J42" s="51" t="n">
        <v>1.1176072513</v>
      </c>
      <c r="K42" s="51" t="n">
        <v>30.9872816245</v>
      </c>
      <c r="L42" s="73" t="n">
        <v>0.984</v>
      </c>
      <c r="M42" s="74" t="s">
        <v>563</v>
      </c>
    </row>
    <row r="43" customFormat="false" ht="15" hidden="false" customHeight="false" outlineLevel="0" collapsed="false">
      <c r="A43" s="3" t="s">
        <v>566</v>
      </c>
      <c r="B43" s="4" t="s">
        <v>169</v>
      </c>
      <c r="C43" s="19" t="s">
        <v>546</v>
      </c>
      <c r="D43" s="72" t="n">
        <v>0.008355564</v>
      </c>
      <c r="E43" s="72" t="n">
        <v>0.0115067461</v>
      </c>
      <c r="F43" s="72" t="n">
        <v>0.0027768003</v>
      </c>
      <c r="G43" s="72" t="n">
        <v>0.0301847033</v>
      </c>
      <c r="H43" s="72" t="n">
        <v>0.0008772746</v>
      </c>
      <c r="I43" s="51" t="n">
        <v>630.5202214337</v>
      </c>
      <c r="J43" s="51" t="n">
        <v>134.8032160411</v>
      </c>
      <c r="K43" s="51" t="n">
        <v>4289.1930355853</v>
      </c>
      <c r="L43" s="73" t="n">
        <v>0.001</v>
      </c>
      <c r="M43" s="76" t="s">
        <v>565</v>
      </c>
    </row>
    <row r="44" customFormat="false" ht="15" hidden="false" customHeight="false" outlineLevel="0" collapsed="false">
      <c r="A44" s="3" t="s">
        <v>566</v>
      </c>
      <c r="B44" s="4" t="s">
        <v>172</v>
      </c>
      <c r="C44" s="19" t="s">
        <v>546</v>
      </c>
      <c r="D44" s="72" t="n">
        <v>8.44434E-005</v>
      </c>
      <c r="E44" s="72" t="n">
        <v>0.0001076423</v>
      </c>
      <c r="F44" s="72" t="n">
        <v>1.91625E-005</v>
      </c>
      <c r="G44" s="72" t="n">
        <v>0.0002991914</v>
      </c>
      <c r="H44" s="72" t="n">
        <v>1.39372E-005</v>
      </c>
      <c r="I44" s="51" t="n">
        <v>5.2449159752</v>
      </c>
      <c r="J44" s="51" t="n">
        <v>1.6375565085</v>
      </c>
      <c r="K44" s="51" t="n">
        <v>33.6259508605</v>
      </c>
      <c r="L44" s="73" t="n">
        <v>0.987</v>
      </c>
      <c r="M44" s="74" t="s">
        <v>563</v>
      </c>
    </row>
    <row r="45" customFormat="false" ht="15" hidden="false" customHeight="false" outlineLevel="0" collapsed="false">
      <c r="A45" s="3" t="s">
        <v>566</v>
      </c>
      <c r="B45" s="4" t="s">
        <v>175</v>
      </c>
      <c r="C45" s="19" t="s">
        <v>546</v>
      </c>
      <c r="D45" s="72" t="n">
        <v>8.06364E-005</v>
      </c>
      <c r="E45" s="72" t="n">
        <v>0.0001057895</v>
      </c>
      <c r="F45" s="72" t="n">
        <v>1.93957E-005</v>
      </c>
      <c r="G45" s="72" t="n">
        <v>0.0003048608</v>
      </c>
      <c r="H45" s="72" t="n">
        <v>1.40212E-005</v>
      </c>
      <c r="I45" s="51" t="n">
        <v>5.1367510005</v>
      </c>
      <c r="J45" s="51" t="n">
        <v>1.6151501086</v>
      </c>
      <c r="K45" s="51" t="n">
        <v>32.7198081999</v>
      </c>
      <c r="L45" s="73" t="n">
        <v>0.986</v>
      </c>
      <c r="M45" s="74" t="s">
        <v>563</v>
      </c>
    </row>
    <row r="46" customFormat="false" ht="15" hidden="false" customHeight="false" outlineLevel="0" collapsed="false">
      <c r="A46" s="3" t="s">
        <v>566</v>
      </c>
      <c r="B46" s="4" t="s">
        <v>177</v>
      </c>
      <c r="C46" s="19" t="s">
        <v>546</v>
      </c>
      <c r="D46" s="72" t="n">
        <v>9.97848E-005</v>
      </c>
      <c r="E46" s="72" t="n">
        <v>0.0001374972</v>
      </c>
      <c r="F46" s="72" t="n">
        <v>2.78489E-005</v>
      </c>
      <c r="G46" s="72" t="n">
        <v>0.0003809049</v>
      </c>
      <c r="H46" s="72" t="n">
        <v>2.31554E-005</v>
      </c>
      <c r="I46" s="51" t="n">
        <v>6.9799159993</v>
      </c>
      <c r="J46" s="51" t="n">
        <v>2.0397465465</v>
      </c>
      <c r="K46" s="51" t="n">
        <v>44.8964668411</v>
      </c>
      <c r="L46" s="73" t="n">
        <v>0.968</v>
      </c>
      <c r="M46" s="74" t="s">
        <v>563</v>
      </c>
    </row>
    <row r="47" customFormat="false" ht="26.85" hidden="false" customHeight="false" outlineLevel="0" collapsed="false">
      <c r="A47" s="4" t="s">
        <v>567</v>
      </c>
      <c r="B47" s="3" t="s">
        <v>562</v>
      </c>
      <c r="C47" s="19" t="s">
        <v>546</v>
      </c>
      <c r="D47" s="72" t="n">
        <v>1.764E-005</v>
      </c>
      <c r="E47" s="72" t="n">
        <v>1.76513E-005</v>
      </c>
      <c r="F47" s="72" t="n">
        <v>3.2349E-006</v>
      </c>
      <c r="G47" s="72" t="n">
        <v>4.74027E-005</v>
      </c>
      <c r="H47" s="72" t="n">
        <v>1.0625E-006</v>
      </c>
      <c r="I47" s="51" t="n">
        <v>1</v>
      </c>
      <c r="J47" s="51" t="n">
        <v>1</v>
      </c>
      <c r="K47" s="51" t="n">
        <v>1</v>
      </c>
      <c r="L47" s="73" t="n">
        <v>1</v>
      </c>
      <c r="M47" s="74" t="s">
        <v>563</v>
      </c>
    </row>
    <row r="48" customFormat="false" ht="26.85" hidden="false" customHeight="false" outlineLevel="0" collapsed="false">
      <c r="A48" s="4" t="s">
        <v>567</v>
      </c>
      <c r="B48" s="4" t="s">
        <v>165</v>
      </c>
      <c r="C48" s="19" t="s">
        <v>546</v>
      </c>
      <c r="D48" s="72" t="n">
        <v>9.97848E-005</v>
      </c>
      <c r="E48" s="72" t="n">
        <v>0.0001271894</v>
      </c>
      <c r="F48" s="72" t="n">
        <v>2.52944E-005</v>
      </c>
      <c r="G48" s="72" t="n">
        <v>0.000345026</v>
      </c>
      <c r="H48" s="72" t="n">
        <v>1.92222E-005</v>
      </c>
      <c r="I48" s="51" t="n">
        <v>6.4868443609</v>
      </c>
      <c r="J48" s="51" t="n">
        <v>1.9735739423</v>
      </c>
      <c r="K48" s="51" t="n">
        <v>41.0234212914</v>
      </c>
      <c r="L48" s="73" t="n">
        <v>0.9765</v>
      </c>
      <c r="M48" s="74" t="s">
        <v>563</v>
      </c>
    </row>
    <row r="49" customFormat="false" ht="26.85" hidden="false" customHeight="false" outlineLevel="0" collapsed="false">
      <c r="A49" s="4" t="s">
        <v>567</v>
      </c>
      <c r="B49" s="4" t="s">
        <v>169</v>
      </c>
      <c r="C49" s="19" t="s">
        <v>546</v>
      </c>
      <c r="D49" s="72" t="n">
        <v>0.001192734</v>
      </c>
      <c r="E49" s="72" t="n">
        <v>0.0018489539</v>
      </c>
      <c r="F49" s="72" t="n">
        <v>0.0002696498</v>
      </c>
      <c r="G49" s="72" t="n">
        <v>0.0056132797</v>
      </c>
      <c r="H49" s="72" t="n">
        <v>0.0004479628</v>
      </c>
      <c r="I49" s="51" t="n">
        <v>90.3875380401</v>
      </c>
      <c r="J49" s="51" t="n">
        <v>16.1972123043</v>
      </c>
      <c r="K49" s="51" t="n">
        <v>649.3910822967</v>
      </c>
      <c r="L49" s="73" t="n">
        <v>0.1595</v>
      </c>
      <c r="M49" s="75" t="s">
        <v>564</v>
      </c>
    </row>
    <row r="50" customFormat="false" ht="26.85" hidden="false" customHeight="false" outlineLevel="0" collapsed="false">
      <c r="A50" s="4" t="s">
        <v>567</v>
      </c>
      <c r="B50" s="4" t="s">
        <v>172</v>
      </c>
      <c r="C50" s="19" t="s">
        <v>546</v>
      </c>
      <c r="D50" s="72" t="n">
        <v>8.44434E-005</v>
      </c>
      <c r="E50" s="72" t="n">
        <v>0.0001076423</v>
      </c>
      <c r="F50" s="72" t="n">
        <v>1.91625E-005</v>
      </c>
      <c r="G50" s="72" t="n">
        <v>0.0002991914</v>
      </c>
      <c r="H50" s="72" t="n">
        <v>1.39372E-005</v>
      </c>
      <c r="I50" s="51" t="n">
        <v>5.2449159752</v>
      </c>
      <c r="J50" s="51" t="n">
        <v>1.6375565085</v>
      </c>
      <c r="K50" s="51" t="n">
        <v>33.6259508605</v>
      </c>
      <c r="L50" s="73" t="n">
        <v>0.987</v>
      </c>
      <c r="M50" s="74" t="s">
        <v>563</v>
      </c>
    </row>
    <row r="51" customFormat="false" ht="26.85" hidden="false" customHeight="false" outlineLevel="0" collapsed="false">
      <c r="A51" s="4" t="s">
        <v>567</v>
      </c>
      <c r="B51" s="4" t="s">
        <v>175</v>
      </c>
      <c r="C51" s="19" t="s">
        <v>546</v>
      </c>
      <c r="D51" s="72" t="n">
        <v>8.06364E-005</v>
      </c>
      <c r="E51" s="72" t="n">
        <v>0.0001057895</v>
      </c>
      <c r="F51" s="72" t="n">
        <v>1.93957E-005</v>
      </c>
      <c r="G51" s="72" t="n">
        <v>0.0003048608</v>
      </c>
      <c r="H51" s="72" t="n">
        <v>1.40212E-005</v>
      </c>
      <c r="I51" s="51" t="n">
        <v>5.1367510005</v>
      </c>
      <c r="J51" s="51" t="n">
        <v>1.6151501086</v>
      </c>
      <c r="K51" s="51" t="n">
        <v>32.7198081999</v>
      </c>
      <c r="L51" s="73" t="n">
        <v>0.986</v>
      </c>
      <c r="M51" s="74" t="s">
        <v>563</v>
      </c>
    </row>
    <row r="52" customFormat="false" ht="26.85" hidden="false" customHeight="false" outlineLevel="0" collapsed="false">
      <c r="A52" s="4" t="s">
        <v>567</v>
      </c>
      <c r="B52" s="4" t="s">
        <v>177</v>
      </c>
      <c r="C52" s="19" t="s">
        <v>546</v>
      </c>
      <c r="D52" s="72" t="n">
        <v>9.97848E-005</v>
      </c>
      <c r="E52" s="72" t="n">
        <v>0.0001374972</v>
      </c>
      <c r="F52" s="72" t="n">
        <v>2.78489E-005</v>
      </c>
      <c r="G52" s="72" t="n">
        <v>0.0003809049</v>
      </c>
      <c r="H52" s="72" t="n">
        <v>2.31554E-005</v>
      </c>
      <c r="I52" s="51" t="n">
        <v>6.9799159993</v>
      </c>
      <c r="J52" s="51" t="n">
        <v>2.0397465465</v>
      </c>
      <c r="K52" s="51" t="n">
        <v>44.8964668411</v>
      </c>
      <c r="L52" s="73" t="n">
        <v>0.968</v>
      </c>
      <c r="M52" s="74" t="s">
        <v>563</v>
      </c>
    </row>
    <row r="53" customFormat="false" ht="15" hidden="false" customHeight="false" outlineLevel="0" collapsed="false">
      <c r="A53" s="3" t="s">
        <v>568</v>
      </c>
      <c r="B53" s="3" t="s">
        <v>562</v>
      </c>
      <c r="C53" s="19" t="s">
        <v>546</v>
      </c>
      <c r="D53" s="72" t="n">
        <v>1.764E-005</v>
      </c>
      <c r="E53" s="72" t="n">
        <v>1.76513E-005</v>
      </c>
      <c r="F53" s="72" t="n">
        <v>3.2349E-006</v>
      </c>
      <c r="G53" s="72" t="n">
        <v>4.74027E-005</v>
      </c>
      <c r="H53" s="72" t="n">
        <v>1.0625E-006</v>
      </c>
      <c r="I53" s="51" t="n">
        <v>1</v>
      </c>
      <c r="J53" s="51" t="n">
        <v>1</v>
      </c>
      <c r="K53" s="51" t="n">
        <v>1</v>
      </c>
      <c r="L53" s="73" t="n">
        <v>1</v>
      </c>
      <c r="M53" s="74" t="s">
        <v>563</v>
      </c>
    </row>
    <row r="54" customFormat="false" ht="15" hidden="false" customHeight="false" outlineLevel="0" collapsed="false">
      <c r="A54" s="3" t="s">
        <v>568</v>
      </c>
      <c r="B54" s="4" t="s">
        <v>165</v>
      </c>
      <c r="C54" s="19" t="s">
        <v>546</v>
      </c>
      <c r="D54" s="72" t="n">
        <v>5.96376E-005</v>
      </c>
      <c r="E54" s="72" t="n">
        <v>7.28257E-005</v>
      </c>
      <c r="F54" s="72" t="n">
        <v>1.45653E-005</v>
      </c>
      <c r="G54" s="72" t="n">
        <v>0.0002022182</v>
      </c>
      <c r="H54" s="72" t="n">
        <v>8.0657E-006</v>
      </c>
      <c r="I54" s="51" t="n">
        <v>3.6106176725</v>
      </c>
      <c r="J54" s="51" t="n">
        <v>1.4204970845</v>
      </c>
      <c r="K54" s="51" t="n">
        <v>20.2812432631</v>
      </c>
      <c r="L54" s="73" t="n">
        <v>0.998</v>
      </c>
      <c r="M54" s="74" t="s">
        <v>563</v>
      </c>
    </row>
    <row r="55" customFormat="false" ht="15" hidden="false" customHeight="false" outlineLevel="0" collapsed="false">
      <c r="A55" s="3" t="s">
        <v>568</v>
      </c>
      <c r="B55" s="4" t="s">
        <v>169</v>
      </c>
      <c r="C55" s="19" t="s">
        <v>546</v>
      </c>
      <c r="D55" s="72" t="n">
        <v>0.008355564</v>
      </c>
      <c r="E55" s="72" t="n">
        <v>0.0114974766</v>
      </c>
      <c r="F55" s="72" t="n">
        <v>0.0027781404</v>
      </c>
      <c r="G55" s="72" t="n">
        <v>0.0301377883</v>
      </c>
      <c r="H55" s="72" t="n">
        <v>0.0008772746</v>
      </c>
      <c r="I55" s="51" t="n">
        <v>629.9000669461</v>
      </c>
      <c r="J55" s="51" t="n">
        <v>134.7157209314</v>
      </c>
      <c r="K55" s="51" t="n">
        <v>4289.1930355853</v>
      </c>
      <c r="L55" s="73" t="n">
        <v>0.001</v>
      </c>
      <c r="M55" s="76" t="s">
        <v>565</v>
      </c>
    </row>
    <row r="56" customFormat="false" ht="15" hidden="false" customHeight="false" outlineLevel="0" collapsed="false">
      <c r="A56" s="3" t="s">
        <v>568</v>
      </c>
      <c r="B56" s="4" t="s">
        <v>172</v>
      </c>
      <c r="C56" s="19" t="s">
        <v>546</v>
      </c>
      <c r="D56" s="72" t="n">
        <v>8.06364E-005</v>
      </c>
      <c r="E56" s="72" t="n">
        <v>9.23053E-005</v>
      </c>
      <c r="F56" s="72" t="n">
        <v>1.59469E-005</v>
      </c>
      <c r="G56" s="72" t="n">
        <v>0.0002581543</v>
      </c>
      <c r="H56" s="72" t="n">
        <v>9.82E-006</v>
      </c>
      <c r="I56" s="51" t="n">
        <v>4.4166873783</v>
      </c>
      <c r="J56" s="51" t="n">
        <v>1.4994107086</v>
      </c>
      <c r="K56" s="51" t="n">
        <v>26.8352001848</v>
      </c>
      <c r="L56" s="73" t="n">
        <v>0.9935</v>
      </c>
      <c r="M56" s="74" t="s">
        <v>563</v>
      </c>
    </row>
    <row r="57" customFormat="false" ht="15" hidden="false" customHeight="false" outlineLevel="0" collapsed="false">
      <c r="A57" s="3" t="s">
        <v>568</v>
      </c>
      <c r="B57" s="4" t="s">
        <v>175</v>
      </c>
      <c r="C57" s="19" t="s">
        <v>546</v>
      </c>
      <c r="D57" s="72" t="n">
        <v>8.06364E-005</v>
      </c>
      <c r="E57" s="72" t="n">
        <v>9.72522E-005</v>
      </c>
      <c r="F57" s="72" t="n">
        <v>1.74801E-005</v>
      </c>
      <c r="G57" s="72" t="n">
        <v>0.0002813042</v>
      </c>
      <c r="H57" s="72" t="n">
        <v>1.17767E-005</v>
      </c>
      <c r="I57" s="51" t="n">
        <v>4.7191029811</v>
      </c>
      <c r="J57" s="51" t="n">
        <v>1.5464525103</v>
      </c>
      <c r="K57" s="51" t="n">
        <v>28.8510502651</v>
      </c>
      <c r="L57" s="73" t="n">
        <v>0.992</v>
      </c>
      <c r="M57" s="74" t="s">
        <v>563</v>
      </c>
    </row>
    <row r="58" customFormat="false" ht="15" hidden="false" customHeight="false" outlineLevel="0" collapsed="false">
      <c r="A58" s="3" t="s">
        <v>568</v>
      </c>
      <c r="B58" s="4" t="s">
        <v>177</v>
      </c>
      <c r="C58" s="19" t="s">
        <v>546</v>
      </c>
      <c r="D58" s="72" t="n">
        <v>0.0001042463</v>
      </c>
      <c r="E58" s="72" t="n">
        <v>0.0001526101</v>
      </c>
      <c r="F58" s="72" t="n">
        <v>3.07741E-005</v>
      </c>
      <c r="G58" s="72" t="n">
        <v>0.0004226623</v>
      </c>
      <c r="H58" s="72" t="n">
        <v>2.85472E-005</v>
      </c>
      <c r="I58" s="51" t="n">
        <v>7.8256217834</v>
      </c>
      <c r="J58" s="51" t="n">
        <v>2.2240238798</v>
      </c>
      <c r="K58" s="51" t="n">
        <v>51.7721333239</v>
      </c>
      <c r="L58" s="73" t="n">
        <v>0.9565</v>
      </c>
      <c r="M58" s="74" t="s">
        <v>563</v>
      </c>
    </row>
    <row r="59" customFormat="false" ht="15" hidden="false" customHeight="false" outlineLevel="0" collapsed="false">
      <c r="A59" s="3" t="s">
        <v>569</v>
      </c>
      <c r="B59" s="3" t="s">
        <v>562</v>
      </c>
      <c r="C59" s="19" t="s">
        <v>546</v>
      </c>
      <c r="D59" s="72" t="n">
        <v>1.764E-005</v>
      </c>
      <c r="E59" s="72" t="n">
        <v>1.76513E-005</v>
      </c>
      <c r="F59" s="72" t="n">
        <v>3.2349E-006</v>
      </c>
      <c r="G59" s="72" t="n">
        <v>4.74027E-005</v>
      </c>
      <c r="H59" s="72" t="n">
        <v>1.0625E-006</v>
      </c>
      <c r="I59" s="51" t="n">
        <v>1</v>
      </c>
      <c r="J59" s="51" t="n">
        <v>1</v>
      </c>
      <c r="K59" s="51" t="n">
        <v>1</v>
      </c>
      <c r="L59" s="73" t="n">
        <v>1</v>
      </c>
      <c r="M59" s="74" t="s">
        <v>563</v>
      </c>
    </row>
    <row r="60" customFormat="false" ht="15" hidden="false" customHeight="false" outlineLevel="0" collapsed="false">
      <c r="A60" s="3" t="s">
        <v>569</v>
      </c>
      <c r="B60" s="4" t="s">
        <v>165</v>
      </c>
      <c r="C60" s="19" t="s">
        <v>546</v>
      </c>
      <c r="D60" s="72" t="n">
        <v>5.96376E-005</v>
      </c>
      <c r="E60" s="72" t="n">
        <v>7.05297E-005</v>
      </c>
      <c r="F60" s="72" t="n">
        <v>1.42925E-005</v>
      </c>
      <c r="G60" s="72" t="n">
        <v>0.0001854727</v>
      </c>
      <c r="H60" s="72" t="n">
        <v>7.352E-006</v>
      </c>
      <c r="I60" s="51" t="n">
        <v>3.4638262326</v>
      </c>
      <c r="J60" s="51" t="n">
        <v>1.3904554506</v>
      </c>
      <c r="K60" s="51" t="n">
        <v>19.7648199977</v>
      </c>
      <c r="L60" s="73" t="n">
        <v>0.9985</v>
      </c>
      <c r="M60" s="74" t="s">
        <v>563</v>
      </c>
    </row>
    <row r="61" customFormat="false" ht="15" hidden="false" customHeight="false" outlineLevel="0" collapsed="false">
      <c r="A61" s="3" t="s">
        <v>569</v>
      </c>
      <c r="B61" s="4" t="s">
        <v>169</v>
      </c>
      <c r="C61" s="19" t="s">
        <v>546</v>
      </c>
      <c r="D61" s="72" t="n">
        <v>0.008355564</v>
      </c>
      <c r="E61" s="72" t="n">
        <v>0.0114977671</v>
      </c>
      <c r="F61" s="72" t="n">
        <v>0.0027767982</v>
      </c>
      <c r="G61" s="72" t="n">
        <v>0.0301377883</v>
      </c>
      <c r="H61" s="72" t="n">
        <v>0.0008772746</v>
      </c>
      <c r="I61" s="51" t="n">
        <v>629.9000669461</v>
      </c>
      <c r="J61" s="51" t="n">
        <v>134.7157209314</v>
      </c>
      <c r="K61" s="51" t="n">
        <v>4289.1930355853</v>
      </c>
      <c r="L61" s="73" t="n">
        <v>0.001</v>
      </c>
      <c r="M61" s="76" t="s">
        <v>565</v>
      </c>
    </row>
    <row r="62" customFormat="false" ht="15" hidden="false" customHeight="false" outlineLevel="0" collapsed="false">
      <c r="A62" s="3" t="s">
        <v>569</v>
      </c>
      <c r="B62" s="4" t="s">
        <v>172</v>
      </c>
      <c r="C62" s="19" t="s">
        <v>546</v>
      </c>
      <c r="D62" s="72" t="n">
        <v>8.06364E-005</v>
      </c>
      <c r="E62" s="72" t="n">
        <v>9.29956E-005</v>
      </c>
      <c r="F62" s="72" t="n">
        <v>1.6196E-005</v>
      </c>
      <c r="G62" s="72" t="n">
        <v>0.0002634643</v>
      </c>
      <c r="H62" s="72" t="n">
        <v>9.954E-006</v>
      </c>
      <c r="I62" s="51" t="n">
        <v>4.4901019608</v>
      </c>
      <c r="J62" s="51" t="n">
        <v>1.4879267796</v>
      </c>
      <c r="K62" s="51" t="n">
        <v>27.3726263823</v>
      </c>
      <c r="L62" s="73" t="n">
        <v>0.9935</v>
      </c>
      <c r="M62" s="74" t="s">
        <v>563</v>
      </c>
    </row>
    <row r="63" customFormat="false" ht="15" hidden="false" customHeight="false" outlineLevel="0" collapsed="false">
      <c r="A63" s="3" t="s">
        <v>569</v>
      </c>
      <c r="B63" s="4" t="s">
        <v>175</v>
      </c>
      <c r="C63" s="19" t="s">
        <v>546</v>
      </c>
      <c r="D63" s="72" t="n">
        <v>8.06364E-005</v>
      </c>
      <c r="E63" s="72" t="n">
        <v>0.0001026617</v>
      </c>
      <c r="F63" s="72" t="n">
        <v>1.89173E-005</v>
      </c>
      <c r="G63" s="72" t="n">
        <v>0.0002941606</v>
      </c>
      <c r="H63" s="72" t="n">
        <v>1.30447E-005</v>
      </c>
      <c r="I63" s="51" t="n">
        <v>4.965562594</v>
      </c>
      <c r="J63" s="51" t="n">
        <v>1.6077835015</v>
      </c>
      <c r="K63" s="51" t="n">
        <v>31.4503546788</v>
      </c>
      <c r="L63" s="73" t="n">
        <v>0.988</v>
      </c>
      <c r="M63" s="74" t="s">
        <v>563</v>
      </c>
    </row>
    <row r="64" customFormat="false" ht="15" hidden="false" customHeight="false" outlineLevel="0" collapsed="false">
      <c r="A64" s="3" t="s">
        <v>569</v>
      </c>
      <c r="B64" s="4" t="s">
        <v>177</v>
      </c>
      <c r="C64" s="19" t="s">
        <v>546</v>
      </c>
      <c r="D64" s="72" t="n">
        <v>0.0001042609</v>
      </c>
      <c r="E64" s="72" t="n">
        <v>0.0001506574</v>
      </c>
      <c r="F64" s="72" t="n">
        <v>3.03663E-005</v>
      </c>
      <c r="G64" s="72" t="n">
        <v>0.0004139229</v>
      </c>
      <c r="H64" s="72" t="n">
        <v>2.77782E-005</v>
      </c>
      <c r="I64" s="51" t="n">
        <v>7.6954408876</v>
      </c>
      <c r="J64" s="51" t="n">
        <v>2.223775527</v>
      </c>
      <c r="K64" s="51" t="n">
        <v>50.2648551492</v>
      </c>
      <c r="L64" s="73" t="n">
        <v>0.961</v>
      </c>
      <c r="M64" s="74" t="s">
        <v>563</v>
      </c>
    </row>
    <row r="66" customFormat="false" ht="28.35" hidden="false" customHeight="true" outlineLevel="0" collapsed="false">
      <c r="A66" s="17" t="s">
        <v>570</v>
      </c>
      <c r="B66" s="17"/>
      <c r="C66" s="17"/>
      <c r="D66" s="17"/>
      <c r="E66" s="17"/>
      <c r="F66" s="17"/>
      <c r="G66" s="17"/>
    </row>
    <row r="67" customFormat="false" ht="25.35" hidden="false" customHeight="false" outlineLevel="0" collapsed="false">
      <c r="A67" s="6" t="s">
        <v>92</v>
      </c>
      <c r="B67" s="6" t="s">
        <v>534</v>
      </c>
      <c r="C67" s="7" t="s">
        <v>552</v>
      </c>
      <c r="D67" s="7" t="s">
        <v>571</v>
      </c>
      <c r="E67" s="7" t="s">
        <v>572</v>
      </c>
      <c r="F67" s="6" t="s">
        <v>573</v>
      </c>
      <c r="G67" s="6" t="s">
        <v>574</v>
      </c>
    </row>
    <row r="68" customFormat="false" ht="23.85" hidden="false" customHeight="false" outlineLevel="0" collapsed="false">
      <c r="A68" s="4" t="s">
        <v>165</v>
      </c>
      <c r="B68" s="19" t="s">
        <v>540</v>
      </c>
      <c r="C68" s="72" t="n">
        <v>0.0006164261</v>
      </c>
      <c r="D68" s="72" t="n">
        <v>0.0006051827</v>
      </c>
      <c r="E68" s="51" t="n">
        <v>34.9223300084</v>
      </c>
      <c r="F68" s="77" t="n">
        <v>0.9812226049</v>
      </c>
      <c r="G68" s="77" t="n">
        <v>0.0187773951</v>
      </c>
    </row>
    <row r="69" customFormat="false" ht="23.85" hidden="false" customHeight="false" outlineLevel="0" collapsed="false">
      <c r="A69" s="4" t="s">
        <v>169</v>
      </c>
      <c r="B69" s="19" t="s">
        <v>540</v>
      </c>
      <c r="C69" s="72" t="n">
        <v>0.0114977671</v>
      </c>
      <c r="D69" s="72" t="n">
        <v>0.0114928025</v>
      </c>
      <c r="E69" s="51" t="n">
        <v>651.3818727035</v>
      </c>
      <c r="F69" s="77" t="n">
        <v>0.9995675455</v>
      </c>
      <c r="G69" s="77" t="n">
        <v>0.0004324545</v>
      </c>
    </row>
    <row r="70" customFormat="false" ht="23.85" hidden="false" customHeight="false" outlineLevel="0" collapsed="false">
      <c r="A70" s="4" t="s">
        <v>172</v>
      </c>
      <c r="B70" s="19" t="s">
        <v>540</v>
      </c>
      <c r="C70" s="72" t="n">
        <v>0.0008951235</v>
      </c>
      <c r="D70" s="72" t="n">
        <v>0.0007854432</v>
      </c>
      <c r="E70" s="51" t="n">
        <v>50.7113451343</v>
      </c>
      <c r="F70" s="77" t="n">
        <v>0.8750042378</v>
      </c>
      <c r="G70" s="77" t="n">
        <v>0.1249957622</v>
      </c>
    </row>
    <row r="71" customFormat="false" ht="23.85" hidden="false" customHeight="false" outlineLevel="0" collapsed="false">
      <c r="A71" s="4" t="s">
        <v>175</v>
      </c>
      <c r="B71" s="19" t="s">
        <v>540</v>
      </c>
      <c r="C71" s="72" t="n">
        <v>0.0011451974</v>
      </c>
      <c r="D71" s="72" t="n">
        <v>0.0005276824</v>
      </c>
      <c r="E71" s="51" t="n">
        <v>64.8787551492</v>
      </c>
      <c r="F71" s="77" t="n">
        <v>0.4523372733</v>
      </c>
      <c r="G71" s="77" t="n">
        <v>0.5476627267</v>
      </c>
    </row>
    <row r="72" customFormat="false" ht="23.85" hidden="false" customHeight="false" outlineLevel="0" collapsed="false">
      <c r="A72" s="4" t="s">
        <v>177</v>
      </c>
      <c r="B72" s="19" t="s">
        <v>540</v>
      </c>
      <c r="C72" s="72" t="n">
        <v>0.002740636</v>
      </c>
      <c r="D72" s="72" t="n">
        <v>0.0020063916</v>
      </c>
      <c r="E72" s="51" t="n">
        <v>155.2649800614</v>
      </c>
      <c r="F72" s="77" t="n">
        <v>0.7303531119</v>
      </c>
      <c r="G72" s="77" t="n">
        <v>0.2696468881</v>
      </c>
    </row>
    <row r="73" customFormat="false" ht="23.85" hidden="false" customHeight="false" outlineLevel="0" collapsed="false">
      <c r="A73" s="4" t="s">
        <v>165</v>
      </c>
      <c r="B73" s="19" t="s">
        <v>546</v>
      </c>
      <c r="C73" s="72" t="n">
        <v>7.05297E-005</v>
      </c>
      <c r="D73" s="72" t="n">
        <v>7.01071E-005</v>
      </c>
      <c r="E73" s="51" t="n">
        <v>3.9957144876</v>
      </c>
      <c r="F73" s="77" t="n">
        <v>0.9920078626</v>
      </c>
      <c r="G73" s="77" t="n">
        <v>0.0079921374</v>
      </c>
    </row>
    <row r="74" customFormat="false" ht="23.85" hidden="false" customHeight="false" outlineLevel="0" collapsed="false">
      <c r="A74" s="4" t="s">
        <v>169</v>
      </c>
      <c r="B74" s="19" t="s">
        <v>546</v>
      </c>
      <c r="C74" s="72" t="n">
        <v>0.0114977671</v>
      </c>
      <c r="D74" s="72" t="n">
        <v>0.0114928025</v>
      </c>
      <c r="E74" s="51" t="n">
        <v>651.3818727035</v>
      </c>
      <c r="F74" s="77" t="n">
        <v>0.9995675455</v>
      </c>
      <c r="G74" s="77" t="n">
        <v>0.0004324545</v>
      </c>
    </row>
    <row r="75" customFormat="false" ht="23.85" hidden="false" customHeight="false" outlineLevel="0" collapsed="false">
      <c r="A75" s="4" t="s">
        <v>172</v>
      </c>
      <c r="B75" s="19" t="s">
        <v>546</v>
      </c>
      <c r="C75" s="72" t="n">
        <v>9.29956E-005</v>
      </c>
      <c r="D75" s="72" t="n">
        <v>8.86456E-005</v>
      </c>
      <c r="E75" s="51" t="n">
        <v>5.2684692761</v>
      </c>
      <c r="F75" s="77" t="n">
        <v>0.9422659282</v>
      </c>
      <c r="G75" s="77" t="n">
        <v>0.0577340718</v>
      </c>
    </row>
    <row r="76" customFormat="false" ht="23.85" hidden="false" customHeight="false" outlineLevel="0" collapsed="false">
      <c r="A76" s="4" t="s">
        <v>175</v>
      </c>
      <c r="B76" s="19" t="s">
        <v>546</v>
      </c>
      <c r="C76" s="72" t="n">
        <v>0.0001026617</v>
      </c>
      <c r="D76" s="72" t="n">
        <v>6.88686E-005</v>
      </c>
      <c r="E76" s="51" t="n">
        <v>5.8160835475</v>
      </c>
      <c r="F76" s="77" t="n">
        <v>0.6024827042</v>
      </c>
      <c r="G76" s="77" t="n">
        <v>0.3975172958</v>
      </c>
    </row>
    <row r="77" customFormat="false" ht="23.85" hidden="false" customHeight="false" outlineLevel="0" collapsed="false">
      <c r="A77" s="4" t="s">
        <v>177</v>
      </c>
      <c r="B77" s="19" t="s">
        <v>546</v>
      </c>
      <c r="C77" s="72" t="n">
        <v>0.0001506574</v>
      </c>
      <c r="D77" s="72" t="n">
        <v>0.0001416407</v>
      </c>
      <c r="E77" s="51" t="n">
        <v>8.5351783008</v>
      </c>
      <c r="F77" s="77" t="n">
        <v>0.9322082566</v>
      </c>
      <c r="G77" s="77" t="n">
        <v>0.0677917434</v>
      </c>
    </row>
    <row r="79" customFormat="false" ht="15" hidden="false" customHeight="true" outlineLevel="0" collapsed="false">
      <c r="A79" s="17" t="s">
        <v>575</v>
      </c>
      <c r="B79" s="17"/>
      <c r="C79" s="17"/>
      <c r="D79" s="17"/>
      <c r="E79" s="17"/>
      <c r="F79" s="17"/>
    </row>
    <row r="80" customFormat="false" ht="23.85" hidden="false" customHeight="false" outlineLevel="0" collapsed="false">
      <c r="A80" s="6" t="s">
        <v>370</v>
      </c>
      <c r="B80" s="6" t="s">
        <v>576</v>
      </c>
      <c r="C80" s="7" t="s">
        <v>577</v>
      </c>
      <c r="D80" s="6" t="s">
        <v>578</v>
      </c>
      <c r="E80" s="6" t="s">
        <v>579</v>
      </c>
      <c r="F80" s="6" t="s">
        <v>271</v>
      </c>
    </row>
    <row r="81" customFormat="false" ht="52.2" hidden="false" customHeight="false" outlineLevel="0" collapsed="false">
      <c r="A81" s="4" t="s">
        <v>172</v>
      </c>
      <c r="B81" s="55" t="n">
        <v>5.28646945</v>
      </c>
      <c r="C81" s="55" t="n">
        <v>1.7243333713</v>
      </c>
      <c r="D81" s="55" t="n">
        <v>1.2406946152</v>
      </c>
      <c r="E81" s="55" t="n">
        <v>1.2220527369</v>
      </c>
      <c r="F81" s="3" t="s">
        <v>580</v>
      </c>
    </row>
    <row r="82" customFormat="false" ht="52.2" hidden="false" customHeight="false" outlineLevel="0" collapsed="false">
      <c r="A82" s="4" t="s">
        <v>175</v>
      </c>
      <c r="B82" s="55" t="n">
        <v>5.28646945</v>
      </c>
      <c r="C82" s="55" t="n">
        <v>1.7243333713</v>
      </c>
      <c r="D82" s="55" t="n">
        <v>1.2406946152</v>
      </c>
      <c r="E82" s="55" t="n">
        <v>1.2220527369</v>
      </c>
      <c r="F82" s="3" t="s">
        <v>580</v>
      </c>
    </row>
    <row r="83" customFormat="false" ht="52.2" hidden="false" customHeight="false" outlineLevel="0" collapsed="false">
      <c r="A83" s="4" t="s">
        <v>177</v>
      </c>
      <c r="B83" s="55" t="n">
        <v>5.28646945</v>
      </c>
      <c r="C83" s="55" t="n">
        <v>1.7243333713</v>
      </c>
      <c r="D83" s="55" t="n">
        <v>1.2406946152</v>
      </c>
      <c r="E83" s="55" t="n">
        <v>1.2220527369</v>
      </c>
      <c r="F83" s="3" t="s">
        <v>580</v>
      </c>
    </row>
  </sheetData>
  <mergeCells count="2">
    <mergeCell ref="A66:G66"/>
    <mergeCell ref="A79:F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5" min="4" style="0" width="14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19.4" hidden="false" customHeight="false" outlineLevel="0" collapsed="false">
      <c r="A1" s="16" t="s">
        <v>581</v>
      </c>
    </row>
    <row r="2" customFormat="false" ht="15" hidden="false" customHeight="false" outlineLevel="0" collapsed="false">
      <c r="A2" s="15" t="s">
        <v>582</v>
      </c>
    </row>
    <row r="4" customFormat="false" ht="31.5" hidden="false" customHeight="true" outlineLevel="0" collapsed="false">
      <c r="A4" s="6" t="s">
        <v>92</v>
      </c>
      <c r="B4" s="7" t="s">
        <v>583</v>
      </c>
      <c r="C4" s="6" t="s">
        <v>584</v>
      </c>
      <c r="D4" s="6" t="s">
        <v>585</v>
      </c>
      <c r="E4" s="6" t="s">
        <v>586</v>
      </c>
      <c r="F4" s="6" t="s">
        <v>587</v>
      </c>
      <c r="G4" s="6" t="s">
        <v>588</v>
      </c>
      <c r="H4" s="7" t="s">
        <v>589</v>
      </c>
      <c r="I4" s="6" t="s">
        <v>491</v>
      </c>
      <c r="J4" s="7" t="s">
        <v>590</v>
      </c>
      <c r="K4" s="7" t="s">
        <v>591</v>
      </c>
      <c r="L4" s="6" t="s">
        <v>592</v>
      </c>
    </row>
    <row r="5" customFormat="false" ht="30" hidden="false" customHeight="true" outlineLevel="0" collapsed="false">
      <c r="A5" s="8" t="s">
        <v>124</v>
      </c>
      <c r="B5" s="4" t="s">
        <v>593</v>
      </c>
      <c r="C5" s="19" t="s">
        <v>594</v>
      </c>
      <c r="D5" s="19" t="s">
        <v>595</v>
      </c>
      <c r="E5" s="50" t="s">
        <v>596</v>
      </c>
      <c r="F5" s="19" t="s">
        <v>594</v>
      </c>
      <c r="G5" s="19" t="s">
        <v>597</v>
      </c>
      <c r="H5" s="19" t="s">
        <v>598</v>
      </c>
      <c r="I5" s="19" t="s">
        <v>45</v>
      </c>
      <c r="J5" s="19" t="s">
        <v>45</v>
      </c>
      <c r="K5" s="19" t="s">
        <v>45</v>
      </c>
      <c r="L5" s="19" t="s">
        <v>45</v>
      </c>
    </row>
    <row r="6" customFormat="false" ht="30" hidden="false" customHeight="true" outlineLevel="0" collapsed="false">
      <c r="A6" s="8" t="s">
        <v>125</v>
      </c>
      <c r="B6" s="4" t="s">
        <v>593</v>
      </c>
      <c r="C6" s="19" t="s">
        <v>594</v>
      </c>
      <c r="D6" s="19" t="s">
        <v>595</v>
      </c>
      <c r="E6" s="50" t="s">
        <v>596</v>
      </c>
      <c r="F6" s="19" t="s">
        <v>594</v>
      </c>
      <c r="G6" s="19" t="s">
        <v>597</v>
      </c>
      <c r="H6" s="19" t="s">
        <v>598</v>
      </c>
      <c r="I6" s="46" t="n">
        <v>968.4781876738</v>
      </c>
      <c r="J6" s="43" t="n">
        <v>4</v>
      </c>
      <c r="K6" s="72" t="n">
        <v>0.0006795255</v>
      </c>
      <c r="L6" s="78" t="n">
        <v>33.136613222</v>
      </c>
    </row>
    <row r="7" customFormat="false" ht="30" hidden="false" customHeight="true" outlineLevel="0" collapsed="false">
      <c r="A7" s="8" t="s">
        <v>126</v>
      </c>
      <c r="B7" s="4" t="s">
        <v>599</v>
      </c>
      <c r="C7" s="19" t="s">
        <v>594</v>
      </c>
      <c r="D7" s="19" t="s">
        <v>595</v>
      </c>
      <c r="E7" s="50" t="s">
        <v>596</v>
      </c>
      <c r="F7" s="19" t="s">
        <v>594</v>
      </c>
      <c r="G7" s="19" t="s">
        <v>597</v>
      </c>
      <c r="H7" s="19" t="s">
        <v>598</v>
      </c>
      <c r="I7" s="46" t="n">
        <v>29.9833287011</v>
      </c>
      <c r="J7" s="43" t="n">
        <v>16</v>
      </c>
      <c r="K7" s="72" t="n">
        <v>0.0114974766</v>
      </c>
      <c r="L7" s="78" t="n">
        <v>629.9000669461</v>
      </c>
    </row>
    <row r="8" customFormat="false" ht="30" hidden="false" customHeight="true" outlineLevel="0" collapsed="false">
      <c r="A8" s="8" t="s">
        <v>127</v>
      </c>
      <c r="B8" s="4" t="s">
        <v>599</v>
      </c>
      <c r="C8" s="19" t="s">
        <v>594</v>
      </c>
      <c r="D8" s="19" t="s">
        <v>595</v>
      </c>
      <c r="E8" s="50" t="s">
        <v>596</v>
      </c>
      <c r="F8" s="19" t="s">
        <v>594</v>
      </c>
      <c r="G8" s="19" t="s">
        <v>597</v>
      </c>
      <c r="H8" s="19" t="s">
        <v>598</v>
      </c>
      <c r="I8" s="46" t="n">
        <v>1079.4387430512</v>
      </c>
      <c r="J8" s="43" t="n">
        <v>6</v>
      </c>
      <c r="K8" s="72" t="n">
        <v>0.0008823218</v>
      </c>
      <c r="L8" s="78" t="n">
        <v>41.2561403509</v>
      </c>
    </row>
    <row r="9" customFormat="false" ht="30" hidden="false" customHeight="true" outlineLevel="0" collapsed="false">
      <c r="A9" s="8" t="s">
        <v>128</v>
      </c>
      <c r="B9" s="4" t="s">
        <v>600</v>
      </c>
      <c r="C9" s="19" t="s">
        <v>594</v>
      </c>
      <c r="D9" s="19" t="s">
        <v>595</v>
      </c>
      <c r="E9" s="50" t="s">
        <v>596</v>
      </c>
      <c r="F9" s="19" t="s">
        <v>594</v>
      </c>
      <c r="G9" s="19" t="s">
        <v>597</v>
      </c>
      <c r="H9" s="19" t="s">
        <v>598</v>
      </c>
      <c r="I9" s="46" t="n">
        <v>1345.9104725055</v>
      </c>
      <c r="J9" s="43" t="n">
        <v>4</v>
      </c>
      <c r="K9" s="72" t="n">
        <v>0.0010462716</v>
      </c>
      <c r="L9" s="78" t="n">
        <v>49.3766128457</v>
      </c>
    </row>
    <row r="10" customFormat="false" ht="30" hidden="false" customHeight="true" outlineLevel="0" collapsed="false">
      <c r="A10" s="8" t="s">
        <v>129</v>
      </c>
      <c r="B10" s="4" t="s">
        <v>600</v>
      </c>
      <c r="C10" s="19" t="s">
        <v>594</v>
      </c>
      <c r="D10" s="19" t="s">
        <v>595</v>
      </c>
      <c r="E10" s="50" t="s">
        <v>596</v>
      </c>
      <c r="F10" s="19" t="s">
        <v>594</v>
      </c>
      <c r="G10" s="19" t="s">
        <v>597</v>
      </c>
      <c r="H10" s="19" t="s">
        <v>598</v>
      </c>
      <c r="I10" s="46" t="n">
        <v>512.2811727948</v>
      </c>
      <c r="J10" s="43" t="n">
        <v>12</v>
      </c>
      <c r="K10" s="72" t="n">
        <v>0.0028427649</v>
      </c>
      <c r="L10" s="78" t="n">
        <v>146.912487628</v>
      </c>
    </row>
    <row r="12" customFormat="false" ht="15" hidden="false" customHeight="false" outlineLevel="0" collapsed="false">
      <c r="A12" s="5" t="s">
        <v>601</v>
      </c>
    </row>
    <row r="13" customFormat="false" ht="15" hidden="false" customHeight="false" outlineLevel="0" collapsed="false">
      <c r="A13" s="5" t="s"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8"/>
  </cols>
  <sheetData>
    <row r="1" customFormat="false" ht="19.4" hidden="false" customHeight="false" outlineLevel="0" collapsed="false">
      <c r="A1" s="1" t="s">
        <v>603</v>
      </c>
    </row>
    <row r="2" customFormat="false" ht="15" hidden="false" customHeight="false" outlineLevel="0" collapsed="false">
      <c r="A2" s="15" t="s">
        <v>604</v>
      </c>
    </row>
    <row r="4" customFormat="false" ht="27.75" hidden="false" customHeight="true" outlineLevel="0" collapsed="false">
      <c r="A4" s="6" t="s">
        <v>5</v>
      </c>
      <c r="B4" s="6" t="s">
        <v>605</v>
      </c>
      <c r="C4" s="6" t="s">
        <v>606</v>
      </c>
      <c r="D4" s="6" t="s">
        <v>607</v>
      </c>
      <c r="E4" s="6" t="s">
        <v>608</v>
      </c>
      <c r="F4" s="6" t="s">
        <v>609</v>
      </c>
      <c r="G4" s="6" t="s">
        <v>21</v>
      </c>
      <c r="H4" s="6" t="s">
        <v>610</v>
      </c>
      <c r="I4" s="6" t="s">
        <v>611</v>
      </c>
    </row>
    <row r="5" customFormat="false" ht="31.5" hidden="false" customHeight="true" outlineLevel="0" collapsed="false">
      <c r="A5" s="19" t="s">
        <v>612</v>
      </c>
      <c r="B5" s="2" t="s">
        <v>613</v>
      </c>
      <c r="C5" s="4" t="s">
        <v>614</v>
      </c>
      <c r="D5" s="4" t="s">
        <v>615</v>
      </c>
      <c r="E5" s="4" t="s">
        <v>616</v>
      </c>
      <c r="F5" s="4" t="s">
        <v>617</v>
      </c>
      <c r="G5" s="4" t="s">
        <v>618</v>
      </c>
      <c r="H5" s="3" t="s">
        <v>619</v>
      </c>
      <c r="I5" s="44" t="s">
        <v>262</v>
      </c>
    </row>
    <row r="6" customFormat="false" ht="31.5" hidden="false" customHeight="true" outlineLevel="0" collapsed="false">
      <c r="A6" s="19" t="s">
        <v>612</v>
      </c>
      <c r="B6" s="8" t="s">
        <v>620</v>
      </c>
      <c r="C6" s="3" t="s">
        <v>621</v>
      </c>
      <c r="D6" s="4" t="s">
        <v>622</v>
      </c>
      <c r="E6" s="3" t="s">
        <v>623</v>
      </c>
      <c r="F6" s="3" t="s">
        <v>624</v>
      </c>
      <c r="G6" s="4" t="s">
        <v>625</v>
      </c>
      <c r="H6" s="3" t="s">
        <v>626</v>
      </c>
      <c r="I6" s="44" t="s">
        <v>262</v>
      </c>
    </row>
    <row r="7" customFormat="false" ht="31.5" hidden="false" customHeight="true" outlineLevel="0" collapsed="false">
      <c r="A7" s="19" t="s">
        <v>612</v>
      </c>
      <c r="B7" s="8" t="s">
        <v>627</v>
      </c>
      <c r="C7" s="4" t="s">
        <v>45</v>
      </c>
      <c r="D7" s="4" t="s">
        <v>628</v>
      </c>
      <c r="E7" s="4" t="s">
        <v>629</v>
      </c>
      <c r="F7" s="4" t="s">
        <v>630</v>
      </c>
      <c r="G7" s="4" t="s">
        <v>438</v>
      </c>
      <c r="H7" s="3" t="s">
        <v>631</v>
      </c>
      <c r="I7" s="19" t="s">
        <v>632</v>
      </c>
    </row>
    <row r="8" customFormat="false" ht="31.5" hidden="false" customHeight="true" outlineLevel="0" collapsed="false">
      <c r="A8" s="19" t="s">
        <v>612</v>
      </c>
      <c r="B8" s="8" t="s">
        <v>633</v>
      </c>
      <c r="C8" s="4" t="s">
        <v>634</v>
      </c>
      <c r="D8" s="3" t="s">
        <v>635</v>
      </c>
      <c r="E8" s="4" t="s">
        <v>636</v>
      </c>
      <c r="F8" s="3" t="s">
        <v>637</v>
      </c>
      <c r="G8" s="4" t="s">
        <v>638</v>
      </c>
      <c r="H8" s="4" t="s">
        <v>639</v>
      </c>
      <c r="I8" s="19" t="s">
        <v>632</v>
      </c>
    </row>
    <row r="9" customFormat="false" ht="31.5" hidden="false" customHeight="true" outlineLevel="0" collapsed="false">
      <c r="A9" s="19" t="s">
        <v>612</v>
      </c>
      <c r="B9" s="8" t="s">
        <v>640</v>
      </c>
      <c r="C9" s="4" t="s">
        <v>641</v>
      </c>
      <c r="D9" s="4" t="s">
        <v>642</v>
      </c>
      <c r="E9" s="4" t="s">
        <v>643</v>
      </c>
      <c r="F9" s="4" t="s">
        <v>644</v>
      </c>
      <c r="G9" s="4" t="s">
        <v>645</v>
      </c>
      <c r="H9" s="4" t="s">
        <v>646</v>
      </c>
      <c r="I9" s="19" t="s">
        <v>647</v>
      </c>
    </row>
    <row r="10" customFormat="false" ht="31.5" hidden="false" customHeight="true" outlineLevel="0" collapsed="false">
      <c r="A10" s="19" t="s">
        <v>612</v>
      </c>
      <c r="B10" s="8" t="s">
        <v>648</v>
      </c>
      <c r="C10" s="4" t="s">
        <v>649</v>
      </c>
      <c r="D10" s="3" t="s">
        <v>650</v>
      </c>
      <c r="E10" s="4" t="s">
        <v>643</v>
      </c>
      <c r="F10" s="4" t="s">
        <v>651</v>
      </c>
      <c r="G10" s="4" t="s">
        <v>431</v>
      </c>
      <c r="H10" s="4" t="s">
        <v>652</v>
      </c>
      <c r="I10" s="19" t="s">
        <v>647</v>
      </c>
    </row>
    <row r="11" customFormat="false" ht="31.5" hidden="false" customHeight="true" outlineLevel="0" collapsed="false">
      <c r="A11" s="19" t="s">
        <v>612</v>
      </c>
      <c r="B11" s="8" t="s">
        <v>653</v>
      </c>
      <c r="C11" s="4" t="s">
        <v>45</v>
      </c>
      <c r="D11" s="3" t="s">
        <v>654</v>
      </c>
      <c r="E11" s="4" t="s">
        <v>655</v>
      </c>
      <c r="F11" s="4" t="s">
        <v>656</v>
      </c>
      <c r="G11" s="4" t="s">
        <v>421</v>
      </c>
      <c r="H11" s="3" t="s">
        <v>657</v>
      </c>
      <c r="I11" s="19" t="s">
        <v>647</v>
      </c>
    </row>
    <row r="12" customFormat="false" ht="31.5" hidden="false" customHeight="true" outlineLevel="0" collapsed="false">
      <c r="A12" s="19" t="s">
        <v>658</v>
      </c>
      <c r="B12" s="2" t="s">
        <v>659</v>
      </c>
      <c r="C12" s="3" t="s">
        <v>660</v>
      </c>
      <c r="D12" s="3" t="s">
        <v>661</v>
      </c>
      <c r="E12" s="3" t="s">
        <v>662</v>
      </c>
      <c r="F12" s="4" t="s">
        <v>663</v>
      </c>
      <c r="G12" s="4" t="s">
        <v>664</v>
      </c>
      <c r="H12" s="4" t="s">
        <v>665</v>
      </c>
      <c r="I12" s="44" t="s">
        <v>262</v>
      </c>
    </row>
    <row r="13" customFormat="false" ht="31.5" hidden="false" customHeight="true" outlineLevel="0" collapsed="false">
      <c r="A13" s="19" t="s">
        <v>658</v>
      </c>
      <c r="B13" s="8" t="s">
        <v>666</v>
      </c>
      <c r="C13" s="3" t="s">
        <v>660</v>
      </c>
      <c r="D13" s="4" t="s">
        <v>667</v>
      </c>
      <c r="E13" s="4" t="s">
        <v>636</v>
      </c>
      <c r="F13" s="4" t="s">
        <v>668</v>
      </c>
      <c r="G13" s="4" t="s">
        <v>669</v>
      </c>
      <c r="H13" s="3" t="s">
        <v>670</v>
      </c>
      <c r="I13" s="44" t="s">
        <v>262</v>
      </c>
    </row>
    <row r="14" customFormat="false" ht="31.5" hidden="false" customHeight="true" outlineLevel="0" collapsed="false">
      <c r="A14" s="19" t="s">
        <v>658</v>
      </c>
      <c r="B14" s="2" t="s">
        <v>671</v>
      </c>
      <c r="C14" s="3" t="s">
        <v>672</v>
      </c>
      <c r="D14" s="3" t="s">
        <v>673</v>
      </c>
      <c r="E14" s="3" t="s">
        <v>674</v>
      </c>
      <c r="F14" s="3" t="s">
        <v>675</v>
      </c>
      <c r="G14" s="4" t="s">
        <v>45</v>
      </c>
      <c r="H14" s="4" t="s">
        <v>676</v>
      </c>
      <c r="I14" s="44" t="s">
        <v>262</v>
      </c>
    </row>
    <row r="15" customFormat="false" ht="31.5" hidden="false" customHeight="true" outlineLevel="0" collapsed="false">
      <c r="A15" s="19" t="s">
        <v>677</v>
      </c>
      <c r="B15" s="8" t="s">
        <v>678</v>
      </c>
      <c r="C15" s="4" t="s">
        <v>679</v>
      </c>
      <c r="D15" s="3" t="s">
        <v>680</v>
      </c>
      <c r="E15" s="3" t="s">
        <v>681</v>
      </c>
      <c r="F15" s="4" t="s">
        <v>682</v>
      </c>
      <c r="G15" s="4" t="s">
        <v>683</v>
      </c>
      <c r="H15" s="3" t="s">
        <v>684</v>
      </c>
      <c r="I15" s="44" t="s">
        <v>262</v>
      </c>
    </row>
    <row r="16" customFormat="false" ht="31.5" hidden="false" customHeight="true" outlineLevel="0" collapsed="false">
      <c r="A16" s="19" t="s">
        <v>677</v>
      </c>
      <c r="B16" s="8" t="s">
        <v>685</v>
      </c>
      <c r="C16" s="4" t="s">
        <v>686</v>
      </c>
      <c r="D16" s="4" t="s">
        <v>687</v>
      </c>
      <c r="E16" s="3" t="s">
        <v>688</v>
      </c>
      <c r="F16" s="3" t="s">
        <v>689</v>
      </c>
      <c r="G16" s="4" t="s">
        <v>690</v>
      </c>
      <c r="H16" s="4" t="s">
        <v>691</v>
      </c>
      <c r="I16" s="44" t="s">
        <v>262</v>
      </c>
    </row>
    <row r="17" customFormat="false" ht="31.5" hidden="false" customHeight="true" outlineLevel="0" collapsed="false">
      <c r="A17" s="19" t="s">
        <v>692</v>
      </c>
      <c r="B17" s="8" t="s">
        <v>693</v>
      </c>
      <c r="C17" s="4" t="s">
        <v>694</v>
      </c>
      <c r="D17" s="4" t="s">
        <v>695</v>
      </c>
      <c r="E17" s="4" t="s">
        <v>696</v>
      </c>
      <c r="F17" s="3" t="s">
        <v>697</v>
      </c>
      <c r="G17" s="4" t="s">
        <v>404</v>
      </c>
      <c r="H17" s="4" t="s">
        <v>698</v>
      </c>
      <c r="I17" s="19" t="s">
        <v>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2"/>
  </cols>
  <sheetData>
    <row r="1" customFormat="false" ht="19.4" hidden="false" customHeight="false" outlineLevel="0" collapsed="false">
      <c r="A1" s="1" t="s">
        <v>699</v>
      </c>
    </row>
    <row r="2" customFormat="false" ht="15" hidden="false" customHeight="false" outlineLevel="0" collapsed="false">
      <c r="A2" s="15" t="s">
        <v>700</v>
      </c>
    </row>
    <row r="4" customFormat="false" ht="15" hidden="false" customHeight="false" outlineLevel="0" collapsed="false">
      <c r="A4" s="6" t="s">
        <v>330</v>
      </c>
      <c r="B4" s="6" t="s">
        <v>701</v>
      </c>
      <c r="C4" s="6" t="s">
        <v>702</v>
      </c>
      <c r="D4" s="6" t="s">
        <v>703</v>
      </c>
    </row>
    <row r="5" customFormat="false" ht="15" hidden="false" customHeight="false" outlineLevel="0" collapsed="false">
      <c r="A5" s="8" t="s">
        <v>449</v>
      </c>
      <c r="B5" s="79" t="n">
        <v>0.0927150625219537</v>
      </c>
      <c r="C5" s="80" t="n">
        <f aca="false">sigma_rep</f>
        <v>0.0927150625220427</v>
      </c>
      <c r="D5" s="81" t="n">
        <f aca="false">IF(MAX(ABS(B5),ABS(C5))=0,0,ABS(B5-C5)/MAX(ABS(B5),ABS(C5)))</f>
        <v>9.60061165661832E-013</v>
      </c>
    </row>
    <row r="6" customFormat="false" ht="15" hidden="false" customHeight="false" outlineLevel="0" collapsed="false">
      <c r="A6" s="8" t="s">
        <v>704</v>
      </c>
      <c r="B6" s="79" t="n">
        <v>0.165619759539409</v>
      </c>
      <c r="C6" s="80" t="n">
        <f aca="false">tau_tga</f>
        <v>0.165619759539384</v>
      </c>
      <c r="D6" s="81" t="n">
        <f aca="false">IF(MAX(ABS(B6),ABS(C6))=0,0,ABS(B6-C6)/MAX(ABS(B6),ABS(C6)))</f>
        <v>1.50324764366627E-013</v>
      </c>
    </row>
    <row r="7" customFormat="false" ht="15" hidden="false" customHeight="false" outlineLevel="0" collapsed="false">
      <c r="A7" s="2" t="s">
        <v>705</v>
      </c>
      <c r="B7" s="79" t="n">
        <v>0.506169848494083</v>
      </c>
      <c r="C7" s="80" t="n">
        <f aca="false">sd_between</f>
        <v>0.506169848494083</v>
      </c>
      <c r="D7" s="81" t="n">
        <f aca="false">IF(MAX(ABS(B7),ABS(C7))=0,0,ABS(B7-C7)/MAX(ABS(B7),ABS(C7)))</f>
        <v>0</v>
      </c>
    </row>
    <row r="8" customFormat="false" ht="15" hidden="false" customHeight="false" outlineLevel="0" collapsed="false">
      <c r="A8" s="8" t="s">
        <v>706</v>
      </c>
      <c r="B8" s="79" t="n">
        <v>1057.2130365663</v>
      </c>
      <c r="C8" s="80" t="n">
        <f aca="false">'7_통합(베이즈)'!N6</f>
        <v>1057.21303656629</v>
      </c>
      <c r="D8" s="81" t="n">
        <f aca="false">IF(MAX(ABS(B8),ABS(C8))=0,0,ABS(B8-C8)/MAX(ABS(B8),ABS(C8)))</f>
        <v>9.03289501577846E-015</v>
      </c>
    </row>
    <row r="9" customFormat="false" ht="15" hidden="false" customHeight="false" outlineLevel="0" collapsed="false">
      <c r="A9" s="8" t="s">
        <v>707</v>
      </c>
      <c r="B9" s="79" t="n">
        <v>0.1354654785</v>
      </c>
      <c r="C9" s="80" t="n">
        <f aca="false">'7_통합(베이즈)'!I6</f>
        <v>0.135465478530452</v>
      </c>
      <c r="D9" s="81" t="n">
        <f aca="false">IF(MAX(ABS(B9),ABS(C9))=0,0,ABS(B9-C9)/MAX(ABS(B9),ABS(C9)))</f>
        <v>2.24795293690017E-010</v>
      </c>
    </row>
    <row r="10" customFormat="false" ht="15" hidden="false" customHeight="false" outlineLevel="0" collapsed="false">
      <c r="A10" s="8" t="s">
        <v>708</v>
      </c>
      <c r="B10" s="79" t="n">
        <v>0.8622195602</v>
      </c>
      <c r="C10" s="80" t="n">
        <f aca="false">'7_통합(베이즈)'!Q6</f>
        <v>0.862219560160625</v>
      </c>
      <c r="D10" s="81" t="n">
        <f aca="false">IF(MAX(ABS(B10),ABS(C10))=0,0,ABS(B10-C10)/MAX(ABS(B10),ABS(C10)))</f>
        <v>4.56674768858494E-011</v>
      </c>
    </row>
    <row r="11" customFormat="false" ht="15" hidden="false" customHeight="false" outlineLevel="0" collapsed="false">
      <c r="A11" s="8" t="s">
        <v>709</v>
      </c>
      <c r="B11" s="79" t="n">
        <v>0.144</v>
      </c>
      <c r="C11" s="80" t="n">
        <f aca="false">'7_통합(베이즈)'!J18</f>
        <v>0.144</v>
      </c>
      <c r="D11" s="81" t="n">
        <f aca="false">IF(MAX(ABS(B11),ABS(C11))=0,0,ABS(B11-C11)/MAX(ABS(B11),ABS(C11)))</f>
        <v>0</v>
      </c>
    </row>
    <row r="12" customFormat="false" ht="15" hidden="false" customHeight="false" outlineLevel="0" collapsed="false">
      <c r="A12" s="8" t="s">
        <v>710</v>
      </c>
      <c r="B12" s="79" t="n">
        <v>0.575296</v>
      </c>
      <c r="C12" s="80" t="n">
        <f aca="false">'7_통합(베이즈)'!M18</f>
        <v>0.575296</v>
      </c>
      <c r="D12" s="81" t="n">
        <f aca="false">IF(MAX(ABS(B12),ABS(C12))=0,0,ABS(B12-C12)/MAX(ABS(B12),ABS(C12)))</f>
        <v>0</v>
      </c>
    </row>
    <row r="13" customFormat="false" ht="15" hidden="false" customHeight="false" outlineLevel="0" collapsed="false">
      <c r="A13" s="8" t="s">
        <v>711</v>
      </c>
      <c r="B13" s="79" t="n">
        <v>1334.0671386605</v>
      </c>
      <c r="C13" s="80" t="n">
        <f aca="false">'7_통합(베이즈)'!N7</f>
        <v>1334.06713866051</v>
      </c>
      <c r="D13" s="81" t="n">
        <f aca="false">IF(MAX(ABS(B13),ABS(C13))=0,0,ABS(B13-C13)/MAX(ABS(B13),ABS(C13)))</f>
        <v>3.92003849254934E-015</v>
      </c>
    </row>
    <row r="14" customFormat="false" ht="15" hidden="false" customHeight="false" outlineLevel="0" collapsed="false">
      <c r="A14" s="8" t="s">
        <v>712</v>
      </c>
      <c r="B14" s="79" t="n">
        <v>0.1354654785</v>
      </c>
      <c r="C14" s="80" t="n">
        <f aca="false">'7_통합(베이즈)'!I7</f>
        <v>0.135465478530452</v>
      </c>
      <c r="D14" s="81" t="n">
        <f aca="false">IF(MAX(ABS(B14),ABS(C14))=0,0,ABS(B14-C14)/MAX(ABS(B14),ABS(C14)))</f>
        <v>2.24795293690017E-010</v>
      </c>
    </row>
    <row r="15" customFormat="false" ht="15" hidden="false" customHeight="false" outlineLevel="0" collapsed="false">
      <c r="A15" s="8" t="s">
        <v>713</v>
      </c>
      <c r="B15" s="79" t="n">
        <v>0.3662908019</v>
      </c>
      <c r="C15" s="80" t="n">
        <f aca="false">'7_통합(베이즈)'!Q7</f>
        <v>0.366290801918649</v>
      </c>
      <c r="D15" s="81" t="n">
        <f aca="false">IF(MAX(ABS(B15),ABS(C15))=0,0,ABS(B15-C15)/MAX(ABS(B15),ABS(C15)))</f>
        <v>5.09122631600416E-011</v>
      </c>
    </row>
    <row r="16" customFormat="false" ht="15" hidden="false" customHeight="false" outlineLevel="0" collapsed="false">
      <c r="A16" s="8" t="s">
        <v>714</v>
      </c>
      <c r="B16" s="79" t="n">
        <v>0.975</v>
      </c>
      <c r="C16" s="80" t="n">
        <f aca="false">'7_통합(베이즈)'!J19</f>
        <v>0.975</v>
      </c>
      <c r="D16" s="81" t="n">
        <f aca="false">IF(MAX(ABS(B16),ABS(C16))=0,0,ABS(B16-C16)/MAX(ABS(B16),ABS(C16)))</f>
        <v>0</v>
      </c>
    </row>
    <row r="17" customFormat="false" ht="15" hidden="false" customHeight="false" outlineLevel="0" collapsed="false">
      <c r="A17" s="8" t="s">
        <v>715</v>
      </c>
      <c r="B17" s="79" t="n">
        <v>0.9183333333</v>
      </c>
      <c r="C17" s="80" t="n">
        <f aca="false">'7_통합(베이즈)'!M19</f>
        <v>0.918333333333333</v>
      </c>
      <c r="D17" s="81" t="n">
        <f aca="false">IF(MAX(ABS(B17),ABS(C17))=0,0,ABS(B17-C17)/MAX(ABS(B17),ABS(C17)))</f>
        <v>3.62976436566378E-011</v>
      </c>
    </row>
    <row r="18" customFormat="false" ht="15" hidden="false" customHeight="false" outlineLevel="0" collapsed="false">
      <c r="A18" s="8" t="s">
        <v>716</v>
      </c>
      <c r="B18" s="79" t="n">
        <v>530.6097293831</v>
      </c>
      <c r="C18" s="80" t="n">
        <f aca="false">'7_통합(베이즈)'!N8</f>
        <v>530.609729383094</v>
      </c>
      <c r="D18" s="81" t="n">
        <f aca="false">IF(MAX(ABS(B18),ABS(C18))=0,0,ABS(B18-C18)/MAX(ABS(B18),ABS(C18)))</f>
        <v>1.13556198945898E-014</v>
      </c>
    </row>
    <row r="19" customFormat="false" ht="15" hidden="false" customHeight="false" outlineLevel="0" collapsed="false">
      <c r="A19" s="8" t="s">
        <v>717</v>
      </c>
      <c r="B19" s="79" t="n">
        <v>0.1354654785</v>
      </c>
      <c r="C19" s="80" t="n">
        <f aca="false">'7_통합(베이즈)'!I8</f>
        <v>0.135465478530452</v>
      </c>
      <c r="D19" s="81" t="n">
        <f aca="false">IF(MAX(ABS(B19),ABS(C19))=0,0,ABS(B19-C19)/MAX(ABS(B19),ABS(C19)))</f>
        <v>2.24795293690017E-010</v>
      </c>
    </row>
    <row r="20" customFormat="false" ht="15" hidden="false" customHeight="false" outlineLevel="0" collapsed="false">
      <c r="A20" s="8" t="s">
        <v>718</v>
      </c>
      <c r="B20" s="79" t="n">
        <v>-1.456848818</v>
      </c>
      <c r="C20" s="80" t="n">
        <f aca="false">'7_통합(베이즈)'!Q8</f>
        <v>-1.45684881799939</v>
      </c>
      <c r="D20" s="81" t="n">
        <f aca="false">IF(MAX(ABS(B20),ABS(C20))=0,0,ABS(B20-C20)/MAX(ABS(B20),ABS(C20)))</f>
        <v>4.20663490968413E-013</v>
      </c>
    </row>
    <row r="21" customFormat="false" ht="15" hidden="false" customHeight="false" outlineLevel="0" collapsed="false">
      <c r="A21" s="8" t="s">
        <v>719</v>
      </c>
      <c r="B21" s="79" t="n">
        <v>0.506</v>
      </c>
      <c r="C21" s="80" t="n">
        <f aca="false">'7_통합(베이즈)'!J20</f>
        <v>0.506</v>
      </c>
      <c r="D21" s="81" t="n">
        <f aca="false">IF(MAX(ABS(B21),ABS(C21))=0,0,ABS(B21-C21)/MAX(ABS(B21),ABS(C21)))</f>
        <v>0</v>
      </c>
    </row>
    <row r="22" customFormat="false" ht="15" hidden="false" customHeight="false" outlineLevel="0" collapsed="false">
      <c r="A22" s="8" t="s">
        <v>720</v>
      </c>
      <c r="B22" s="79" t="n">
        <v>0.3331413333</v>
      </c>
      <c r="C22" s="80" t="n">
        <f aca="false">'7_통합(베이즈)'!M20</f>
        <v>0.333141333333333</v>
      </c>
      <c r="D22" s="81" t="n">
        <f aca="false">IF(MAX(ABS(B22),ABS(C22))=0,0,ABS(B22-C22)/MAX(ABS(B22),ABS(C22)))</f>
        <v>1.00057641475527E-010</v>
      </c>
    </row>
    <row r="23" customFormat="false" ht="15" hidden="false" customHeight="false" outlineLevel="0" collapsed="false">
      <c r="A23" s="8" t="s">
        <v>721</v>
      </c>
      <c r="B23" s="79" t="n">
        <v>-18.5183900046</v>
      </c>
      <c r="C23" s="80" t="n">
        <f aca="false">'7_통합(베이즈)'!G12</f>
        <v>-18.5183900046378</v>
      </c>
      <c r="D23" s="81" t="n">
        <f aca="false">IF(MAX(ABS(B23),ABS(C23))=0,0,ABS(B23-C23)/MAX(ABS(B23),ABS(C23)))</f>
        <v>2.04337166370442E-012</v>
      </c>
    </row>
    <row r="24" customFormat="false" ht="15" hidden="false" customHeight="false" outlineLevel="0" collapsed="false">
      <c r="A24" s="8" t="s">
        <v>722</v>
      </c>
      <c r="B24" s="79" t="n">
        <v>2.1427288824</v>
      </c>
      <c r="C24" s="80" t="n">
        <f aca="false">'7_통합(베이즈)'!G13</f>
        <v>2.1427288823873</v>
      </c>
      <c r="D24" s="81" t="n">
        <f aca="false">IF(MAX(ABS(B24),ABS(C24))=0,0,ABS(B24-C24)/MAX(ABS(B24),ABS(C24)))</f>
        <v>5.92642917168275E-012</v>
      </c>
    </row>
    <row r="25" customFormat="false" ht="15" hidden="false" customHeight="false" outlineLevel="0" collapsed="false">
      <c r="A25" s="8" t="s">
        <v>723</v>
      </c>
      <c r="B25" s="79" t="n">
        <v>0.895375</v>
      </c>
      <c r="C25" s="80" t="n">
        <f aca="false">'7_통합(베이즈)'!M17</f>
        <v>0.895375</v>
      </c>
      <c r="D25" s="81" t="n">
        <f aca="false">IF(MAX(ABS(B25),ABS(C25))=0,0,ABS(B25-C25)/MAX(ABS(B25),ABS(C25)))</f>
        <v>0</v>
      </c>
    </row>
    <row r="27" customFormat="false" ht="15" hidden="false" customHeight="false" outlineLevel="0" collapsed="false">
      <c r="A27" s="2" t="s">
        <v>724</v>
      </c>
      <c r="B27" s="82" t="n">
        <f aca="false">MAX(D5:D25)</f>
        <v>2.24795293690017E-010</v>
      </c>
      <c r="C27" s="83" t="str">
        <f aca="false">IF(B27&lt;0.000001,"일치","불일치 — 입력 확인")</f>
        <v>일치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2026-10-23T07:35:25Z</dcterms:created>
  <dc:creator>openpyxl</dc:creator>
  <dc:description/>
  <dc:language>en-US</dc:language>
  <cp:lastModifiedBy/>
  <dcterms:modified xsi:type="dcterms:W3CDTF">2026-10-23T07:35:26Z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