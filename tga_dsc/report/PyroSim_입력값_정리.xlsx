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는 법" sheetId="1" state="visible" r:id="rId3"/>
    <sheet name="MATL 입력값" sheetId="2" state="visible" r:id="rId4"/>
    <sheet name="반응 파라미터" sheetId="3" state="visible" r:id="rId5"/>
    <sheet name="밀도 측정" sheetId="4" state="visible" r:id="rId6"/>
    <sheet name="비열 측정" sheetId="5" state="visible" r:id="rId7"/>
    <sheet name="측정 곡선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TGA </t>
        </r>
        <r>
          <rPr>
            <sz val="10"/>
            <rFont val="WenQuanYi Zen Hei"/>
            <family val="2"/>
          </rPr>
          <t xml:space="preserve">승온속도 </t>
        </r>
        <r>
          <rPr>
            <sz val="10"/>
            <rFont val="Arial"/>
            <family val="2"/>
          </rPr>
          <t xml:space="preserve">= FDS HEATING_RATE. </t>
        </r>
        <r>
          <rPr>
            <sz val="10"/>
            <rFont val="WenQuanYi Zen Hei"/>
            <family val="2"/>
          </rPr>
          <t xml:space="preserve">원자료의 실측 승온속도는 </t>
        </r>
        <r>
          <rPr>
            <sz val="10"/>
            <rFont val="Arial"/>
            <family val="2"/>
          </rPr>
          <t xml:space="preserve">4.94–4.98 K/min.</t>
        </r>
      </text>
    </comment>
    <comment ref="B5" authorId="0">
      <text>
        <r>
          <rPr>
            <sz val="10"/>
            <rFont val="WenQuanYi Zen Hei"/>
            <family val="2"/>
          </rPr>
          <t xml:space="preserve">원자료에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가스 종류가 없음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공기라고 가정한 값이며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순수 산소였다면 </t>
        </r>
        <r>
          <rPr>
            <sz val="10"/>
            <rFont val="Arial"/>
            <family val="2"/>
          </rPr>
          <t xml:space="preserve">1.0</t>
        </r>
        <r>
          <rPr>
            <sz val="10"/>
            <rFont val="WenQuanYi Zen Hei"/>
            <family val="2"/>
          </rPr>
          <t xml:space="preserve">으로 바꿉니다</t>
        </r>
        <r>
          <rPr>
            <sz val="10"/>
            <rFont val="Arial"/>
            <family val="2"/>
          </rPr>
          <t xml:space="preserve">.</t>
        </r>
      </text>
    </comment>
    <comment ref="I12" authorId="0">
      <text>
        <r>
          <rPr>
            <sz val="10"/>
            <rFont val="Arial"/>
            <family val="2"/>
          </rPr>
          <t xml:space="preserve">790 °C</t>
        </r>
        <r>
          <rPr>
            <sz val="10"/>
            <rFont val="WenQuanYi Zen Hei"/>
            <family val="2"/>
          </rPr>
          <t xml:space="preserve">에서도 이 단계의 감소가 진행 중이라 피크가 범위 끝에 걸림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기준값으로 쓰지 말 것</t>
        </r>
        <r>
          <rPr>
            <sz val="10"/>
            <rFont val="Arial"/>
            <family val="2"/>
          </rPr>
          <t xml:space="preserve">.</t>
        </r>
      </text>
    </comment>
    <comment ref="I14" authorId="0">
      <text>
        <r>
          <rPr>
            <sz val="10"/>
            <rFont val="Arial"/>
            <family val="2"/>
          </rPr>
          <t xml:space="preserve">790 °C</t>
        </r>
        <r>
          <rPr>
            <sz val="10"/>
            <rFont val="WenQuanYi Zen Hei"/>
            <family val="2"/>
          </rPr>
          <t xml:space="preserve">에서도 이 단계의 감소가 진행 중이라 피크가 범위 끝에 걸림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기준값으로 쓰지 말 것</t>
        </r>
        <r>
          <rPr>
            <sz val="10"/>
            <rFont val="Arial"/>
            <family val="2"/>
          </rPr>
          <t xml:space="preserve">.</t>
        </r>
      </text>
    </comment>
    <comment ref="I18" authorId="0">
      <text>
        <r>
          <rPr>
            <sz val="10"/>
            <rFont val="Arial"/>
            <family val="2"/>
          </rPr>
          <t xml:space="preserve">790 °C</t>
        </r>
        <r>
          <rPr>
            <sz val="10"/>
            <rFont val="WenQuanYi Zen Hei"/>
            <family val="2"/>
          </rPr>
          <t xml:space="preserve">에서도 이 단계의 감소가 진행 중이라 피크가 범위 끝에 걸림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기준값으로 쓰지 말 것</t>
        </r>
        <r>
          <rPr>
            <sz val="10"/>
            <rFont val="Arial"/>
            <family val="2"/>
          </rPr>
          <t xml:space="preserve">.</t>
        </r>
      </text>
    </comment>
    <comment ref="I22" authorId="0">
      <text>
        <r>
          <rPr>
            <sz val="10"/>
            <rFont val="Arial"/>
            <family val="2"/>
          </rPr>
          <t xml:space="preserve">790 °C</t>
        </r>
        <r>
          <rPr>
            <sz val="10"/>
            <rFont val="WenQuanYi Zen Hei"/>
            <family val="2"/>
          </rPr>
          <t xml:space="preserve">에서도 이 단계의 감소가 진행 중이라 피크가 범위 끝에 걸림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기준값으로 쓰지 말 것</t>
        </r>
        <r>
          <rPr>
            <sz val="10"/>
            <rFont val="Arial"/>
            <family val="2"/>
          </rPr>
          <t xml:space="preserve">.</t>
        </r>
      </text>
    </comment>
    <comment ref="I26" authorId="0">
      <text>
        <r>
          <rPr>
            <sz val="10"/>
            <rFont val="Arial"/>
            <family val="2"/>
          </rPr>
          <t xml:space="preserve">790 °C</t>
        </r>
        <r>
          <rPr>
            <sz val="10"/>
            <rFont val="WenQuanYi Zen Hei"/>
            <family val="2"/>
          </rPr>
          <t xml:space="preserve">에서도 이 단계의 감소가 진행 중이라 피크가 범위 끝에 걸림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기준값으로 쓰지 말 것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<sst xmlns="http://schemas.openxmlformats.org/spreadsheetml/2006/main" count="340" uniqueCount="227">
  <si>
    <r>
      <rPr>
        <b val="true"/>
        <sz val="14"/>
        <rFont val="Arial"/>
        <family val="0"/>
        <charset val="1"/>
      </rPr>
      <t xml:space="preserve">PyroSim(FDS) </t>
    </r>
    <r>
      <rPr>
        <b val="true"/>
        <sz val="14"/>
        <rFont val="WenQuanYi Zen Hei"/>
        <family val="2"/>
      </rPr>
      <t xml:space="preserve">재료 입력값 정리 — 단열재 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WenQuanYi Zen Hei"/>
        <family val="2"/>
      </rPr>
      <t xml:space="preserve">종</t>
    </r>
  </si>
  <si>
    <t xml:space="preserve">목적</t>
  </si>
  <si>
    <r>
      <rPr>
        <sz val="10"/>
        <rFont val="Arial"/>
        <family val="0"/>
        <charset val="1"/>
      </rPr>
      <t xml:space="preserve">TGA–DSC </t>
    </r>
    <r>
      <rPr>
        <sz val="10"/>
        <rFont val="WenQuanYi Zen Hei"/>
        <family val="2"/>
      </rPr>
      <t xml:space="preserve">결과를 </t>
    </r>
    <r>
      <rPr>
        <sz val="10"/>
        <rFont val="Arial"/>
        <family val="0"/>
        <charset val="1"/>
      </rPr>
      <t xml:space="preserve">PyroSim </t>
    </r>
    <r>
      <rPr>
        <sz val="10"/>
        <rFont val="WenQuanYi Zen Hei"/>
        <family val="2"/>
      </rPr>
      <t xml:space="preserve">재료</t>
    </r>
    <r>
      <rPr>
        <sz val="10"/>
        <rFont val="Arial"/>
        <family val="0"/>
        <charset val="1"/>
      </rPr>
      <t xml:space="preserve">(MATL) </t>
    </r>
    <r>
      <rPr>
        <sz val="10"/>
        <rFont val="WenQuanYi Zen Hei"/>
        <family val="2"/>
      </rPr>
      <t xml:space="preserve">입력에 옮길 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 시험으로 구한 값과 따로 측정해야 하는 값을 나눠 정리합니다</t>
    </r>
    <r>
      <rPr>
        <sz val="10"/>
        <rFont val="Arial"/>
        <family val="0"/>
        <charset val="1"/>
      </rPr>
      <t xml:space="preserve">.</t>
    </r>
  </si>
  <si>
    <t xml:space="preserve">핵심</t>
  </si>
  <si>
    <r>
      <rPr>
        <sz val="10"/>
        <rFont val="WenQuanYi Zen Hei"/>
        <family val="2"/>
      </rPr>
      <t xml:space="preserve">밀도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열전도율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반응열은 이 </t>
    </r>
    <r>
      <rPr>
        <sz val="10"/>
        <rFont val="Arial"/>
        <family val="0"/>
        <charset val="1"/>
      </rPr>
      <t xml:space="preserve">TGA–DSC </t>
    </r>
    <r>
      <rPr>
        <sz val="10"/>
        <rFont val="WenQuanYi Zen Hei"/>
        <family val="2"/>
      </rPr>
      <t xml:space="preserve">자료로 구할 수 없습니다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시료 초기 질량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블랭크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열류 교정 없음</t>
    </r>
    <r>
      <rPr>
        <sz val="10"/>
        <rFont val="Arial"/>
        <family val="0"/>
        <charset val="1"/>
      </rPr>
      <t xml:space="preserve">). TGA</t>
    </r>
    <r>
      <rPr>
        <sz val="10"/>
        <rFont val="WenQuanYi Zen Hei"/>
        <family val="2"/>
      </rPr>
      <t xml:space="preserve">는 열분해 반응의 기준온도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기준속도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단계 수에 씁니다</t>
    </r>
    <r>
      <rPr>
        <sz val="10"/>
        <rFont val="Arial"/>
        <family val="0"/>
        <charset val="1"/>
      </rPr>
      <t xml:space="preserve">.</t>
    </r>
  </si>
  <si>
    <t xml:space="preserve">칸 색</t>
  </si>
  <si>
    <r>
      <rPr>
        <sz val="10"/>
        <rFont val="WenQuanYi Zen Hei"/>
        <family val="2"/>
      </rPr>
      <t xml:space="preserve">노란 바탕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직접 입력할 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파란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입력값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측정값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가정 포함</t>
    </r>
    <r>
      <rPr>
        <sz val="10"/>
        <rFont val="Arial"/>
        <family val="0"/>
        <charset val="1"/>
      </rPr>
      <t xml:space="preserve">) · </t>
    </r>
    <r>
      <rPr>
        <sz val="10"/>
        <rFont val="WenQuanYi Zen Hei"/>
        <family val="2"/>
      </rPr>
      <t xml:space="preserve">검은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계산식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초록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다른 시트에서 가져온 값</t>
    </r>
  </si>
  <si>
    <t xml:space="preserve">시트</t>
  </si>
  <si>
    <r>
      <rPr>
        <sz val="10"/>
        <rFont val="Arial"/>
        <family val="0"/>
        <charset val="1"/>
      </rPr>
      <t xml:space="preserve">MATL </t>
    </r>
    <r>
      <rPr>
        <sz val="10"/>
        <rFont val="WenQuanYi Zen Hei"/>
        <family val="2"/>
      </rPr>
      <t xml:space="preserve">입력값 → 재료별 입력 항목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반응 파라미터 → </t>
    </r>
    <r>
      <rPr>
        <sz val="10"/>
        <rFont val="Arial"/>
        <family val="0"/>
        <charset val="1"/>
      </rPr>
      <t xml:space="preserve">TGA </t>
    </r>
    <r>
      <rPr>
        <sz val="10"/>
        <rFont val="WenQuanYi Zen Hei"/>
        <family val="2"/>
      </rPr>
      <t xml:space="preserve">단계별 </t>
    </r>
    <r>
      <rPr>
        <sz val="10"/>
        <rFont val="Arial"/>
        <family val="0"/>
        <charset val="1"/>
      </rPr>
      <t xml:space="preserve">REFERENCE_TEMPERATURE·REFERENCE_RATE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FDS</t>
    </r>
    <r>
      <rPr>
        <sz val="10"/>
        <rFont val="WenQuanYi Zen Hei"/>
        <family val="2"/>
      </rPr>
      <t xml:space="preserve">가 계산하는 </t>
    </r>
    <r>
      <rPr>
        <sz val="10"/>
        <rFont val="Arial"/>
        <family val="0"/>
        <charset val="1"/>
      </rPr>
      <t xml:space="preserve">A·E / </t>
    </r>
    <r>
      <rPr>
        <sz val="10"/>
        <rFont val="WenQuanYi Zen Hei"/>
        <family val="2"/>
      </rPr>
      <t xml:space="preserve">밀도 측정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비열 측정 → 측정 기록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채우면 </t>
    </r>
    <r>
      <rPr>
        <sz val="10"/>
        <rFont val="Arial"/>
        <family val="0"/>
        <charset val="1"/>
      </rPr>
      <t xml:space="preserve">MATL </t>
    </r>
    <r>
      <rPr>
        <sz val="10"/>
        <rFont val="WenQuanYi Zen Hei"/>
        <family val="2"/>
      </rPr>
      <t xml:space="preserve">입력값에 평균이 들어감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측정 곡선 → </t>
    </r>
    <r>
      <rPr>
        <sz val="10"/>
        <rFont val="Arial"/>
        <family val="0"/>
        <charset val="1"/>
      </rPr>
      <t xml:space="preserve">FDS TGA_ANALYSIS </t>
    </r>
    <r>
      <rPr>
        <sz val="10"/>
        <rFont val="WenQuanYi Zen Hei"/>
        <family val="2"/>
      </rPr>
      <t xml:space="preserve">결과와 비교할 곡선</t>
    </r>
  </si>
  <si>
    <t xml:space="preserve">REFERENCE_RATE</t>
  </si>
  <si>
    <r>
      <rPr>
        <sz val="10"/>
        <rFont val="Arial"/>
        <family val="0"/>
        <charset val="1"/>
      </rPr>
      <t xml:space="preserve">FDS </t>
    </r>
    <r>
      <rPr>
        <sz val="10"/>
        <rFont val="WenQuanYi Zen Hei"/>
        <family val="2"/>
      </rPr>
      <t xml:space="preserve">정의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기준온도에서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반응하는 성분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 정규화 질량감소속도</t>
    </r>
    <r>
      <rPr>
        <sz val="10"/>
        <rFont val="Arial"/>
        <family val="0"/>
        <charset val="1"/>
      </rPr>
      <t xml:space="preserve">(1/s). </t>
    </r>
    <r>
      <rPr>
        <sz val="10"/>
        <rFont val="WenQuanYi Zen Hei"/>
        <family val="2"/>
      </rPr>
      <t xml:space="preserve">이 자료의 전환율 </t>
    </r>
    <r>
      <rPr>
        <sz val="10"/>
        <rFont val="Arial"/>
        <family val="0"/>
        <charset val="1"/>
      </rPr>
      <t xml:space="preserve">α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790 °C</t>
    </r>
    <r>
      <rPr>
        <sz val="10"/>
        <rFont val="WenQuanYi Zen Hei"/>
        <family val="2"/>
      </rPr>
      <t xml:space="preserve">까지 감소량으로 정규화했으므로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감소량의 몫 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를 차지하는 단계의 값은 승온속도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피크 속도 </t>
    </r>
    <r>
      <rPr>
        <sz val="10"/>
        <rFont val="Arial"/>
        <family val="0"/>
        <charset val="1"/>
      </rPr>
      <t xml:space="preserve">÷ f </t>
    </r>
    <r>
      <rPr>
        <sz val="10"/>
        <rFont val="WenQuanYi Zen Hei"/>
        <family val="2"/>
      </rPr>
      <t xml:space="preserve">입니다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초기 질량 불필요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</si>
  <si>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Arial"/>
        <family val="0"/>
        <charset val="1"/>
      </rPr>
      <t xml:space="preserve">A·E </t>
    </r>
    <r>
      <rPr>
        <b val="true"/>
        <sz val="10"/>
        <rFont val="WenQuanYi Zen Hei"/>
        <family val="2"/>
      </rPr>
      <t xml:space="preserve">계산식</t>
    </r>
  </si>
  <si>
    <r>
      <rPr>
        <sz val="10"/>
        <rFont val="Arial"/>
        <family val="0"/>
        <charset val="1"/>
      </rPr>
      <t xml:space="preserve">FDS read.f90: E = e·r_p·R·T_p²/β, A = e·r_p·exp(E/(R·T_p)) (1</t>
    </r>
    <r>
      <rPr>
        <sz val="10"/>
        <rFont val="WenQuanYi Zen Hei"/>
        <family val="2"/>
      </rPr>
      <t xml:space="preserve">차 반응 가정</t>
    </r>
    <r>
      <rPr>
        <sz val="10"/>
        <rFont val="Arial"/>
        <family val="0"/>
        <charset val="1"/>
      </rPr>
      <t xml:space="preserve">, β = HEATING_RATE). REFERENCE_TEMPERATURE</t>
    </r>
    <r>
      <rPr>
        <sz val="10"/>
        <rFont val="WenQuanYi Zen Hei"/>
        <family val="2"/>
      </rPr>
      <t xml:space="preserve">를 쓰면 </t>
    </r>
    <r>
      <rPr>
        <sz val="10"/>
        <rFont val="Arial"/>
        <family val="0"/>
        <charset val="1"/>
      </rPr>
      <t xml:space="preserve">FDS</t>
    </r>
    <r>
      <rPr>
        <sz val="10"/>
        <rFont val="WenQuanYi Zen Hei"/>
        <family val="2"/>
      </rPr>
      <t xml:space="preserve">가 이 식으로 </t>
    </r>
    <r>
      <rPr>
        <sz val="10"/>
        <rFont val="Arial"/>
        <family val="0"/>
        <charset val="1"/>
      </rPr>
      <t xml:space="preserve">A·E</t>
    </r>
    <r>
      <rPr>
        <sz val="10"/>
        <rFont val="WenQuanYi Zen Hei"/>
        <family val="2"/>
      </rPr>
      <t xml:space="preserve">를 계산하므로 </t>
    </r>
    <r>
      <rPr>
        <sz val="10"/>
        <rFont val="Arial"/>
        <family val="0"/>
        <charset val="1"/>
      </rPr>
      <t xml:space="preserve">A·E</t>
    </r>
    <r>
      <rPr>
        <sz val="10"/>
        <rFont val="WenQuanYi Zen Hei"/>
        <family val="2"/>
      </rPr>
      <t xml:space="preserve">를 따로 넣지 않습니다</t>
    </r>
    <r>
      <rPr>
        <sz val="10"/>
        <rFont val="Arial"/>
        <family val="0"/>
        <charset val="1"/>
      </rPr>
      <t xml:space="preserve">.</t>
    </r>
  </si>
  <si>
    <t xml:space="preserve">산화 반응</t>
  </si>
  <si>
    <r>
      <rPr>
        <sz val="10"/>
        <rFont val="WenQuanYi Zen Hei"/>
        <family val="2"/>
      </rPr>
      <t xml:space="preserve">탄화층 산화를 </t>
    </r>
    <r>
      <rPr>
        <sz val="10"/>
        <rFont val="Arial"/>
        <family val="0"/>
        <charset val="1"/>
      </rPr>
      <t xml:space="preserve">N_O2 = 1(</t>
    </r>
    <r>
      <rPr>
        <sz val="10"/>
        <rFont val="WenQuanYi Zen Hei"/>
        <family val="2"/>
      </rPr>
      <t xml:space="preserve">산소 의존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넣으면 </t>
    </r>
    <r>
      <rPr>
        <sz val="10"/>
        <rFont val="Arial"/>
        <family val="0"/>
        <charset val="1"/>
      </rPr>
      <t xml:space="preserve">FDS </t>
    </r>
    <r>
      <rPr>
        <sz val="10"/>
        <rFont val="WenQuanYi Zen Hei"/>
        <family val="2"/>
      </rPr>
      <t xml:space="preserve">반응속도에 산소 몰분율이 곱해집니다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공기 중 </t>
    </r>
    <r>
      <rPr>
        <sz val="10"/>
        <rFont val="Arial"/>
        <family val="0"/>
        <charset val="1"/>
      </rPr>
      <t xml:space="preserve">TGA</t>
    </r>
    <r>
      <rPr>
        <sz val="10"/>
        <rFont val="WenQuanYi Zen Hei"/>
        <family val="2"/>
      </rPr>
      <t xml:space="preserve">로 구한 값이면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X_O2(</t>
    </r>
    <r>
      <rPr>
        <sz val="10"/>
        <rFont val="WenQuanYi Zen Hei"/>
        <family val="2"/>
      </rPr>
      <t xml:space="preserve">공기 </t>
    </r>
    <r>
      <rPr>
        <sz val="10"/>
        <rFont val="Arial"/>
        <family val="0"/>
        <charset val="1"/>
      </rPr>
      <t xml:space="preserve">0.209)</t>
    </r>
    <r>
      <rPr>
        <sz val="10"/>
        <rFont val="WenQuanYi Zen Hei"/>
        <family val="2"/>
      </rPr>
      <t xml:space="preserve">로 나눠 </t>
    </r>
    <r>
      <rPr>
        <sz val="10"/>
        <rFont val="Arial"/>
        <family val="0"/>
        <charset val="1"/>
      </rPr>
      <t xml:space="preserve">A·E</t>
    </r>
    <r>
      <rPr>
        <sz val="10"/>
        <rFont val="WenQuanYi Zen Hei"/>
        <family val="2"/>
      </rPr>
      <t xml:space="preserve">를 직접 입력합니다</t>
    </r>
    <r>
      <rPr>
        <sz val="10"/>
        <rFont val="Arial"/>
        <family val="0"/>
        <charset val="1"/>
      </rPr>
      <t xml:space="preserve">. O </t>
    </r>
    <r>
      <rPr>
        <sz val="10"/>
        <rFont val="WenQuanYi Zen Hei"/>
        <family val="2"/>
      </rPr>
      <t xml:space="preserve">가스가 순수 산소였다면 나누지 않습니다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가스 종류 확인 필요</t>
    </r>
    <r>
      <rPr>
        <sz val="10"/>
        <rFont val="Arial"/>
        <family val="0"/>
        <charset val="1"/>
      </rPr>
      <t xml:space="preserve">).</t>
    </r>
  </si>
  <si>
    <t xml:space="preserve">출처</t>
  </si>
  <si>
    <r>
      <rPr>
        <sz val="10"/>
        <rFont val="Arial"/>
        <family val="0"/>
        <charset val="1"/>
      </rPr>
      <t xml:space="preserve">FDS User's Guide 'Estimating Kinetic Parameters' · 'Thermal Properties' · 'Simulating Bench-scale Measurements (TGA_ANALYSIS)' (github.com/firemodels/fds, Manuals/FDS_User_Guide) · FDS Source/read.f90 · </t>
    </r>
    <r>
      <rPr>
        <sz val="10"/>
        <rFont val="WenQuanYi Zen Hei"/>
        <family val="2"/>
      </rPr>
      <t xml:space="preserve">이 저장소 </t>
    </r>
    <r>
      <rPr>
        <sz val="10"/>
        <rFont val="Arial"/>
        <family val="0"/>
        <charset val="1"/>
      </rPr>
      <t xml:space="preserve">tga_dsc/pyrosim_inputs.py, results/pyrosim_reactions.csv</t>
    </r>
  </si>
  <si>
    <t xml:space="preserve">주의</t>
  </si>
  <si>
    <r>
      <rPr>
        <sz val="10"/>
        <rFont val="WenQuanYi Zen Hei"/>
        <family val="2"/>
      </rPr>
      <t xml:space="preserve">카탈로그 </t>
    </r>
    <r>
      <rPr>
        <sz val="10"/>
        <rFont val="Arial"/>
        <family val="0"/>
        <charset val="1"/>
      </rPr>
      <t xml:space="preserve">k·ρ·c</t>
    </r>
    <r>
      <rPr>
        <sz val="10"/>
        <rFont val="WenQuanYi Zen Hei"/>
        <family val="2"/>
      </rPr>
      <t xml:space="preserve">를 그대로 넣은 맨 단열재는 중공층 시험보다 훨씬 빨리 착화합니다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기존 역산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모델 </t>
    </r>
    <r>
      <rPr>
        <sz val="10"/>
        <rFont val="Arial"/>
        <family val="0"/>
        <charset val="1"/>
      </rPr>
      <t xml:space="preserve">16–51 s, </t>
    </r>
    <r>
      <rPr>
        <sz val="10"/>
        <rFont val="WenQuanYi Zen Hei"/>
        <family val="2"/>
      </rPr>
      <t xml:space="preserve">시험 </t>
    </r>
    <r>
      <rPr>
        <sz val="10"/>
        <rFont val="Arial"/>
        <family val="0"/>
        <charset val="1"/>
      </rPr>
      <t xml:space="preserve">188–288 s). </t>
    </r>
    <r>
      <rPr>
        <sz val="10"/>
        <rFont val="WenQuanYi Zen Hei"/>
        <family val="2"/>
      </rPr>
      <t xml:space="preserve">면재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마감층을 함께 모델링하고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중공층 시험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착화 시점</t>
    </r>
    <r>
      <rPr>
        <sz val="10"/>
        <rFont val="Arial"/>
        <family val="0"/>
        <charset val="1"/>
      </rPr>
      <t xml:space="preserve">·t600)</t>
    </r>
    <r>
      <rPr>
        <sz val="10"/>
        <rFont val="WenQuanYi Zen Hei"/>
        <family val="2"/>
      </rPr>
      <t xml:space="preserve">으로 검증하십시오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</si>
  <si>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재료별 </t>
    </r>
    <r>
      <rPr>
        <b val="true"/>
        <sz val="14"/>
        <rFont val="Arial"/>
        <family val="0"/>
        <charset val="1"/>
      </rPr>
      <t xml:space="preserve">PyroSim(FDS) MATL </t>
    </r>
    <r>
      <rPr>
        <b val="true"/>
        <sz val="14"/>
        <rFont val="WenQuanYi Zen Hei"/>
        <family val="2"/>
      </rPr>
      <t xml:space="preserve">입력값 — 노란 칸은 실측 또는 제품 시험성적서 값으로 채움</t>
    </r>
  </si>
  <si>
    <r>
      <rPr>
        <b val="true"/>
        <sz val="10"/>
        <color rgb="FFFFFFFF"/>
        <rFont val="Arial"/>
        <family val="0"/>
        <charset val="1"/>
      </rPr>
      <t xml:space="preserve">PyroSim </t>
    </r>
    <r>
      <rPr>
        <b val="true"/>
        <sz val="10"/>
        <color rgb="FFFFFFFF"/>
        <rFont val="WenQuanYi Zen Hei"/>
        <family val="2"/>
      </rPr>
      <t xml:space="preserve">항목</t>
    </r>
  </si>
  <si>
    <r>
      <rPr>
        <b val="true"/>
        <sz val="10"/>
        <color rgb="FFFFFFFF"/>
        <rFont val="Arial"/>
        <family val="0"/>
        <charset val="1"/>
      </rPr>
      <t xml:space="preserve">FDS </t>
    </r>
    <r>
      <rPr>
        <b val="true"/>
        <sz val="10"/>
        <color rgb="FFFFFFFF"/>
        <rFont val="WenQuanYi Zen Hei"/>
        <family val="2"/>
      </rPr>
      <t xml:space="preserve">키워드</t>
    </r>
  </si>
  <si>
    <t xml:space="preserve">단위</t>
  </si>
  <si>
    <t xml:space="preserve">구하는 방법</t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</si>
  <si>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가연성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</si>
  <si>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준불연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</si>
  <si>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가연성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</si>
  <si>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준불연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</si>
  <si>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외부용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</si>
  <si>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내부용</t>
    </r>
  </si>
  <si>
    <t xml:space="preserve">비고</t>
  </si>
  <si>
    <t xml:space="preserve">밀도</t>
  </si>
  <si>
    <t xml:space="preserve">DENSITY</t>
  </si>
  <si>
    <t xml:space="preserve">kg/m³</t>
  </si>
  <si>
    <r>
      <rPr>
        <sz val="10"/>
        <rFont val="WenQuanYi Zen Hei"/>
        <family val="2"/>
      </rPr>
      <t xml:space="preserve">보드 실측 </t>
    </r>
    <r>
      <rPr>
        <sz val="10"/>
        <rFont val="Arial"/>
        <family val="0"/>
        <charset val="1"/>
      </rPr>
      <t xml:space="preserve">(KS M ISO 845) — '</t>
    </r>
    <r>
      <rPr>
        <sz val="10"/>
        <rFont val="WenQuanYi Zen Hei"/>
        <family val="2"/>
      </rPr>
      <t xml:space="preserve">밀도 측정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시트의 재료별 평균</t>
    </r>
  </si>
  <si>
    <r>
      <rPr>
        <sz val="9"/>
        <color rgb="FF4B5563"/>
        <rFont val="WenQuanYi Zen Hei"/>
        <family val="2"/>
      </rPr>
      <t xml:space="preserve">측정 전 임시 범위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기존 분석의 카탈로그 범위</t>
    </r>
    <r>
      <rPr>
        <sz val="9"/>
        <color rgb="FF4B5563"/>
        <rFont val="Arial"/>
        <family val="0"/>
        <charset val="1"/>
      </rPr>
      <t xml:space="preserve">): 15–60 kg/m³ — </t>
    </r>
    <r>
      <rPr>
        <sz val="9"/>
        <color rgb="FF4B5563"/>
        <rFont val="WenQuanYi Zen Hei"/>
        <family val="2"/>
      </rPr>
      <t xml:space="preserve">제품 시험성적서 값 우선</t>
    </r>
  </si>
  <si>
    <t xml:space="preserve">비열</t>
  </si>
  <si>
    <r>
      <rPr>
        <sz val="10"/>
        <rFont val="Arial"/>
        <family val="0"/>
        <charset val="1"/>
      </rPr>
      <t xml:space="preserve">SPECIFIC_HEAT (</t>
    </r>
    <r>
      <rPr>
        <sz val="10"/>
        <rFont val="WenQuanYi Zen Hei"/>
        <family val="2"/>
      </rPr>
      <t xml:space="preserve">또는 </t>
    </r>
    <r>
      <rPr>
        <sz val="10"/>
        <rFont val="Arial"/>
        <family val="0"/>
        <charset val="1"/>
      </rPr>
      <t xml:space="preserve">SPECIFIC_HEAT_RAMP)</t>
    </r>
  </si>
  <si>
    <t xml:space="preserve">kJ/(kg·K)</t>
  </si>
  <si>
    <r>
      <rPr>
        <sz val="10"/>
        <rFont val="WenQuanYi Zen Hei"/>
        <family val="2"/>
      </rPr>
      <t xml:space="preserve">사파이어법 </t>
    </r>
    <r>
      <rPr>
        <sz val="10"/>
        <rFont val="Arial"/>
        <family val="0"/>
        <charset val="1"/>
      </rPr>
      <t xml:space="preserve">DSC (ASTM E1269 / ISO 11357-4) — '</t>
    </r>
    <r>
      <rPr>
        <sz val="10"/>
        <rFont val="WenQuanYi Zen Hei"/>
        <family val="2"/>
      </rPr>
      <t xml:space="preserve">비열 측정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시트의 재료별 평균</t>
    </r>
  </si>
  <si>
    <r>
      <rPr>
        <sz val="9"/>
        <color rgb="FF4B5563"/>
        <rFont val="WenQuanYi Zen Hei"/>
        <family val="2"/>
      </rPr>
      <t xml:space="preserve">임시 범위</t>
    </r>
    <r>
      <rPr>
        <sz val="9"/>
        <color rgb="FF4B5563"/>
        <rFont val="Arial"/>
        <family val="0"/>
        <charset val="1"/>
      </rPr>
      <t xml:space="preserve">: 1.3–1.5 kJ/(kg·K). </t>
    </r>
    <r>
      <rPr>
        <sz val="9"/>
        <color rgb="FF4B5563"/>
        <rFont val="WenQuanYi Zen Hei"/>
        <family val="2"/>
      </rPr>
      <t xml:space="preserve">온도에 따라 변하므로 측정값은 </t>
    </r>
    <r>
      <rPr>
        <sz val="9"/>
        <color rgb="FF4B5563"/>
        <rFont val="Arial"/>
        <family val="0"/>
        <charset val="1"/>
      </rPr>
      <t xml:space="preserve">SPECIFIC_HEAT_RAMP(</t>
    </r>
    <r>
      <rPr>
        <sz val="9"/>
        <color rgb="FF4B5563"/>
        <rFont val="WenQuanYi Zen Hei"/>
        <family val="2"/>
      </rPr>
      <t xml:space="preserve">온도별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로 넣는 것이 좋음</t>
    </r>
  </si>
  <si>
    <t xml:space="preserve">열전도율</t>
  </si>
  <si>
    <t xml:space="preserve">CONDUCTIVITY</t>
  </si>
  <si>
    <t xml:space="preserve">W/(m·K)</t>
  </si>
  <si>
    <r>
      <rPr>
        <sz val="10"/>
        <rFont val="WenQuanYi Zen Hei"/>
        <family val="2"/>
      </rPr>
      <t xml:space="preserve">제품 시험성적서 </t>
    </r>
    <r>
      <rPr>
        <sz val="10"/>
        <rFont val="Arial"/>
        <family val="0"/>
        <charset val="1"/>
      </rPr>
      <t xml:space="preserve">(KS L 9016 / ISO 8301)</t>
    </r>
  </si>
  <si>
    <r>
      <rPr>
        <sz val="9"/>
        <color rgb="FF4B5563"/>
        <rFont val="WenQuanYi Zen Hei"/>
        <family val="2"/>
      </rPr>
      <t xml:space="preserve">임시 범위</t>
    </r>
    <r>
      <rPr>
        <sz val="9"/>
        <color rgb="FF4B5563"/>
        <rFont val="Arial"/>
        <family val="0"/>
        <charset val="1"/>
      </rPr>
      <t xml:space="preserve">: 0.018–0.040 W/(m·K). </t>
    </r>
    <r>
      <rPr>
        <sz val="9"/>
        <color rgb="FF4B5563"/>
        <rFont val="WenQuanYi Zen Hei"/>
        <family val="2"/>
      </rPr>
      <t xml:space="preserve">고온 값은 </t>
    </r>
    <r>
      <rPr>
        <sz val="9"/>
        <color rgb="FF4B5563"/>
        <rFont val="Arial"/>
        <family val="0"/>
        <charset val="1"/>
      </rPr>
      <t xml:space="preserve">CONDUCTIVITY_RAMP</t>
    </r>
  </si>
  <si>
    <t xml:space="preserve">방사율</t>
  </si>
  <si>
    <t xml:space="preserve">EMISSIVITY</t>
  </si>
  <si>
    <t xml:space="preserve">–</t>
  </si>
  <si>
    <r>
      <rPr>
        <sz val="10"/>
        <rFont val="Arial"/>
        <family val="0"/>
        <charset val="1"/>
      </rPr>
      <t xml:space="preserve">FDS </t>
    </r>
    <r>
      <rPr>
        <sz val="10"/>
        <rFont val="WenQuanYi Zen Hei"/>
        <family val="2"/>
      </rPr>
      <t xml:space="preserve">기본값</t>
    </r>
  </si>
  <si>
    <r>
      <rPr>
        <sz val="9"/>
        <color rgb="FF4B5563"/>
        <rFont val="WenQuanYi Zen Hei"/>
        <family val="2"/>
      </rPr>
      <t xml:space="preserve">측정값이 없으면 기본값 </t>
    </r>
    <r>
      <rPr>
        <sz val="9"/>
        <color rgb="FF4B5563"/>
        <rFont val="Arial"/>
        <family val="0"/>
        <charset val="1"/>
      </rPr>
      <t xml:space="preserve">0.9</t>
    </r>
  </si>
  <si>
    <t xml:space="preserve">반응 수</t>
  </si>
  <si>
    <t xml:space="preserve">N_REACTIONS</t>
  </si>
  <si>
    <r>
      <rPr>
        <sz val="10"/>
        <rFont val="Arial"/>
        <family val="0"/>
        <charset val="1"/>
      </rPr>
      <t xml:space="preserve">TGA DTG </t>
    </r>
    <r>
      <rPr>
        <sz val="10"/>
        <rFont val="WenQuanYi Zen Hei"/>
        <family val="2"/>
      </rPr>
      <t xml:space="preserve">단계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반응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열분해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반응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탄화층 산화</t>
    </r>
    <r>
      <rPr>
        <sz val="10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</si>
  <si>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EPS</t>
    </r>
    <r>
      <rPr>
        <sz val="9"/>
        <color rgb="FF4B5563"/>
        <rFont val="WenQuanYi Zen Hei"/>
        <family val="2"/>
      </rPr>
      <t xml:space="preserve">는 한 단계</t>
    </r>
    <r>
      <rPr>
        <sz val="9"/>
        <color rgb="FF4B5563"/>
        <rFont val="Arial"/>
        <family val="0"/>
        <charset val="1"/>
      </rPr>
      <t xml:space="preserve">, PIR(PUR)·PF</t>
    </r>
    <r>
      <rPr>
        <sz val="9"/>
        <color rgb="FF4B5563"/>
        <rFont val="WenQuanYi Zen Hei"/>
        <family val="2"/>
      </rPr>
      <t xml:space="preserve">는 열분해 </t>
    </r>
    <r>
      <rPr>
        <sz val="9"/>
        <color rgb="FF4B5563"/>
        <rFont val="Arial"/>
        <family val="0"/>
        <charset val="1"/>
      </rPr>
      <t xml:space="preserve">+ </t>
    </r>
    <r>
      <rPr>
        <sz val="9"/>
        <color rgb="FF4B5563"/>
        <rFont val="WenQuanYi Zen Hei"/>
        <family val="2"/>
      </rPr>
      <t xml:space="preserve">탄화층 산화</t>
    </r>
  </si>
  <si>
    <t xml:space="preserve">승온속도</t>
  </si>
  <si>
    <t xml:space="preserve">HEATING_RATE(:)</t>
  </si>
  <si>
    <t xml:space="preserve">K/min</t>
  </si>
  <si>
    <r>
      <rPr>
        <sz val="10"/>
        <rFont val="Arial"/>
        <family val="0"/>
        <charset val="1"/>
      </rPr>
      <t xml:space="preserve">TGA </t>
    </r>
    <r>
      <rPr>
        <sz val="10"/>
        <rFont val="WenQuanYi Zen Hei"/>
        <family val="2"/>
      </rPr>
      <t xml:space="preserve">조건</t>
    </r>
  </si>
  <si>
    <t xml:space="preserve">모든 반응에 같은 값</t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</si>
  <si>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기준온도</t>
    </r>
  </si>
  <si>
    <t xml:space="preserve">REFERENCE_TEMPERATURE(1)</t>
  </si>
  <si>
    <t xml:space="preserve">°C</t>
  </si>
  <si>
    <r>
      <rPr>
        <sz val="10"/>
        <rFont val="Arial"/>
        <family val="0"/>
        <charset val="1"/>
      </rPr>
      <t xml:space="preserve">TGA N₂ DTG </t>
    </r>
    <r>
      <rPr>
        <sz val="10"/>
        <rFont val="WenQuanYi Zen Hei"/>
        <family val="2"/>
      </rPr>
      <t xml:space="preserve">피크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반응 </t>
    </r>
    <r>
      <rPr>
        <sz val="10"/>
        <rFont val="Arial"/>
        <family val="0"/>
        <charset val="1"/>
      </rPr>
      <t xml:space="preserve">1)</t>
    </r>
  </si>
  <si>
    <r>
      <rPr>
        <sz val="9"/>
        <color rgb="FF4B5563"/>
        <rFont val="Arial"/>
        <family val="0"/>
        <charset val="1"/>
      </rPr>
      <t xml:space="preserve">PIR(PUR)·PF</t>
    </r>
    <r>
      <rPr>
        <sz val="9"/>
        <color rgb="FF4B5563"/>
        <rFont val="WenQuanYi Zen Hei"/>
        <family val="2"/>
      </rPr>
      <t xml:space="preserve">는 </t>
    </r>
    <r>
      <rPr>
        <sz val="9"/>
        <color rgb="FF4B5563"/>
        <rFont val="Arial"/>
        <family val="0"/>
        <charset val="1"/>
      </rPr>
      <t xml:space="preserve">1</t>
    </r>
    <r>
      <rPr>
        <sz val="9"/>
        <color rgb="FF4B5563"/>
        <rFont val="WenQuanYi Zen Hei"/>
        <family val="2"/>
      </rPr>
      <t xml:space="preserve">단계 피크</t>
    </r>
    <r>
      <rPr>
        <sz val="9"/>
        <color rgb="FF4B5563"/>
        <rFont val="Arial"/>
        <family val="0"/>
        <charset val="1"/>
      </rPr>
      <t xml:space="preserve">. PF</t>
    </r>
    <r>
      <rPr>
        <sz val="9"/>
        <color rgb="FF4B5563"/>
        <rFont val="WenQuanYi Zen Hei"/>
        <family val="2"/>
      </rPr>
      <t xml:space="preserve">는 피크가 넓어 정확도가 낮음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</si>
  <si>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기준속도</t>
    </r>
  </si>
  <si>
    <t xml:space="preserve">REFERENCE_RATE(1)</t>
  </si>
  <si>
    <t xml:space="preserve">1/s</t>
  </si>
  <si>
    <r>
      <rPr>
        <sz val="10"/>
        <rFont val="WenQuanYi Zen Hei"/>
        <family val="2"/>
      </rPr>
      <t xml:space="preserve">승온속도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피크 속도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단계 몫 </t>
    </r>
    <r>
      <rPr>
        <sz val="10"/>
        <rFont val="Arial"/>
        <family val="0"/>
        <charset val="1"/>
      </rPr>
      <t xml:space="preserve">(N₂)</t>
    </r>
  </si>
  <si>
    <r>
      <rPr>
        <sz val="9"/>
        <color rgb="FF4B5563"/>
        <rFont val="Arial"/>
        <family val="0"/>
        <charset val="1"/>
      </rPr>
      <t xml:space="preserve">REFERENCE_TEMPERATURE</t>
    </r>
    <r>
      <rPr>
        <sz val="9"/>
        <color rgb="FF4B5563"/>
        <rFont val="WenQuanYi Zen Hei"/>
        <family val="2"/>
      </rPr>
      <t xml:space="preserve">와 함께 쓰고 </t>
    </r>
    <r>
      <rPr>
        <sz val="9"/>
        <color rgb="FF4B5563"/>
        <rFont val="Arial"/>
        <family val="0"/>
        <charset val="1"/>
      </rPr>
      <t xml:space="preserve">A·E</t>
    </r>
    <r>
      <rPr>
        <sz val="9"/>
        <color rgb="FF4B5563"/>
        <rFont val="WenQuanYi Zen Hei"/>
        <family val="2"/>
      </rPr>
      <t xml:space="preserve">는 비워 둠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</si>
  <si>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잔류물 수율</t>
    </r>
  </si>
  <si>
    <t xml:space="preserve">NU_MATL(1,1)</t>
  </si>
  <si>
    <t xml:space="preserve">kg/kg</t>
  </si>
  <si>
    <r>
      <rPr>
        <sz val="10"/>
        <rFont val="Arial"/>
        <family val="0"/>
        <charset val="1"/>
      </rPr>
      <t xml:space="preserve">790 °C </t>
    </r>
    <r>
      <rPr>
        <sz val="10"/>
        <rFont val="WenQuanYi Zen Hei"/>
        <family val="2"/>
      </rPr>
      <t xml:space="preserve">잔류 질량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초기 질량 — 시료 초기 질량 기록 필요</t>
    </r>
  </si>
  <si>
    <r>
      <rPr>
        <sz val="9"/>
        <color rgb="FF4B5563"/>
        <rFont val="WenQuanYi Zen Hei"/>
        <family val="2"/>
      </rPr>
      <t xml:space="preserve">현재 자료로 계산 불가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질량 영점 없음</t>
    </r>
    <r>
      <rPr>
        <sz val="9"/>
        <color rgb="FF4B5563"/>
        <rFont val="Arial"/>
        <family val="0"/>
        <charset val="1"/>
      </rPr>
      <t xml:space="preserve">). EPS </t>
    </r>
    <r>
      <rPr>
        <sz val="9"/>
        <color rgb="FF4B5563"/>
        <rFont val="WenQuanYi Zen Hei"/>
        <family val="2"/>
      </rPr>
      <t xml:space="preserve">가연성은 잔류물이 거의 없을 것으로 보이나 확인 필요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</si>
  <si>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반응열</t>
    </r>
  </si>
  <si>
    <t xml:space="preserve">HEAT_OF_REACTION(1)</t>
  </si>
  <si>
    <t xml:space="preserve">kJ/kg</t>
  </si>
  <si>
    <r>
      <rPr>
        <sz val="10"/>
        <rFont val="WenQuanYi Zen Hei"/>
        <family val="2"/>
      </rPr>
      <t xml:space="preserve">교정된 </t>
    </r>
    <r>
      <rPr>
        <sz val="10"/>
        <rFont val="Arial"/>
        <family val="0"/>
        <charset val="1"/>
      </rPr>
      <t xml:space="preserve">DSC(</t>
    </r>
    <r>
      <rPr>
        <sz val="10"/>
        <rFont val="WenQuanYi Zen Hei"/>
        <family val="2"/>
      </rPr>
      <t xml:space="preserve">블랭크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열류 교정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초기 질량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또는 문헌</t>
    </r>
  </si>
  <si>
    <r>
      <rPr>
        <sz val="9"/>
        <color rgb="FF4B5563"/>
        <rFont val="WenQuanYi Zen Hei"/>
        <family val="2"/>
      </rPr>
      <t xml:space="preserve">부호만 확인됨</t>
    </r>
    <r>
      <rPr>
        <sz val="9"/>
        <color rgb="FF4B5563"/>
        <rFont val="Arial"/>
        <family val="0"/>
        <charset val="1"/>
      </rPr>
      <t xml:space="preserve">: EPS </t>
    </r>
    <r>
      <rPr>
        <sz val="9"/>
        <color rgb="FF4B5563"/>
        <rFont val="WenQuanYi Zen Hei"/>
        <family val="2"/>
      </rPr>
      <t xml:space="preserve">가연성 </t>
    </r>
    <r>
      <rPr>
        <sz val="9"/>
        <color rgb="FF4B5563"/>
        <rFont val="Arial"/>
        <family val="0"/>
        <charset val="1"/>
      </rPr>
      <t xml:space="preserve">N₂ 398 °C </t>
    </r>
    <r>
      <rPr>
        <sz val="9"/>
        <color rgb="FF4B5563"/>
        <rFont val="WenQuanYi Zen Hei"/>
        <family val="2"/>
      </rPr>
      <t xml:space="preserve">흡열</t>
    </r>
    <r>
      <rPr>
        <sz val="9"/>
        <color rgb="FF4B5563"/>
        <rFont val="Arial"/>
        <family val="0"/>
        <charset val="1"/>
      </rPr>
      <t xml:space="preserve">(+). </t>
    </r>
    <r>
      <rPr>
        <sz val="9"/>
        <color rgb="FF4B5563"/>
        <rFont val="WenQuanYi Zen Hei"/>
        <family val="2"/>
      </rPr>
      <t xml:space="preserve">양수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흡열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</si>
  <si>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기준온도</t>
    </r>
  </si>
  <si>
    <t xml:space="preserve">REFERENCE_TEMPERATURE(2)</t>
  </si>
  <si>
    <r>
      <rPr>
        <sz val="10"/>
        <rFont val="Arial"/>
        <family val="0"/>
        <charset val="1"/>
      </rPr>
      <t xml:space="preserve">TGA </t>
    </r>
    <r>
      <rPr>
        <sz val="10"/>
        <rFont val="WenQuanYi Zen Hei"/>
        <family val="2"/>
      </rPr>
      <t xml:space="preserve">공기 탄화층 산화 피크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반응 </t>
    </r>
    <r>
      <rPr>
        <sz val="10"/>
        <rFont val="Arial"/>
        <family val="0"/>
        <charset val="1"/>
      </rPr>
      <t xml:space="preserve">2)</t>
    </r>
  </si>
  <si>
    <t xml:space="preserve">—</t>
  </si>
  <si>
    <r>
      <rPr>
        <sz val="9"/>
        <color rgb="FF4B5563"/>
        <rFont val="Arial"/>
        <family val="0"/>
        <charset val="1"/>
      </rPr>
      <t xml:space="preserve">N_O2 = 1</t>
    </r>
    <r>
      <rPr>
        <sz val="9"/>
        <color rgb="FF4B5563"/>
        <rFont val="WenQuanYi Zen Hei"/>
        <family val="2"/>
      </rPr>
      <t xml:space="preserve">로 넣을 때는 아래 </t>
    </r>
    <r>
      <rPr>
        <sz val="9"/>
        <color rgb="FF4B5563"/>
        <rFont val="Arial"/>
        <family val="0"/>
        <charset val="1"/>
      </rPr>
      <t xml:space="preserve">A·E</t>
    </r>
    <r>
      <rPr>
        <sz val="9"/>
        <color rgb="FF4B5563"/>
        <rFont val="WenQuanYi Zen Hei"/>
        <family val="2"/>
      </rPr>
      <t xml:space="preserve">를 직접 입력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</si>
  <si>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기준속도</t>
    </r>
  </si>
  <si>
    <t xml:space="preserve">REFERENCE_RATE(2)</t>
  </si>
  <si>
    <r>
      <rPr>
        <sz val="10"/>
        <rFont val="WenQuanYi Zen Hei"/>
        <family val="2"/>
      </rPr>
      <t xml:space="preserve">승온속도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피크 속도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단계 몫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공기</t>
    </r>
    <r>
      <rPr>
        <sz val="10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</si>
  <si>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PF </t>
    </r>
    <r>
      <rPr>
        <sz val="9"/>
        <color rgb="FF4B5563"/>
        <rFont val="WenQuanYi Zen Hei"/>
        <family val="2"/>
      </rPr>
      <t xml:space="preserve">공기 값은 열분해와 겹친 구간 기준 — 산화만의 속도는 더 큼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</si>
  <si>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산소 차수</t>
    </r>
  </si>
  <si>
    <t xml:space="preserve">N_O2(2)</t>
  </si>
  <si>
    <r>
      <rPr>
        <sz val="10"/>
        <rFont val="WenQuanYi Zen Hei"/>
        <family val="2"/>
      </rPr>
      <t xml:space="preserve">탄화층 산화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산소 의존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</si>
  <si>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2 A (N_O2 = 1)</t>
    </r>
  </si>
  <si>
    <t xml:space="preserve">A(2)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</si>
  <si>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반응 파라미터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A ÷ X_O2</t>
    </r>
  </si>
  <si>
    <r>
      <rPr>
        <sz val="9"/>
        <color rgb="FF4B5563"/>
        <rFont val="Arial"/>
        <family val="0"/>
        <charset val="1"/>
      </rPr>
      <t xml:space="preserve">O </t>
    </r>
    <r>
      <rPr>
        <sz val="9"/>
        <color rgb="FF4B5563"/>
        <rFont val="WenQuanYi Zen Hei"/>
        <family val="2"/>
      </rPr>
      <t xml:space="preserve">가스가 공기일 때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순수 산소였다면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반응 파라미터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의 </t>
    </r>
    <r>
      <rPr>
        <sz val="9"/>
        <color rgb="FF4B5563"/>
        <rFont val="Arial"/>
        <family val="0"/>
        <charset val="1"/>
      </rPr>
      <t xml:space="preserve">A </t>
    </r>
    <r>
      <rPr>
        <sz val="9"/>
        <color rgb="FF4B5563"/>
        <rFont val="WenQuanYi Zen Hei"/>
        <family val="2"/>
      </rPr>
      <t xml:space="preserve">그대로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</si>
  <si>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2 E</t>
    </r>
  </si>
  <si>
    <t xml:space="preserve">E(2)</t>
  </si>
  <si>
    <t xml:space="preserve">J/mol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</si>
  <si>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반응 파라미터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E × 1000</t>
    </r>
  </si>
  <si>
    <r>
      <rPr>
        <b val="true"/>
        <sz val="10"/>
        <rFont val="WenQuanYi Zen Hei"/>
        <family val="2"/>
      </rPr>
      <t xml:space="preserve">반응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반응열</t>
    </r>
  </si>
  <si>
    <t xml:space="preserve">HEAT_OF_REACTION(2)</t>
  </si>
  <si>
    <r>
      <rPr>
        <sz val="10"/>
        <rFont val="WenQuanYi Zen Hei"/>
        <family val="2"/>
      </rPr>
      <t xml:space="preserve">교정 </t>
    </r>
    <r>
      <rPr>
        <sz val="10"/>
        <rFont val="Arial"/>
        <family val="0"/>
        <charset val="1"/>
      </rPr>
      <t xml:space="preserve">DSC </t>
    </r>
    <r>
      <rPr>
        <sz val="10"/>
        <rFont val="WenQuanYi Zen Hei"/>
        <family val="2"/>
      </rPr>
      <t xml:space="preserve">또는 문헌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산화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발열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음수</t>
    </r>
    <r>
      <rPr>
        <sz val="10"/>
        <rFont val="Arial"/>
        <family val="0"/>
        <charset val="1"/>
      </rPr>
      <t xml:space="preserve">)</t>
    </r>
  </si>
  <si>
    <r>
      <rPr>
        <sz val="9"/>
        <color rgb="FF4B5563"/>
        <rFont val="WenQuanYi Zen Hei"/>
        <family val="2"/>
      </rPr>
      <t xml:space="preserve">부호만 확인됨</t>
    </r>
    <r>
      <rPr>
        <sz val="9"/>
        <color rgb="FF4B5563"/>
        <rFont val="Arial"/>
        <family val="0"/>
        <charset val="1"/>
      </rPr>
      <t xml:space="preserve">: PF </t>
    </r>
    <r>
      <rPr>
        <sz val="9"/>
        <color rgb="FF4B5563"/>
        <rFont val="WenQuanYi Zen Hei"/>
        <family val="2"/>
      </rPr>
      <t xml:space="preserve">내부용 공기 </t>
    </r>
    <r>
      <rPr>
        <sz val="9"/>
        <color rgb="FF4B5563"/>
        <rFont val="Arial"/>
        <family val="0"/>
        <charset val="1"/>
      </rPr>
      <t xml:space="preserve">474 °C </t>
    </r>
    <r>
      <rPr>
        <sz val="9"/>
        <color rgb="FF4B5563"/>
        <rFont val="WenQuanYi Zen Hei"/>
        <family val="2"/>
      </rPr>
      <t xml:space="preserve">발열</t>
    </r>
  </si>
  <si>
    <t xml:space="preserve">연소열</t>
  </si>
  <si>
    <t xml:space="preserve">HEAT_OF_COMBUSTION</t>
  </si>
  <si>
    <r>
      <rPr>
        <sz val="10"/>
        <rFont val="Arial"/>
        <family val="0"/>
        <charset val="1"/>
      </rPr>
      <t xml:space="preserve">MCC (ASTM D7309) </t>
    </r>
    <r>
      <rPr>
        <sz val="10"/>
        <rFont val="WenQuanYi Zen Hei"/>
        <family val="2"/>
      </rPr>
      <t xml:space="preserve">또는 콘칼로리미터 </t>
    </r>
    <r>
      <rPr>
        <sz val="10"/>
        <rFont val="Arial"/>
        <family val="0"/>
        <charset val="1"/>
      </rPr>
      <t xml:space="preserve">(ISO 5660-1)</t>
    </r>
  </si>
  <si>
    <r>
      <rPr>
        <sz val="9"/>
        <color rgb="FF4B5563"/>
        <rFont val="Arial"/>
        <family val="0"/>
        <charset val="1"/>
      </rPr>
      <t xml:space="preserve">DSC</t>
    </r>
    <r>
      <rPr>
        <sz val="9"/>
        <color rgb="FF4B5563"/>
        <rFont val="WenQuanYi Zen Hei"/>
        <family val="2"/>
      </rPr>
      <t xml:space="preserve">로는 구할 수 없음</t>
    </r>
  </si>
  <si>
    <r>
      <rPr>
        <sz val="9"/>
        <color rgb="FF4B5563"/>
        <rFont val="WenQuanYi Zen Hei"/>
        <family val="2"/>
      </rPr>
      <t xml:space="preserve">노란 칸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채울 칸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밀도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비열은 측정 시트를 채우면 자동으로 평균이 들어감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초록 </t>
    </r>
    <r>
      <rPr>
        <sz val="9"/>
        <color rgb="FF4B5563"/>
        <rFont val="Arial"/>
        <family val="0"/>
        <charset val="1"/>
      </rPr>
      <t xml:space="preserve">= '</t>
    </r>
    <r>
      <rPr>
        <sz val="9"/>
        <color rgb="FF4B5563"/>
        <rFont val="WenQuanYi Zen Hei"/>
        <family val="2"/>
      </rPr>
      <t xml:space="preserve">반응 파라미터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에서 가져온 값</t>
    </r>
    <r>
      <rPr>
        <sz val="9"/>
        <color rgb="FF4B5563"/>
        <rFont val="Arial"/>
        <family val="0"/>
        <charset val="1"/>
      </rPr>
      <t xml:space="preserve">. REFERENCE_TEMPERATURE</t>
    </r>
    <r>
      <rPr>
        <sz val="9"/>
        <color rgb="FF4B5563"/>
        <rFont val="WenQuanYi Zen Hei"/>
        <family val="2"/>
      </rPr>
      <t xml:space="preserve">를 쓰는 반응에는 </t>
    </r>
    <r>
      <rPr>
        <sz val="9"/>
        <color rgb="FF4B5563"/>
        <rFont val="Arial"/>
        <family val="0"/>
        <charset val="1"/>
      </rPr>
      <t xml:space="preserve">A·E</t>
    </r>
    <r>
      <rPr>
        <sz val="9"/>
        <color rgb="FF4B5563"/>
        <rFont val="WenQuanYi Zen Hei"/>
        <family val="2"/>
      </rPr>
      <t xml:space="preserve">를 넣지 않습니다</t>
    </r>
    <r>
      <rPr>
        <sz val="9"/>
        <color rgb="FF4B5563"/>
        <rFont val="Arial"/>
        <family val="0"/>
        <charset val="1"/>
      </rPr>
      <t xml:space="preserve">(N_O2 = 1</t>
    </r>
    <r>
      <rPr>
        <sz val="9"/>
        <color rgb="FF4B5563"/>
        <rFont val="WenQuanYi Zen Hei"/>
        <family val="2"/>
      </rPr>
      <t xml:space="preserve">인 반응 </t>
    </r>
    <r>
      <rPr>
        <sz val="9"/>
        <color rgb="FF4B5563"/>
        <rFont val="Arial"/>
        <family val="0"/>
        <charset val="1"/>
      </rPr>
      <t xml:space="preserve">2</t>
    </r>
    <r>
      <rPr>
        <sz val="9"/>
        <color rgb="FF4B5563"/>
        <rFont val="WenQuanYi Zen Hei"/>
        <family val="2"/>
      </rPr>
      <t xml:space="preserve">만 </t>
    </r>
    <r>
      <rPr>
        <sz val="9"/>
        <color rgb="FF4B5563"/>
        <rFont val="Arial"/>
        <family val="0"/>
        <charset val="1"/>
      </rPr>
      <t xml:space="preserve">A·E </t>
    </r>
    <r>
      <rPr>
        <sz val="9"/>
        <color rgb="FF4B5563"/>
        <rFont val="WenQuanYi Zen Hei"/>
        <family val="2"/>
      </rPr>
      <t xml:space="preserve">직접 입력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</si>
  <si>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4"/>
        <rFont val="Arial"/>
        <family val="0"/>
        <charset val="1"/>
      </rPr>
      <t xml:space="preserve">TGA </t>
    </r>
    <r>
      <rPr>
        <b val="true"/>
        <sz val="14"/>
        <rFont val="WenQuanYi Zen Hei"/>
        <family val="2"/>
      </rPr>
      <t xml:space="preserve">단계별 반응 파라미터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두 반복 평균</t>
    </r>
    <r>
      <rPr>
        <b val="true"/>
        <sz val="14"/>
        <rFont val="Arial"/>
        <family val="0"/>
        <charset val="1"/>
      </rPr>
      <t xml:space="preserve">, 5 °C/min)</t>
    </r>
  </si>
  <si>
    <t xml:space="preserve">HEATING_RATE (K/min)</t>
  </si>
  <si>
    <r>
      <rPr>
        <b val="true"/>
        <sz val="10"/>
        <rFont val="WenQuanYi Zen Hei"/>
        <family val="2"/>
      </rPr>
      <t xml:space="preserve">기체상수 </t>
    </r>
    <r>
      <rPr>
        <b val="true"/>
        <sz val="10"/>
        <rFont val="Arial"/>
        <family val="0"/>
        <charset val="1"/>
      </rPr>
      <t xml:space="preserve">R (J/(mol·K))</t>
    </r>
  </si>
  <si>
    <r>
      <rPr>
        <b val="true"/>
        <sz val="10"/>
        <rFont val="Arial"/>
        <family val="0"/>
        <charset val="1"/>
      </rPr>
      <t xml:space="preserve">X_O2 (O </t>
    </r>
    <r>
      <rPr>
        <b val="true"/>
        <sz val="10"/>
        <rFont val="WenQuanYi Zen Hei"/>
        <family val="2"/>
      </rPr>
      <t xml:space="preserve">가스가 공기일 때</t>
    </r>
    <r>
      <rPr>
        <b val="true"/>
        <sz val="10"/>
        <rFont val="Arial"/>
        <family val="0"/>
        <charset val="1"/>
      </rPr>
      <t xml:space="preserve">)</t>
    </r>
  </si>
  <si>
    <t xml:space="preserve">재료</t>
  </si>
  <si>
    <t xml:space="preserve">분위기</t>
  </si>
  <si>
    <t xml:space="preserve">단계</t>
  </si>
  <si>
    <r>
      <rPr>
        <b val="true"/>
        <sz val="10"/>
        <color rgb="FFFFFFFF"/>
        <rFont val="Arial"/>
        <family val="0"/>
        <charset val="1"/>
      </rPr>
      <t xml:space="preserve">PyroSim </t>
    </r>
    <r>
      <rPr>
        <b val="true"/>
        <sz val="10"/>
        <color rgb="FFFFFFFF"/>
        <rFont val="WenQuanYi Zen Hei"/>
        <family val="2"/>
      </rPr>
      <t xml:space="preserve">용도</t>
    </r>
  </si>
  <si>
    <r>
      <rPr>
        <b val="true"/>
        <sz val="10"/>
        <color rgb="FFFFFFFF"/>
        <rFont val="WenQuanYi Zen Hei"/>
        <family val="2"/>
      </rPr>
      <t xml:space="preserve">구간 시작 </t>
    </r>
    <r>
      <rPr>
        <b val="true"/>
        <sz val="10"/>
        <color rgb="FFFFFFFF"/>
        <rFont val="Arial"/>
        <family val="0"/>
        <charset val="1"/>
      </rPr>
      <t xml:space="preserve">(°C)</t>
    </r>
  </si>
  <si>
    <r>
      <rPr>
        <b val="true"/>
        <sz val="10"/>
        <color rgb="FFFFFFFF"/>
        <rFont val="WenQuanYi Zen Hei"/>
        <family val="2"/>
      </rPr>
      <t xml:space="preserve">구간 끝 </t>
    </r>
    <r>
      <rPr>
        <b val="true"/>
        <sz val="10"/>
        <color rgb="FFFFFFFF"/>
        <rFont val="Arial"/>
        <family val="0"/>
        <charset val="1"/>
      </rPr>
      <t xml:space="preserve">(°C)</t>
    </r>
  </si>
  <si>
    <r>
      <rPr>
        <b val="true"/>
        <sz val="10"/>
        <color rgb="FFFFFFFF"/>
        <rFont val="WenQuanYi Zen Hei"/>
        <family val="2"/>
      </rPr>
      <t xml:space="preserve">손실 몫 </t>
    </r>
    <r>
      <rPr>
        <b val="true"/>
        <sz val="10"/>
        <color rgb="FFFFFFFF"/>
        <rFont val="Arial"/>
        <family val="0"/>
        <charset val="1"/>
      </rPr>
      <t xml:space="preserve">f</t>
    </r>
  </si>
  <si>
    <t xml:space="preserve">단계 완료</t>
  </si>
  <si>
    <t xml:space="preserve">REFERENCE_TEMPERATURE (°C)</t>
  </si>
  <si>
    <r>
      <rPr>
        <b val="true"/>
        <sz val="10"/>
        <color rgb="FFFFFFFF"/>
        <rFont val="WenQuanYi Zen Hei"/>
        <family val="2"/>
      </rPr>
      <t xml:space="preserve">피크 속도 </t>
    </r>
    <r>
      <rPr>
        <b val="true"/>
        <sz val="10"/>
        <color rgb="FFFFFFFF"/>
        <rFont val="Arial"/>
        <family val="0"/>
        <charset val="1"/>
      </rPr>
      <t xml:space="preserve">(%/°C)</t>
    </r>
  </si>
  <si>
    <t xml:space="preserve">REFERENCE_RATE (1/s)</t>
  </si>
  <si>
    <r>
      <rPr>
        <b val="true"/>
        <sz val="10"/>
        <color rgb="FFFFFFFF"/>
        <rFont val="WenQuanYi Zen Hei"/>
        <family val="2"/>
      </rPr>
      <t xml:space="preserve">두 반복 </t>
    </r>
    <r>
      <rPr>
        <b val="true"/>
        <sz val="10"/>
        <color rgb="FFFFFFFF"/>
        <rFont val="Arial"/>
        <family val="0"/>
        <charset val="1"/>
      </rPr>
      <t xml:space="preserve">REFERENCE_RATE (1/s)</t>
    </r>
  </si>
  <si>
    <t xml:space="preserve">E (kJ/mol)</t>
  </si>
  <si>
    <t xml:space="preserve">A (1/s)</t>
  </si>
  <si>
    <r>
      <rPr>
        <b val="true"/>
        <sz val="10"/>
        <color rgb="FFFFFFFF"/>
        <rFont val="Arial"/>
        <family val="0"/>
        <charset val="1"/>
      </rPr>
      <t xml:space="preserve">A ÷ X_O2 (</t>
    </r>
    <r>
      <rPr>
        <b val="true"/>
        <sz val="10"/>
        <color rgb="FFFFFFFF"/>
        <rFont val="WenQuanYi Zen Hei"/>
        <family val="2"/>
      </rPr>
      <t xml:space="preserve">산화</t>
    </r>
    <r>
      <rPr>
        <b val="true"/>
        <sz val="10"/>
        <color rgb="FFFFFFFF"/>
        <rFont val="Arial"/>
        <family val="0"/>
        <charset val="1"/>
      </rPr>
      <t xml:space="preserve">, N_O2 = 1)</t>
    </r>
  </si>
  <si>
    <t xml:space="preserve">자료 판정</t>
  </si>
  <si>
    <r>
      <rPr>
        <b val="true"/>
        <sz val="10"/>
        <rFont val="Arial"/>
        <family val="0"/>
        <charset val="1"/>
      </rPr>
      <t xml:space="preserve">EPS </t>
    </r>
    <r>
      <rPr>
        <b val="true"/>
        <sz val="10"/>
        <rFont val="WenQuanYi Zen Hei"/>
        <family val="2"/>
      </rPr>
      <t xml:space="preserve">가연성</t>
    </r>
  </si>
  <si>
    <t xml:space="preserve">N₂</t>
  </si>
  <si>
    <r>
      <rPr>
        <sz val="10"/>
        <rFont val="WenQuanYi Zen Hei"/>
        <family val="2"/>
      </rPr>
      <t xml:space="preserve">반응 </t>
    </r>
    <r>
      <rPr>
        <sz val="10"/>
        <rFont val="Arial"/>
        <family val="0"/>
        <charset val="1"/>
      </rPr>
      <t xml:space="preserve">1: </t>
    </r>
    <r>
      <rPr>
        <sz val="10"/>
        <rFont val="WenQuanYi Zen Hei"/>
        <family val="2"/>
      </rPr>
      <t xml:space="preserve">열분해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단일 단계</t>
    </r>
    <r>
      <rPr>
        <sz val="10"/>
        <rFont val="Arial"/>
        <family val="0"/>
        <charset val="1"/>
      </rPr>
      <t xml:space="preserve">)</t>
    </r>
  </si>
  <si>
    <t xml:space="preserve">예</t>
  </si>
  <si>
    <t xml:space="preserve">0.00211 / 0.00238</t>
  </si>
  <si>
    <t xml:space="preserve">조건부</t>
  </si>
  <si>
    <r>
      <rPr>
        <sz val="10"/>
        <rFont val="WenQuanYi Zen Hei"/>
        <family val="2"/>
      </rPr>
      <t xml:space="preserve">공기</t>
    </r>
    <r>
      <rPr>
        <sz val="10"/>
        <rFont val="Arial"/>
        <family val="0"/>
        <charset val="1"/>
      </rPr>
      <t xml:space="preserve">(O)</t>
    </r>
  </si>
  <si>
    <r>
      <rPr>
        <sz val="10"/>
        <rFont val="WenQuanYi Zen Hei"/>
        <family val="2"/>
      </rPr>
      <t xml:space="preserve">공기 중 분해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재측정 대상</t>
    </r>
    <r>
      <rPr>
        <sz val="10"/>
        <rFont val="Arial"/>
        <family val="0"/>
        <charset val="1"/>
      </rPr>
      <t xml:space="preserve">)</t>
    </r>
  </si>
  <si>
    <t xml:space="preserve">0.0016 / 0.00214</t>
  </si>
  <si>
    <t xml:space="preserve">재측정</t>
  </si>
  <si>
    <r>
      <rPr>
        <b val="true"/>
        <sz val="10"/>
        <rFont val="Arial"/>
        <family val="0"/>
        <charset val="1"/>
      </rPr>
      <t xml:space="preserve">EPS </t>
    </r>
    <r>
      <rPr>
        <b val="true"/>
        <sz val="10"/>
        <rFont val="WenQuanYi Zen Hei"/>
        <family val="2"/>
      </rPr>
      <t xml:space="preserve">준불연</t>
    </r>
  </si>
  <si>
    <t xml:space="preserve">0.000961 / 0.000976</t>
  </si>
  <si>
    <t xml:space="preserve">공기 중 주분해</t>
  </si>
  <si>
    <t xml:space="preserve">0.00127 / 0.00124</t>
  </si>
  <si>
    <t xml:space="preserve">종점 의존</t>
  </si>
  <si>
    <r>
      <rPr>
        <sz val="10"/>
        <rFont val="WenQuanYi Zen Hei"/>
        <family val="2"/>
      </rPr>
      <t xml:space="preserve">잔류물 산화 </t>
    </r>
    <r>
      <rPr>
        <sz val="10"/>
        <rFont val="Arial"/>
        <family val="0"/>
        <charset val="1"/>
      </rPr>
      <t xml:space="preserve">(790 °C</t>
    </r>
    <r>
      <rPr>
        <sz val="10"/>
        <rFont val="WenQuanYi Zen Hei"/>
        <family val="2"/>
      </rPr>
      <t xml:space="preserve">에서 진행 중</t>
    </r>
    <r>
      <rPr>
        <sz val="10"/>
        <rFont val="Arial"/>
        <family val="0"/>
        <charset val="1"/>
      </rPr>
      <t xml:space="preserve">)</t>
    </r>
  </si>
  <si>
    <t xml:space="preserve">아니오</t>
  </si>
  <si>
    <t xml:space="preserve">0.000946 / 0.00101</t>
  </si>
  <si>
    <r>
      <rPr>
        <b val="true"/>
        <sz val="10"/>
        <rFont val="Arial"/>
        <family val="0"/>
        <charset val="1"/>
      </rPr>
      <t xml:space="preserve">PIR(PUR) </t>
    </r>
    <r>
      <rPr>
        <b val="true"/>
        <sz val="10"/>
        <rFont val="WenQuanYi Zen Hei"/>
        <family val="2"/>
      </rPr>
      <t xml:space="preserve">가연성</t>
    </r>
  </si>
  <si>
    <r>
      <rPr>
        <sz val="10"/>
        <rFont val="WenQuanYi Zen Hei"/>
        <family val="2"/>
      </rPr>
      <t xml:space="preserve">반응 </t>
    </r>
    <r>
      <rPr>
        <sz val="10"/>
        <rFont val="Arial"/>
        <family val="0"/>
        <charset val="1"/>
      </rPr>
      <t xml:space="preserve">1: </t>
    </r>
    <r>
      <rPr>
        <sz val="10"/>
        <rFont val="WenQuanYi Zen Hei"/>
        <family val="2"/>
      </rPr>
      <t xml:space="preserve">열분해 → 탄화층</t>
    </r>
  </si>
  <si>
    <t xml:space="preserve">0.000908 / 0.000893</t>
  </si>
  <si>
    <r>
      <rPr>
        <sz val="10"/>
        <rFont val="WenQuanYi Zen Hei"/>
        <family val="2"/>
      </rPr>
      <t xml:space="preserve">탄화층 열분해 </t>
    </r>
    <r>
      <rPr>
        <sz val="10"/>
        <rFont val="Arial"/>
        <family val="0"/>
        <charset val="1"/>
      </rPr>
      <t xml:space="preserve">(790 °C</t>
    </r>
    <r>
      <rPr>
        <sz val="10"/>
        <rFont val="WenQuanYi Zen Hei"/>
        <family val="2"/>
      </rPr>
      <t xml:space="preserve">에서 진행 중</t>
    </r>
    <r>
      <rPr>
        <sz val="10"/>
        <rFont val="Arial"/>
        <family val="0"/>
        <charset val="1"/>
      </rPr>
      <t xml:space="preserve">)</t>
    </r>
  </si>
  <si>
    <t xml:space="preserve">0.000478 / 0.000456</t>
  </si>
  <si>
    <r>
      <rPr>
        <sz val="10"/>
        <rFont val="WenQuanYi Zen Hei"/>
        <family val="2"/>
      </rPr>
      <t xml:space="preserve">공기 중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분해</t>
    </r>
  </si>
  <si>
    <t xml:space="preserve">0.00108 / 0.00107</t>
  </si>
  <si>
    <t xml:space="preserve">신뢰</t>
  </si>
  <si>
    <r>
      <rPr>
        <sz val="10"/>
        <rFont val="WenQuanYi Zen Hei"/>
        <family val="2"/>
      </rPr>
      <t xml:space="preserve">반응 </t>
    </r>
    <r>
      <rPr>
        <sz val="10"/>
        <rFont val="Arial"/>
        <family val="0"/>
        <charset val="1"/>
      </rPr>
      <t xml:space="preserve">2: </t>
    </r>
    <r>
      <rPr>
        <sz val="10"/>
        <rFont val="WenQuanYi Zen Hei"/>
        <family val="2"/>
      </rPr>
      <t xml:space="preserve">탄화층 산화 </t>
    </r>
    <r>
      <rPr>
        <sz val="10"/>
        <rFont val="Arial"/>
        <family val="0"/>
        <charset val="1"/>
      </rPr>
      <t xml:space="preserve">(N_O2 = 1)</t>
    </r>
  </si>
  <si>
    <t xml:space="preserve">0.000879 / 0.000878</t>
  </si>
  <si>
    <r>
      <rPr>
        <b val="true"/>
        <sz val="10"/>
        <rFont val="Arial"/>
        <family val="0"/>
        <charset val="1"/>
      </rPr>
      <t xml:space="preserve">PIR(PUR) </t>
    </r>
    <r>
      <rPr>
        <b val="true"/>
        <sz val="10"/>
        <rFont val="WenQuanYi Zen Hei"/>
        <family val="2"/>
      </rPr>
      <t xml:space="preserve">준불연</t>
    </r>
  </si>
  <si>
    <t xml:space="preserve">0.000693 / 0.000729</t>
  </si>
  <si>
    <t xml:space="preserve">0.000534 / 0.000547</t>
  </si>
  <si>
    <t xml:space="preserve">0.000671 / 0.000689</t>
  </si>
  <si>
    <t xml:space="preserve">0.000698 / 0.000829</t>
  </si>
  <si>
    <r>
      <rPr>
        <b val="true"/>
        <sz val="10"/>
        <rFont val="Arial"/>
        <family val="0"/>
        <charset val="1"/>
      </rPr>
      <t xml:space="preserve">PF </t>
    </r>
    <r>
      <rPr>
        <b val="true"/>
        <sz val="10"/>
        <rFont val="WenQuanYi Zen Hei"/>
        <family val="2"/>
      </rPr>
      <t xml:space="preserve">준불연 외부용</t>
    </r>
  </si>
  <si>
    <r>
      <rPr>
        <sz val="10"/>
        <rFont val="WenQuanYi Zen Hei"/>
        <family val="2"/>
      </rPr>
      <t xml:space="preserve">반응 </t>
    </r>
    <r>
      <rPr>
        <sz val="10"/>
        <rFont val="Arial"/>
        <family val="0"/>
        <charset val="1"/>
      </rPr>
      <t xml:space="preserve">1: 1</t>
    </r>
    <r>
      <rPr>
        <sz val="10"/>
        <rFont val="WenQuanYi Zen Hei"/>
        <family val="2"/>
      </rPr>
      <t xml:space="preserve">단계 열분해 → 탄화층</t>
    </r>
  </si>
  <si>
    <t xml:space="preserve">0.000454 / 0.000433</t>
  </si>
  <si>
    <r>
      <rPr>
        <sz val="10"/>
        <rFont val="WenQuanYi Zen Hei"/>
        <family val="2"/>
      </rPr>
      <t xml:space="preserve">탄화 진행 </t>
    </r>
    <r>
      <rPr>
        <sz val="10"/>
        <rFont val="Arial"/>
        <family val="0"/>
        <charset val="1"/>
      </rPr>
      <t xml:space="preserve">(790 °C</t>
    </r>
    <r>
      <rPr>
        <sz val="10"/>
        <rFont val="WenQuanYi Zen Hei"/>
        <family val="2"/>
      </rPr>
      <t xml:space="preserve">에서 가속 중</t>
    </r>
    <r>
      <rPr>
        <sz val="10"/>
        <rFont val="Arial"/>
        <family val="0"/>
        <charset val="1"/>
      </rPr>
      <t xml:space="preserve">)</t>
    </r>
  </si>
  <si>
    <t xml:space="preserve">0.000429 / 0.000404</t>
  </si>
  <si>
    <r>
      <rPr>
        <sz val="10"/>
        <rFont val="WenQuanYi Zen Hei"/>
        <family val="2"/>
      </rPr>
      <t xml:space="preserve">초기 감소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휘발분</t>
    </r>
    <r>
      <rPr>
        <sz val="10"/>
        <rFont val="Arial"/>
        <family val="0"/>
        <charset val="1"/>
      </rPr>
      <t xml:space="preserve">)</t>
    </r>
  </si>
  <si>
    <t xml:space="preserve">0.000919 / 0.000958</t>
  </si>
  <si>
    <t xml:space="preserve">0.000379 / 0.000373</t>
  </si>
  <si>
    <r>
      <rPr>
        <b val="true"/>
        <sz val="10"/>
        <rFont val="Arial"/>
        <family val="0"/>
        <charset val="1"/>
      </rPr>
      <t xml:space="preserve">PF </t>
    </r>
    <r>
      <rPr>
        <b val="true"/>
        <sz val="10"/>
        <rFont val="WenQuanYi Zen Hei"/>
        <family val="2"/>
      </rPr>
      <t xml:space="preserve">준불연 내부용</t>
    </r>
  </si>
  <si>
    <t xml:space="preserve">0.000526 / 0.00051</t>
  </si>
  <si>
    <r>
      <rPr>
        <sz val="10"/>
        <rFont val="WenQuanYi Zen Hei"/>
        <family val="2"/>
      </rPr>
      <t xml:space="preserve">탄화 진행 </t>
    </r>
    <r>
      <rPr>
        <sz val="10"/>
        <rFont val="Arial"/>
        <family val="0"/>
        <charset val="1"/>
      </rPr>
      <t xml:space="preserve">(790 °C</t>
    </r>
    <r>
      <rPr>
        <sz val="10"/>
        <rFont val="WenQuanYi Zen Hei"/>
        <family val="2"/>
      </rPr>
      <t xml:space="preserve">에서 진행 중</t>
    </r>
    <r>
      <rPr>
        <sz val="10"/>
        <rFont val="Arial"/>
        <family val="0"/>
        <charset val="1"/>
      </rPr>
      <t xml:space="preserve">)</t>
    </r>
  </si>
  <si>
    <t xml:space="preserve">0.000291 / 0.000276</t>
  </si>
  <si>
    <t xml:space="preserve">0.00116 / 0.00104</t>
  </si>
  <si>
    <t xml:space="preserve">0.0011 / 0.00108</t>
  </si>
  <si>
    <r>
      <rPr>
        <sz val="9"/>
        <color rgb="FF4B5563"/>
        <rFont val="WenQuanYi Zen Hei"/>
        <family val="2"/>
      </rPr>
      <t xml:space="preserve">파란 글자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손실 몫 </t>
    </r>
    <r>
      <rPr>
        <sz val="9"/>
        <color rgb="FF4B5563"/>
        <rFont val="Arial"/>
        <family val="0"/>
        <charset val="1"/>
      </rPr>
      <t xml:space="preserve">f, </t>
    </r>
    <r>
      <rPr>
        <sz val="9"/>
        <color rgb="FF4B5563"/>
        <rFont val="WenQuanYi Zen Hei"/>
        <family val="2"/>
      </rPr>
      <t xml:space="preserve">기준온도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피크 속도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는 </t>
    </r>
    <r>
      <rPr>
        <sz val="9"/>
        <color rgb="FF4B5563"/>
        <rFont val="Arial"/>
        <family val="0"/>
        <charset val="1"/>
      </rPr>
      <t xml:space="preserve">pyrosim_inputs.py</t>
    </r>
    <r>
      <rPr>
        <sz val="9"/>
        <color rgb="FF4B5563"/>
        <rFont val="WenQuanYi Zen Hei"/>
        <family val="2"/>
      </rPr>
      <t xml:space="preserve">가 원자료에서 구한 값입니다</t>
    </r>
    <r>
      <rPr>
        <sz val="9"/>
        <color rgb="FF4B5563"/>
        <rFont val="Arial"/>
        <family val="0"/>
        <charset val="1"/>
      </rPr>
      <t xml:space="preserve">. REFERENCE_RATE·E·A</t>
    </r>
    <r>
      <rPr>
        <sz val="9"/>
        <color rgb="FF4B5563"/>
        <rFont val="WenQuanYi Zen Hei"/>
        <family val="2"/>
      </rPr>
      <t xml:space="preserve">는 이 값들의 수식입니다</t>
    </r>
    <r>
      <rPr>
        <sz val="9"/>
        <color rgb="FF4B5563"/>
        <rFont val="Arial"/>
        <family val="0"/>
        <charset val="1"/>
      </rPr>
      <t xml:space="preserve">.</t>
    </r>
  </si>
  <si>
    <r>
      <rPr>
        <sz val="9"/>
        <color rgb="FF4B5563"/>
        <rFont val="WenQuanYi Zen Hei"/>
        <family val="2"/>
      </rPr>
      <t xml:space="preserve">회색 글자 </t>
    </r>
    <r>
      <rPr>
        <sz val="9"/>
        <color rgb="FF4B5563"/>
        <rFont val="Arial"/>
        <family val="0"/>
        <charset val="1"/>
      </rPr>
      <t xml:space="preserve">= 790 °C</t>
    </r>
    <r>
      <rPr>
        <sz val="9"/>
        <color rgb="FF4B5563"/>
        <rFont val="WenQuanYi Zen Hei"/>
        <family val="2"/>
      </rPr>
      <t xml:space="preserve">에서 끝나지 않은 단계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피크가 측정 범위 끝</t>
    </r>
    <r>
      <rPr>
        <sz val="9"/>
        <color rgb="FF4B5563"/>
        <rFont val="Arial"/>
        <family val="0"/>
        <charset val="1"/>
      </rPr>
      <t xml:space="preserve">). 800 °C </t>
    </r>
    <r>
      <rPr>
        <sz val="9"/>
        <color rgb="FF4B5563"/>
        <rFont val="WenQuanYi Zen Hei"/>
        <family val="2"/>
      </rPr>
      <t xml:space="preserve">등온 유지 또는 </t>
    </r>
    <r>
      <rPr>
        <sz val="9"/>
        <color rgb="FF4B5563"/>
        <rFont val="Arial"/>
        <family val="0"/>
        <charset val="1"/>
      </rPr>
      <t xml:space="preserve">1000 °C</t>
    </r>
    <r>
      <rPr>
        <sz val="9"/>
        <color rgb="FF4B5563"/>
        <rFont val="WenQuanYi Zen Hei"/>
        <family val="2"/>
      </rPr>
      <t xml:space="preserve">까지 측정 후 다시 구해야 합니다</t>
    </r>
    <r>
      <rPr>
        <sz val="9"/>
        <color rgb="FF4B5563"/>
        <rFont val="Arial"/>
        <family val="0"/>
        <charset val="1"/>
      </rPr>
      <t xml:space="preserve">.</t>
    </r>
  </si>
  <si>
    <r>
      <rPr>
        <sz val="9"/>
        <color rgb="FF4B5563"/>
        <rFont val="Arial"/>
        <family val="0"/>
        <charset val="1"/>
      </rPr>
      <t xml:space="preserve">PF </t>
    </r>
    <r>
      <rPr>
        <sz val="9"/>
        <color rgb="FF4B5563"/>
        <rFont val="WenQuanYi Zen Hei"/>
        <family val="2"/>
      </rPr>
      <t xml:space="preserve">공기 </t>
    </r>
    <r>
      <rPr>
        <sz val="9"/>
        <color rgb="FF4B5563"/>
        <rFont val="Arial"/>
        <family val="0"/>
        <charset val="1"/>
      </rPr>
      <t xml:space="preserve">2</t>
    </r>
    <r>
      <rPr>
        <sz val="9"/>
        <color rgb="FF4B5563"/>
        <rFont val="WenQuanYi Zen Hei"/>
        <family val="2"/>
      </rPr>
      <t xml:space="preserve">단계는 열분해와 탄화층 산화가 겹친 구간</t>
    </r>
    <r>
      <rPr>
        <sz val="9"/>
        <color rgb="FF4B5563"/>
        <rFont val="Arial"/>
        <family val="0"/>
        <charset val="1"/>
      </rPr>
      <t xml:space="preserve">(f ≈ 0.9)</t>
    </r>
    <r>
      <rPr>
        <sz val="9"/>
        <color rgb="FF4B5563"/>
        <rFont val="WenQuanYi Zen Hei"/>
        <family val="2"/>
      </rPr>
      <t xml:space="preserve">이라 산화만의 속도는 이보다 큽니다</t>
    </r>
    <r>
      <rPr>
        <sz val="9"/>
        <color rgb="FF4B5563"/>
        <rFont val="Arial"/>
        <family val="0"/>
        <charset val="1"/>
      </rPr>
      <t xml:space="preserve">. FDS TGA_ANALYSIS</t>
    </r>
    <r>
      <rPr>
        <sz val="9"/>
        <color rgb="FF4B5563"/>
        <rFont val="WenQuanYi Zen Hei"/>
        <family val="2"/>
      </rPr>
      <t xml:space="preserve">로 공기 곡선과 맞춰 조정하십시오</t>
    </r>
    <r>
      <rPr>
        <sz val="9"/>
        <color rgb="FF4B5563"/>
        <rFont val="Arial"/>
        <family val="0"/>
        <charset val="1"/>
      </rPr>
      <t xml:space="preserve">.</t>
    </r>
  </si>
  <si>
    <r>
      <rPr>
        <sz val="9"/>
        <color rgb="FF4B5563"/>
        <rFont val="Arial"/>
        <family val="0"/>
        <charset val="1"/>
      </rPr>
      <t xml:space="preserve">EPS </t>
    </r>
    <r>
      <rPr>
        <sz val="9"/>
        <color rgb="FF4B5563"/>
        <rFont val="WenQuanYi Zen Hei"/>
        <family val="2"/>
      </rPr>
      <t xml:space="preserve">가연성 공기는 재측정 대상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질량감소 </t>
    </r>
    <r>
      <rPr>
        <sz val="9"/>
        <color rgb="FF4B5563"/>
        <rFont val="Arial"/>
        <family val="0"/>
        <charset val="1"/>
      </rPr>
      <t xml:space="preserve">0.16·0.30 mg)</t>
    </r>
    <r>
      <rPr>
        <sz val="9"/>
        <color rgb="FF4B5563"/>
        <rFont val="WenQuanYi Zen Hei"/>
        <family val="2"/>
      </rPr>
      <t xml:space="preserve">이므로 값을 쓰지 마십시오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</si>
  <si>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밀도 측정 기록 </t>
    </r>
    <r>
      <rPr>
        <b val="true"/>
        <sz val="14"/>
        <rFont val="Arial"/>
        <family val="0"/>
        <charset val="1"/>
      </rPr>
      <t xml:space="preserve">(KS M ISO 845: </t>
    </r>
    <r>
      <rPr>
        <b val="true"/>
        <sz val="14"/>
        <rFont val="WenQuanYi Zen Hei"/>
        <family val="2"/>
      </rPr>
      <t xml:space="preserve">겉보기 밀도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시편 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개 이상</t>
    </r>
    <r>
      <rPr>
        <b val="true"/>
        <sz val="14"/>
        <rFont val="Arial"/>
        <family val="0"/>
        <charset val="1"/>
      </rPr>
      <t xml:space="preserve">, 23 °C · 50 %RH </t>
    </r>
    <r>
      <rPr>
        <b val="true"/>
        <sz val="14"/>
        <rFont val="WenQuanYi Zen Hei"/>
        <family val="2"/>
      </rPr>
      <t xml:space="preserve">상태 조절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</si>
  <si>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WenQuanYi Zen Hei"/>
        <family val="2"/>
      </rPr>
      <t xml:space="preserve">노란 칸에 입력 → </t>
    </r>
    <r>
      <rPr>
        <sz val="9"/>
        <color rgb="FF4B5563"/>
        <rFont val="Arial"/>
        <family val="0"/>
        <charset val="1"/>
      </rPr>
      <t xml:space="preserve">G</t>
    </r>
    <r>
      <rPr>
        <sz val="9"/>
        <color rgb="FF4B5563"/>
        <rFont val="WenQuanYi Zen Hei"/>
        <family val="2"/>
      </rPr>
      <t xml:space="preserve">열 밀도가 계산되고 </t>
    </r>
    <r>
      <rPr>
        <sz val="9"/>
        <color rgb="FF4B5563"/>
        <rFont val="Arial"/>
        <family val="0"/>
        <charset val="1"/>
      </rPr>
      <t xml:space="preserve">'MATL </t>
    </r>
    <r>
      <rPr>
        <sz val="9"/>
        <color rgb="FF4B5563"/>
        <rFont val="WenQuanYi Zen Hei"/>
        <family val="2"/>
      </rPr>
      <t xml:space="preserve">입력값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에 재료별 평균이 들어감</t>
    </r>
    <r>
      <rPr>
        <sz val="9"/>
        <color rgb="FF4B5563"/>
        <rFont val="Arial"/>
        <family val="0"/>
        <charset val="1"/>
      </rPr>
      <t xml:space="preserve">. 5</t>
    </r>
    <r>
      <rPr>
        <sz val="9"/>
        <color rgb="FF4B5563"/>
        <rFont val="WenQuanYi Zen Hei"/>
        <family val="2"/>
      </rPr>
      <t xml:space="preserve">행은 형식을 보여 주는 예시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재료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예시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는 평균에서 제외</t>
    </r>
    <r>
      <rPr>
        <sz val="9"/>
        <color rgb="FF4B5563"/>
        <rFont val="Arial"/>
        <family val="0"/>
        <charset val="1"/>
      </rPr>
      <t xml:space="preserve">).</t>
    </r>
  </si>
  <si>
    <t xml:space="preserve">시편</t>
  </si>
  <si>
    <r>
      <rPr>
        <b val="true"/>
        <sz val="10"/>
        <color rgb="FFFFFFFF"/>
        <rFont val="WenQuanYi Zen Hei"/>
        <family val="2"/>
      </rPr>
      <t xml:space="preserve">가로 </t>
    </r>
    <r>
      <rPr>
        <b val="true"/>
        <sz val="10"/>
        <color rgb="FFFFFFFF"/>
        <rFont val="Arial"/>
        <family val="0"/>
        <charset val="1"/>
      </rPr>
      <t xml:space="preserve">(mm)</t>
    </r>
  </si>
  <si>
    <r>
      <rPr>
        <b val="true"/>
        <sz val="10"/>
        <color rgb="FFFFFFFF"/>
        <rFont val="WenQuanYi Zen Hei"/>
        <family val="2"/>
      </rPr>
      <t xml:space="preserve">세로 </t>
    </r>
    <r>
      <rPr>
        <b val="true"/>
        <sz val="10"/>
        <color rgb="FFFFFFFF"/>
        <rFont val="Arial"/>
        <family val="0"/>
        <charset val="1"/>
      </rPr>
      <t xml:space="preserve">(mm)</t>
    </r>
  </si>
  <si>
    <r>
      <rPr>
        <b val="true"/>
        <sz val="10"/>
        <color rgb="FFFFFFFF"/>
        <rFont val="WenQuanYi Zen Hei"/>
        <family val="2"/>
      </rPr>
      <t xml:space="preserve">두께 </t>
    </r>
    <r>
      <rPr>
        <b val="true"/>
        <sz val="10"/>
        <color rgb="FFFFFFFF"/>
        <rFont val="Arial"/>
        <family val="0"/>
        <charset val="1"/>
      </rPr>
      <t xml:space="preserve">(mm)</t>
    </r>
  </si>
  <si>
    <r>
      <rPr>
        <b val="true"/>
        <sz val="10"/>
        <color rgb="FFFFFFFF"/>
        <rFont val="WenQuanYi Zen Hei"/>
        <family val="2"/>
      </rPr>
      <t xml:space="preserve">질량 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</si>
  <si>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10"/>
        <color rgb="FFFFFFFF"/>
        <rFont val="WenQuanYi Zen Hei"/>
        <family val="2"/>
      </rPr>
      <t xml:space="preserve">밀도 </t>
    </r>
    <r>
      <rPr>
        <b val="true"/>
        <sz val="10"/>
        <color rgb="FFFFFFFF"/>
        <rFont val="Arial"/>
        <family val="0"/>
        <charset val="1"/>
      </rPr>
      <t xml:space="preserve">(kg/m³)</t>
    </r>
  </si>
  <si>
    <t xml:space="preserve">예시</t>
  </si>
  <si>
    <t xml:space="preserve">면재가 붙은 제품은 면재를 떼어낸 심재와 전체를 따로 기록</t>
  </si>
  <si>
    <r>
      <rPr>
        <b val="true"/>
        <sz val="14"/>
        <rFont val="WenQuanYi Zen Hei"/>
        <family val="2"/>
      </rPr>
      <t xml:space="preserve">비열 측정 기록 — 사파이어법 </t>
    </r>
    <r>
      <rPr>
        <b val="true"/>
        <sz val="14"/>
        <rFont val="Arial"/>
        <family val="0"/>
        <charset val="1"/>
      </rPr>
      <t xml:space="preserve">DSC (ASTM E1269 / ISO 11357-4): </t>
    </r>
    <r>
      <rPr>
        <b val="true"/>
        <sz val="14"/>
        <rFont val="WenQuanYi Zen Hei"/>
        <family val="2"/>
      </rPr>
      <t xml:space="preserve">빈 도가니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사파이어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시료를 같은 조건으로 측정</t>
    </r>
  </si>
  <si>
    <r>
      <rPr>
        <sz val="9"/>
        <color rgb="FF4B5563"/>
        <rFont val="Arial"/>
        <family val="0"/>
        <charset val="1"/>
      </rPr>
      <t xml:space="preserve">c_p,</t>
    </r>
    <r>
      <rPr>
        <sz val="9"/>
        <color rgb="FF4B5563"/>
        <rFont val="WenQuanYi Zen Hei"/>
        <family val="2"/>
      </rPr>
      <t xml:space="preserve">시료 </t>
    </r>
    <r>
      <rPr>
        <sz val="9"/>
        <color rgb="FF4B5563"/>
        <rFont val="Arial"/>
        <family val="0"/>
        <charset val="1"/>
      </rPr>
      <t xml:space="preserve">= c_p,</t>
    </r>
    <r>
      <rPr>
        <sz val="9"/>
        <color rgb="FF4B5563"/>
        <rFont val="WenQuanYi Zen Hei"/>
        <family val="2"/>
      </rPr>
      <t xml:space="preserve">사파이어 </t>
    </r>
    <r>
      <rPr>
        <sz val="9"/>
        <color rgb="FF4B5563"/>
        <rFont val="Arial"/>
        <family val="0"/>
        <charset val="1"/>
      </rPr>
      <t xml:space="preserve">× (m_</t>
    </r>
    <r>
      <rPr>
        <sz val="9"/>
        <color rgb="FF4B5563"/>
        <rFont val="WenQuanYi Zen Hei"/>
        <family val="2"/>
      </rPr>
      <t xml:space="preserve">사파이어 </t>
    </r>
    <r>
      <rPr>
        <sz val="9"/>
        <color rgb="FF4B5563"/>
        <rFont val="Arial"/>
        <family val="0"/>
        <charset val="1"/>
      </rPr>
      <t xml:space="preserve">/ m_</t>
    </r>
    <r>
      <rPr>
        <sz val="9"/>
        <color rgb="FF4B5563"/>
        <rFont val="WenQuanYi Zen Hei"/>
        <family val="2"/>
      </rPr>
      <t xml:space="preserve">시료</t>
    </r>
    <r>
      <rPr>
        <sz val="9"/>
        <color rgb="FF4B5563"/>
        <rFont val="Arial"/>
        <family val="0"/>
        <charset val="1"/>
      </rPr>
      <t xml:space="preserve">) × (HF_</t>
    </r>
    <r>
      <rPr>
        <sz val="9"/>
        <color rgb="FF4B5563"/>
        <rFont val="WenQuanYi Zen Hei"/>
        <family val="2"/>
      </rPr>
      <t xml:space="preserve">시료 − </t>
    </r>
    <r>
      <rPr>
        <sz val="9"/>
        <color rgb="FF4B5563"/>
        <rFont val="Arial"/>
        <family val="0"/>
        <charset val="1"/>
      </rPr>
      <t xml:space="preserve">HF_</t>
    </r>
    <r>
      <rPr>
        <sz val="9"/>
        <color rgb="FF4B5563"/>
        <rFont val="WenQuanYi Zen Hei"/>
        <family val="2"/>
      </rPr>
      <t xml:space="preserve">블랭크</t>
    </r>
    <r>
      <rPr>
        <sz val="9"/>
        <color rgb="FF4B5563"/>
        <rFont val="Arial"/>
        <family val="0"/>
        <charset val="1"/>
      </rPr>
      <t xml:space="preserve">) / (HF_</t>
    </r>
    <r>
      <rPr>
        <sz val="9"/>
        <color rgb="FF4B5563"/>
        <rFont val="WenQuanYi Zen Hei"/>
        <family val="2"/>
      </rPr>
      <t xml:space="preserve">사파이어 − </t>
    </r>
    <r>
      <rPr>
        <sz val="9"/>
        <color rgb="FF4B5563"/>
        <rFont val="Arial"/>
        <family val="0"/>
        <charset val="1"/>
      </rPr>
      <t xml:space="preserve">HF_</t>
    </r>
    <r>
      <rPr>
        <sz val="9"/>
        <color rgb="FF4B5563"/>
        <rFont val="WenQuanYi Zen Hei"/>
        <family val="2"/>
      </rPr>
      <t xml:space="preserve">블랭크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사파이어 </t>
    </r>
    <r>
      <rPr>
        <sz val="9"/>
        <color rgb="FF4B5563"/>
        <rFont val="Arial"/>
        <family val="0"/>
        <charset val="1"/>
      </rPr>
      <t xml:space="preserve">c_p</t>
    </r>
    <r>
      <rPr>
        <sz val="9"/>
        <color rgb="FF4B5563"/>
        <rFont val="WenQuanYi Zen Hei"/>
        <family val="2"/>
      </rPr>
      <t xml:space="preserve">는 표준</t>
    </r>
    <r>
      <rPr>
        <sz val="9"/>
        <color rgb="FF4B5563"/>
        <rFont val="Arial"/>
        <family val="0"/>
        <charset val="1"/>
      </rPr>
      <t xml:space="preserve">(ASTM E1269 </t>
    </r>
    <r>
      <rPr>
        <sz val="9"/>
        <color rgb="FF4B5563"/>
        <rFont val="WenQuanYi Zen Hei"/>
        <family val="2"/>
      </rPr>
      <t xml:space="preserve">표 또는 </t>
    </r>
    <r>
      <rPr>
        <sz val="9"/>
        <color rgb="FF4B5563"/>
        <rFont val="Arial"/>
        <family val="0"/>
        <charset val="1"/>
      </rPr>
      <t xml:space="preserve">NIST SRM 720 </t>
    </r>
    <r>
      <rPr>
        <sz val="9"/>
        <color rgb="FF4B5563"/>
        <rFont val="WenQuanYi Zen Hei"/>
        <family val="2"/>
      </rPr>
      <t xml:space="preserve">인증서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의 값을 온도별로 입력</t>
    </r>
    <r>
      <rPr>
        <sz val="9"/>
        <color rgb="FF4B5563"/>
        <rFont val="Arial"/>
        <family val="0"/>
        <charset val="1"/>
      </rPr>
      <t xml:space="preserve">. 5</t>
    </r>
    <r>
      <rPr>
        <sz val="9"/>
        <color rgb="FF4B5563"/>
        <rFont val="WenQuanYi Zen Hei"/>
        <family val="2"/>
      </rPr>
      <t xml:space="preserve">행은 형식 예시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</si>
  <si>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온도 </t>
    </r>
    <r>
      <rPr>
        <b val="true"/>
        <sz val="10"/>
        <color rgb="FFFFFFFF"/>
        <rFont val="Arial"/>
        <family val="0"/>
        <charset val="1"/>
      </rPr>
      <t xml:space="preserve">(°C)</t>
    </r>
  </si>
  <si>
    <r>
      <rPr>
        <b val="true"/>
        <sz val="10"/>
        <color rgb="FFFFFFFF"/>
        <rFont val="WenQuanYi Zen Hei"/>
        <family val="2"/>
      </rPr>
      <t xml:space="preserve">블랭크 열류 </t>
    </r>
    <r>
      <rPr>
        <b val="true"/>
        <sz val="10"/>
        <color rgb="FFFFFFFF"/>
        <rFont val="Arial"/>
        <family val="0"/>
        <charset val="1"/>
      </rPr>
      <t xml:space="preserve">(mW)</t>
    </r>
  </si>
  <si>
    <r>
      <rPr>
        <b val="true"/>
        <sz val="10"/>
        <color rgb="FFFFFFFF"/>
        <rFont val="WenQuanYi Zen Hei"/>
        <family val="2"/>
      </rPr>
      <t xml:space="preserve">사파이어 열류 </t>
    </r>
    <r>
      <rPr>
        <b val="true"/>
        <sz val="10"/>
        <color rgb="FFFFFFFF"/>
        <rFont val="Arial"/>
        <family val="0"/>
        <charset val="1"/>
      </rPr>
      <t xml:space="preserve">(mW)</t>
    </r>
  </si>
  <si>
    <r>
      <rPr>
        <b val="true"/>
        <sz val="10"/>
        <color rgb="FFFFFFFF"/>
        <rFont val="WenQuanYi Zen Hei"/>
        <family val="2"/>
      </rPr>
      <t xml:space="preserve">시료 열류 </t>
    </r>
    <r>
      <rPr>
        <b val="true"/>
        <sz val="10"/>
        <color rgb="FFFFFFFF"/>
        <rFont val="Arial"/>
        <family val="0"/>
        <charset val="1"/>
      </rPr>
      <t xml:space="preserve">(mW)</t>
    </r>
  </si>
  <si>
    <r>
      <rPr>
        <b val="true"/>
        <sz val="10"/>
        <color rgb="FFFFFFFF"/>
        <rFont val="WenQuanYi Zen Hei"/>
        <family val="2"/>
      </rPr>
      <t xml:space="preserve">사파이어 질량 </t>
    </r>
    <r>
      <rPr>
        <b val="true"/>
        <sz val="10"/>
        <color rgb="FFFFFFFF"/>
        <rFont val="Arial"/>
        <family val="0"/>
        <charset val="1"/>
      </rPr>
      <t xml:space="preserve">(mg)</t>
    </r>
  </si>
  <si>
    <r>
      <rPr>
        <b val="true"/>
        <sz val="10"/>
        <color rgb="FFFFFFFF"/>
        <rFont val="WenQuanYi Zen Hei"/>
        <family val="2"/>
      </rPr>
      <t xml:space="preserve">시료 질량 </t>
    </r>
    <r>
      <rPr>
        <b val="true"/>
        <sz val="10"/>
        <color rgb="FFFFFFFF"/>
        <rFont val="Arial"/>
        <family val="0"/>
        <charset val="1"/>
      </rPr>
      <t xml:space="preserve">(mg)</t>
    </r>
  </si>
  <si>
    <r>
      <rPr>
        <b val="true"/>
        <sz val="10"/>
        <color rgb="FFFFFFFF"/>
        <rFont val="WenQuanYi Zen Hei"/>
        <family val="2"/>
      </rPr>
      <t xml:space="preserve">사파이어 </t>
    </r>
    <r>
      <rPr>
        <b val="true"/>
        <sz val="10"/>
        <color rgb="FFFFFFFF"/>
        <rFont val="Arial"/>
        <family val="0"/>
        <charset val="1"/>
      </rPr>
      <t xml:space="preserve">c_p (J/(g·K))</t>
    </r>
  </si>
  <si>
    <r>
      <rPr>
        <b val="true"/>
        <sz val="10"/>
        <color rgb="FFFFFFFF"/>
        <rFont val="WenQuanYi Zen Hei"/>
        <family val="2"/>
      </rPr>
      <t xml:space="preserve">시료 </t>
    </r>
    <r>
      <rPr>
        <b val="true"/>
        <sz val="10"/>
        <color rgb="FFFFFFFF"/>
        <rFont val="Arial"/>
        <family val="0"/>
        <charset val="1"/>
      </rPr>
      <t xml:space="preserve">c_p (kJ/(kg·K))</t>
    </r>
  </si>
  <si>
    <r>
      <rPr>
        <sz val="9"/>
        <color rgb="FF4B5563"/>
        <rFont val="WenQuanYi Zen Hei"/>
        <family val="2"/>
      </rPr>
      <t xml:space="preserve">예시 값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형식만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측정 범위는 분해 시작 전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약 </t>
    </r>
    <r>
      <rPr>
        <sz val="9"/>
        <color rgb="FF4B5563"/>
        <rFont val="Arial"/>
        <family val="0"/>
        <charset val="1"/>
      </rPr>
      <t xml:space="preserve">30–150 °C)</t>
    </r>
  </si>
  <si>
    <r>
      <rPr>
        <b val="true"/>
        <sz val="14"/>
        <rFont val="WenQuanYi Zen Hei"/>
        <family val="2"/>
      </rPr>
      <t xml:space="preserve">측정 곡선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두 반복 평균</t>
    </r>
    <r>
      <rPr>
        <b val="true"/>
        <sz val="14"/>
        <rFont val="Arial"/>
        <family val="0"/>
        <charset val="1"/>
      </rPr>
      <t xml:space="preserve">) — FDS TGA_ANALYSIS </t>
    </r>
    <r>
      <rPr>
        <b val="true"/>
        <sz val="14"/>
        <rFont val="WenQuanYi Zen Hei"/>
        <family val="2"/>
      </rPr>
      <t xml:space="preserve">결과</t>
    </r>
    <r>
      <rPr>
        <b val="true"/>
        <sz val="14"/>
        <rFont val="Arial"/>
        <family val="0"/>
        <charset val="1"/>
      </rPr>
      <t xml:space="preserve">(CHID_tga.csv)</t>
    </r>
    <r>
      <rPr>
        <b val="true"/>
        <sz val="14"/>
        <rFont val="WenQuanYi Zen Hei"/>
        <family val="2"/>
      </rPr>
      <t xml:space="preserve">와 비교용</t>
    </r>
  </si>
  <si>
    <r>
      <rPr>
        <sz val="9"/>
        <color rgb="FF4B5563"/>
        <rFont val="WenQuanYi Zen Hei"/>
        <family val="2"/>
      </rPr>
      <t xml:space="preserve">질량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정규화</t>
    </r>
    <r>
      <rPr>
        <sz val="9"/>
        <color rgb="FF4B5563"/>
        <rFont val="Arial"/>
        <family val="0"/>
        <charset val="1"/>
      </rPr>
      <t xml:space="preserve">) = 1 − α, α = </t>
    </r>
    <r>
      <rPr>
        <sz val="9"/>
        <color rgb="FF4B5563"/>
        <rFont val="WenQuanYi Zen Hei"/>
        <family val="2"/>
      </rPr>
      <t xml:space="preserve">승온 시작 이후 감소량 </t>
    </r>
    <r>
      <rPr>
        <sz val="9"/>
        <color rgb="FF4B5563"/>
        <rFont val="Arial"/>
        <family val="0"/>
        <charset val="1"/>
      </rPr>
      <t xml:space="preserve">÷ 790 °C</t>
    </r>
    <r>
      <rPr>
        <sz val="9"/>
        <color rgb="FF4B5563"/>
        <rFont val="WenQuanYi Zen Hei"/>
        <family val="2"/>
      </rPr>
      <t xml:space="preserve">까지 감소량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속도 </t>
    </r>
    <r>
      <rPr>
        <sz val="9"/>
        <color rgb="FF4B5563"/>
        <rFont val="Arial"/>
        <family val="0"/>
        <charset val="1"/>
      </rPr>
      <t xml:space="preserve">= dα/dt (1/s, 5 K/min). FDS </t>
    </r>
    <r>
      <rPr>
        <sz val="9"/>
        <color rgb="FF4B5563"/>
        <rFont val="WenQuanYi Zen Hei"/>
        <family val="2"/>
      </rPr>
      <t xml:space="preserve">결과의 질량 </t>
    </r>
    <r>
      <rPr>
        <sz val="9"/>
        <color rgb="FF4B5563"/>
        <rFont val="Arial"/>
        <family val="0"/>
        <charset val="1"/>
      </rPr>
      <t xml:space="preserve">Y(</t>
    </r>
    <r>
      <rPr>
        <sz val="9"/>
        <color rgb="FF4B5563"/>
        <rFont val="WenQuanYi Zen Hei"/>
        <family val="2"/>
      </rPr>
      <t xml:space="preserve">초기 질량 기준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는 </t>
    </r>
    <r>
      <rPr>
        <sz val="9"/>
        <color rgb="FF4B5563"/>
        <rFont val="Arial"/>
        <family val="0"/>
        <charset val="1"/>
      </rPr>
      <t xml:space="preserve">α_FDS = (1 − Y) / (1 − Y(790 °C))</t>
    </r>
    <r>
      <rPr>
        <sz val="9"/>
        <color rgb="FF4B5563"/>
        <rFont val="WenQuanYi Zen Hei"/>
        <family val="2"/>
      </rPr>
      <t xml:space="preserve">로 바꿔 비교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</si>
  <si>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가연성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질량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</si>
  <si>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가연성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</si>
  <si>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가연성 공기 질량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</si>
  <si>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가연성 공기 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</si>
  <si>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준불연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질량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</si>
  <si>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준불연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</si>
  <si>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준불연 공기 질량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</si>
  <si>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준불연 공기 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</si>
  <si>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가연성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질량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</si>
  <si>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가연성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</si>
  <si>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가연성 공기 질량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</si>
  <si>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가연성 공기 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</si>
  <si>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준불연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질량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</si>
  <si>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준불연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</si>
  <si>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준불연 공기 질량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</si>
  <si>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준불연 공기 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</si>
  <si>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외부용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질량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</si>
  <si>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외부용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</si>
  <si>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외부용 공기 질량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</si>
  <si>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외부용 공기 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</si>
  <si>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내부용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질량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</si>
  <si>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내부용 </t>
    </r>
    <r>
      <rPr>
        <b val="true"/>
        <sz val="10"/>
        <color rgb="FFFFFFFF"/>
        <rFont val="Arial"/>
        <family val="0"/>
        <charset val="1"/>
      </rPr>
      <t xml:space="preserve">N₂ </t>
    </r>
    <r>
      <rPr>
        <b val="true"/>
        <sz val="10"/>
        <color rgb="FFFFFFFF"/>
        <rFont val="WenQuanYi Zen Hei"/>
        <family val="2"/>
      </rPr>
      <t xml:space="preserve">속도 </t>
    </r>
    <r>
      <rPr>
        <b val="true"/>
        <sz val="10"/>
        <color rgb="FFFFFFFF"/>
        <rFont val="Arial"/>
        <family val="0"/>
        <charset val="1"/>
      </rPr>
      <t xml:space="preserve">(1/s)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</si>
  <si>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내부용 공기 질량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</si>
  <si>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내부용 공기 속도 </t>
    </r>
    <r>
      <rPr>
        <b val="true"/>
        <sz val="10"/>
        <color rgb="FFFFFFFF"/>
        <rFont val="Arial"/>
        <family val="0"/>
        <charset val="1"/>
      </rPr>
      <t xml:space="preserve">(1/s)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</si>
</sst>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0.000"/>
    <numFmt numFmtId="168" formatCode="0"/>
    <numFmt numFmtId="169" formatCode="0.00E+00"/>
    <numFmt numFmtId="170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9"/>
      <color rgb="FF4B5563"/>
      <name val="WenQuanYi Zen Hei"/>
      <family val="2"/>
    </font>
    <font>
      <sz val="9"/>
      <color rgb="FF4B556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9CA3AF"/>
      <name val="Arial"/>
      <family val="0"/>
      <charset val="1"/>
    </font>
    <font>
      <sz val="10"/>
      <name val="Arial"/>
      <family val="2"/>
    </font>
    <font>
      <sz val="10"/>
      <color rgb="FF0000FF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23303D"/>
        <bgColor rgb="FF333300"/>
      </patternFill>
    </fill>
    <fill>
      <patternFill patternType="solid">
        <fgColor rgb="FFFFF2CC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2330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9.4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2" t="s">
        <v>3</v>
      </c>
      <c r="B4" s="4" t="s">
        <v>4</v>
      </c>
    </row>
    <row r="5" customFormat="false" ht="43.5" hidden="false" customHeight="true" outlineLevel="0" collapsed="false">
      <c r="A5" s="2" t="s">
        <v>5</v>
      </c>
      <c r="B5" s="4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5" t="s">
        <v>9</v>
      </c>
      <c r="B7" s="3" t="s">
        <v>10</v>
      </c>
    </row>
    <row r="8" customFormat="false" ht="43.5" hidden="false" customHeight="true" outlineLevel="0" collapsed="false">
      <c r="A8" s="5" t="s">
        <v>11</v>
      </c>
      <c r="B8" s="3" t="s">
        <v>12</v>
      </c>
    </row>
    <row r="9" customFormat="false" ht="43.5" hidden="false" customHeight="true" outlineLevel="0" collapsed="false">
      <c r="A9" s="2" t="s">
        <v>13</v>
      </c>
      <c r="B9" s="4" t="s">
        <v>14</v>
      </c>
    </row>
    <row r="10" customFormat="false" ht="43.5" hidden="false" customHeight="true" outlineLevel="0" collapsed="false">
      <c r="A10" s="2" t="s">
        <v>15</v>
      </c>
      <c r="B10" s="3" t="s">
        <v>16</v>
      </c>
    </row>
    <row r="11" customFormat="false" ht="43.5" hidden="false" customHeight="true" outlineLevel="0" collapsed="false">
      <c r="A11" s="2" t="s">
        <v>17</v>
      </c>
      <c r="B1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10" min="5" style="0" width="14"/>
    <col collapsed="false" customWidth="true" hidden="false" outlineLevel="0" max="11" min="11" style="0" width="44"/>
  </cols>
  <sheetData>
    <row r="1" customFormat="false" ht="19.4" hidden="false" customHeight="false" outlineLevel="0" collapsed="false">
      <c r="A1" s="6" t="s">
        <v>19</v>
      </c>
    </row>
    <row r="3" customFormat="false" ht="26.85" hidden="false" customHeight="false" outlineLevel="0" collapsed="false">
      <c r="A3" s="7" t="s">
        <v>20</v>
      </c>
      <c r="B3" s="7" t="s">
        <v>21</v>
      </c>
      <c r="C3" s="8" t="s">
        <v>22</v>
      </c>
      <c r="D3" s="8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8" t="s">
        <v>30</v>
      </c>
    </row>
    <row r="4" customFormat="false" ht="33.75" hidden="false" customHeight="true" outlineLevel="0" collapsed="false">
      <c r="A4" s="2" t="s">
        <v>31</v>
      </c>
      <c r="B4" s="3" t="s">
        <v>32</v>
      </c>
      <c r="C4" s="9" t="s">
        <v>33</v>
      </c>
      <c r="D4" s="4" t="s">
        <v>34</v>
      </c>
      <c r="E4" s="10" t="str">
        <f aca="false">IFERROR(AVERAGEIFS('밀도 측정'!$G$6:$G$80,'밀도 측정'!$A$6:$A$80,E$3),"")</f>
        <v/>
      </c>
      <c r="F4" s="10" t="str">
        <f aca="false">IFERROR(AVERAGEIFS('밀도 측정'!$G$6:$G$80,'밀도 측정'!$A$6:$A$80,F$3),"")</f>
        <v/>
      </c>
      <c r="G4" s="10" t="str">
        <f aca="false">IFERROR(AVERAGEIFS('밀도 측정'!$G$6:$G$80,'밀도 측정'!$A$6:$A$80,G$3),"")</f>
        <v/>
      </c>
      <c r="H4" s="10" t="str">
        <f aca="false">IFERROR(AVERAGEIFS('밀도 측정'!$G$6:$G$80,'밀도 측정'!$A$6:$A$80,H$3),"")</f>
        <v/>
      </c>
      <c r="I4" s="10" t="str">
        <f aca="false">IFERROR(AVERAGEIFS('밀도 측정'!$G$6:$G$80,'밀도 측정'!$A$6:$A$80,I$3),"")</f>
        <v/>
      </c>
      <c r="J4" s="10" t="str">
        <f aca="false">IFERROR(AVERAGEIFS('밀도 측정'!$G$6:$G$80,'밀도 측정'!$A$6:$A$80,J$3),"")</f>
        <v/>
      </c>
      <c r="K4" s="11" t="s">
        <v>35</v>
      </c>
    </row>
    <row r="5" customFormat="false" ht="33.75" hidden="false" customHeight="true" outlineLevel="0" collapsed="false">
      <c r="A5" s="2" t="s">
        <v>36</v>
      </c>
      <c r="B5" s="3" t="s">
        <v>37</v>
      </c>
      <c r="C5" s="9" t="s">
        <v>38</v>
      </c>
      <c r="D5" s="4" t="s">
        <v>39</v>
      </c>
      <c r="E5" s="12" t="str">
        <f aca="false">IFERROR(AVERAGEIFS('비열 측정'!$I$6:$I$80,'비열 측정'!$A$6:$A$80,E$3),"")</f>
        <v/>
      </c>
      <c r="F5" s="12" t="str">
        <f aca="false">IFERROR(AVERAGEIFS('비열 측정'!$I$6:$I$80,'비열 측정'!$A$6:$A$80,F$3),"")</f>
        <v/>
      </c>
      <c r="G5" s="12" t="str">
        <f aca="false">IFERROR(AVERAGEIFS('비열 측정'!$I$6:$I$80,'비열 측정'!$A$6:$A$80,G$3),"")</f>
        <v/>
      </c>
      <c r="H5" s="12" t="str">
        <f aca="false">IFERROR(AVERAGEIFS('비열 측정'!$I$6:$I$80,'비열 측정'!$A$6:$A$80,H$3),"")</f>
        <v/>
      </c>
      <c r="I5" s="12" t="str">
        <f aca="false">IFERROR(AVERAGEIFS('비열 측정'!$I$6:$I$80,'비열 측정'!$A$6:$A$80,I$3),"")</f>
        <v/>
      </c>
      <c r="J5" s="12" t="str">
        <f aca="false">IFERROR(AVERAGEIFS('비열 측정'!$I$6:$I$80,'비열 측정'!$A$6:$A$80,J$3),"")</f>
        <v/>
      </c>
      <c r="K5" s="11" t="s">
        <v>40</v>
      </c>
    </row>
    <row r="6" customFormat="false" ht="33.75" hidden="false" customHeight="true" outlineLevel="0" collapsed="false">
      <c r="A6" s="2" t="s">
        <v>41</v>
      </c>
      <c r="B6" s="3" t="s">
        <v>42</v>
      </c>
      <c r="C6" s="9" t="s">
        <v>43</v>
      </c>
      <c r="D6" s="4" t="s">
        <v>44</v>
      </c>
      <c r="E6" s="13"/>
      <c r="F6" s="13"/>
      <c r="G6" s="13"/>
      <c r="H6" s="13"/>
      <c r="I6" s="13"/>
      <c r="J6" s="13"/>
      <c r="K6" s="11" t="s">
        <v>45</v>
      </c>
    </row>
    <row r="7" customFormat="false" ht="33.75" hidden="false" customHeight="true" outlineLevel="0" collapsed="false">
      <c r="A7" s="2" t="s">
        <v>46</v>
      </c>
      <c r="B7" s="3" t="s">
        <v>47</v>
      </c>
      <c r="C7" s="9" t="s">
        <v>48</v>
      </c>
      <c r="D7" s="3" t="s">
        <v>49</v>
      </c>
      <c r="E7" s="14" t="n">
        <v>0.9</v>
      </c>
      <c r="F7" s="14" t="n">
        <v>0.9</v>
      </c>
      <c r="G7" s="14" t="n">
        <v>0.9</v>
      </c>
      <c r="H7" s="14" t="n">
        <v>0.9</v>
      </c>
      <c r="I7" s="14" t="n">
        <v>0.9</v>
      </c>
      <c r="J7" s="14" t="n">
        <v>0.9</v>
      </c>
      <c r="K7" s="11" t="s">
        <v>50</v>
      </c>
    </row>
    <row r="8" customFormat="false" ht="33.75" hidden="false" customHeight="true" outlineLevel="0" collapsed="false">
      <c r="A8" s="2" t="s">
        <v>51</v>
      </c>
      <c r="B8" s="3" t="s">
        <v>52</v>
      </c>
      <c r="C8" s="9" t="s">
        <v>48</v>
      </c>
      <c r="D8" s="3" t="s">
        <v>53</v>
      </c>
      <c r="E8" s="15" t="n">
        <v>1</v>
      </c>
      <c r="F8" s="15" t="n">
        <v>1</v>
      </c>
      <c r="G8" s="15" t="n">
        <v>2</v>
      </c>
      <c r="H8" s="15" t="n">
        <v>2</v>
      </c>
      <c r="I8" s="15" t="n">
        <v>2</v>
      </c>
      <c r="J8" s="15" t="n">
        <v>2</v>
      </c>
      <c r="K8" s="16" t="s">
        <v>54</v>
      </c>
    </row>
    <row r="9" customFormat="false" ht="33.75" hidden="false" customHeight="true" outlineLevel="0" collapsed="false">
      <c r="A9" s="2" t="s">
        <v>55</v>
      </c>
      <c r="B9" s="3" t="s">
        <v>56</v>
      </c>
      <c r="C9" s="9" t="s">
        <v>57</v>
      </c>
      <c r="D9" s="3" t="s">
        <v>58</v>
      </c>
      <c r="E9" s="17" t="n">
        <f aca="false">'반응 파라미터'!$B$3</f>
        <v>5</v>
      </c>
      <c r="F9" s="17" t="n">
        <f aca="false">'반응 파라미터'!$B$3</f>
        <v>5</v>
      </c>
      <c r="G9" s="17" t="n">
        <f aca="false">'반응 파라미터'!$B$3</f>
        <v>5</v>
      </c>
      <c r="H9" s="17" t="n">
        <f aca="false">'반응 파라미터'!$B$3</f>
        <v>5</v>
      </c>
      <c r="I9" s="17" t="n">
        <f aca="false">'반응 파라미터'!$B$3</f>
        <v>5</v>
      </c>
      <c r="J9" s="17" t="n">
        <f aca="false">'반응 파라미터'!$B$3</f>
        <v>5</v>
      </c>
      <c r="K9" s="11" t="s">
        <v>59</v>
      </c>
    </row>
    <row r="10" customFormat="false" ht="33.75" hidden="false" customHeight="true" outlineLevel="0" collapsed="false">
      <c r="A10" s="2" t="s">
        <v>60</v>
      </c>
      <c r="B10" s="3" t="s">
        <v>61</v>
      </c>
      <c r="C10" s="9" t="s">
        <v>62</v>
      </c>
      <c r="D10" s="3" t="s">
        <v>63</v>
      </c>
      <c r="E10" s="17" t="n">
        <f aca="false">'반응 파라미터'!I8</f>
        <v>397</v>
      </c>
      <c r="F10" s="17" t="n">
        <f aca="false">'반응 파라미터'!I10</f>
        <v>426</v>
      </c>
      <c r="G10" s="17" t="n">
        <f aca="false">'반응 파라미터'!I13</f>
        <v>315</v>
      </c>
      <c r="H10" s="17" t="n">
        <f aca="false">'반응 파라미터'!I17</f>
        <v>332</v>
      </c>
      <c r="I10" s="17" t="n">
        <f aca="false">'반응 파라미터'!I21</f>
        <v>302</v>
      </c>
      <c r="J10" s="17" t="n">
        <f aca="false">'반응 파라미터'!I25</f>
        <v>300</v>
      </c>
      <c r="K10" s="16" t="s">
        <v>64</v>
      </c>
    </row>
    <row r="11" customFormat="false" ht="33.75" hidden="false" customHeight="true" outlineLevel="0" collapsed="false">
      <c r="A11" s="2" t="s">
        <v>65</v>
      </c>
      <c r="B11" s="3" t="s">
        <v>66</v>
      </c>
      <c r="C11" s="9" t="s">
        <v>67</v>
      </c>
      <c r="D11" s="4" t="s">
        <v>68</v>
      </c>
      <c r="E11" s="18" t="n">
        <f aca="false">'반응 파라미터'!K8</f>
        <v>0.0022460626694536</v>
      </c>
      <c r="F11" s="18" t="n">
        <f aca="false">'반응 파라미터'!K10</f>
        <v>0.000965650992651712</v>
      </c>
      <c r="G11" s="18" t="n">
        <f aca="false">'반응 파라미터'!K13</f>
        <v>0.000899603607970174</v>
      </c>
      <c r="H11" s="18" t="n">
        <f aca="false">'반응 파라미터'!K17</f>
        <v>0.000704683923967646</v>
      </c>
      <c r="I11" s="18" t="n">
        <f aca="false">'반응 파라미터'!K21</f>
        <v>0.000427965283278313</v>
      </c>
      <c r="J11" s="18" t="n">
        <f aca="false">'반응 파라미터'!K25</f>
        <v>0.000505691418000998</v>
      </c>
      <c r="K11" s="16" t="s">
        <v>69</v>
      </c>
    </row>
    <row r="12" customFormat="false" ht="33.75" hidden="false" customHeight="true" outlineLevel="0" collapsed="false">
      <c r="A12" s="2" t="s">
        <v>70</v>
      </c>
      <c r="B12" s="3" t="s">
        <v>71</v>
      </c>
      <c r="C12" s="9" t="s">
        <v>72</v>
      </c>
      <c r="D12" s="3" t="s">
        <v>73</v>
      </c>
      <c r="E12" s="12"/>
      <c r="F12" s="12"/>
      <c r="G12" s="12"/>
      <c r="H12" s="12"/>
      <c r="I12" s="12"/>
      <c r="J12" s="12"/>
      <c r="K12" s="11" t="s">
        <v>74</v>
      </c>
    </row>
    <row r="13" customFormat="false" ht="33.75" hidden="false" customHeight="true" outlineLevel="0" collapsed="false">
      <c r="A13" s="2" t="s">
        <v>75</v>
      </c>
      <c r="B13" s="3" t="s">
        <v>76</v>
      </c>
      <c r="C13" s="9" t="s">
        <v>77</v>
      </c>
      <c r="D13" s="4" t="s">
        <v>78</v>
      </c>
      <c r="E13" s="19"/>
      <c r="F13" s="19"/>
      <c r="G13" s="19"/>
      <c r="H13" s="19"/>
      <c r="I13" s="19"/>
      <c r="J13" s="19"/>
      <c r="K13" s="11" t="s">
        <v>79</v>
      </c>
    </row>
    <row r="14" customFormat="false" ht="33.75" hidden="false" customHeight="true" outlineLevel="0" collapsed="false">
      <c r="A14" s="2" t="s">
        <v>80</v>
      </c>
      <c r="B14" s="3" t="s">
        <v>81</v>
      </c>
      <c r="C14" s="9" t="s">
        <v>62</v>
      </c>
      <c r="D14" s="3" t="s">
        <v>82</v>
      </c>
      <c r="E14" s="17" t="s">
        <v>83</v>
      </c>
      <c r="F14" s="17" t="s">
        <v>83</v>
      </c>
      <c r="G14" s="17" t="n">
        <f aca="false">'반응 파라미터'!I16</f>
        <v>524</v>
      </c>
      <c r="H14" s="17" t="n">
        <f aca="false">'반응 파라미터'!I20</f>
        <v>534</v>
      </c>
      <c r="I14" s="17" t="n">
        <f aca="false">'반응 파라미터'!I24</f>
        <v>488</v>
      </c>
      <c r="J14" s="17" t="n">
        <f aca="false">'반응 파라미터'!I28</f>
        <v>472</v>
      </c>
      <c r="K14" s="16" t="s">
        <v>84</v>
      </c>
    </row>
    <row r="15" customFormat="false" ht="33.75" hidden="false" customHeight="true" outlineLevel="0" collapsed="false">
      <c r="A15" s="2" t="s">
        <v>85</v>
      </c>
      <c r="B15" s="3" t="s">
        <v>86</v>
      </c>
      <c r="C15" s="9" t="s">
        <v>67</v>
      </c>
      <c r="D15" s="4" t="s">
        <v>87</v>
      </c>
      <c r="E15" s="18" t="s">
        <v>83</v>
      </c>
      <c r="F15" s="18" t="s">
        <v>83</v>
      </c>
      <c r="G15" s="18" t="n">
        <f aca="false">'반응 파라미터'!K16</f>
        <v>0.000875478560804118</v>
      </c>
      <c r="H15" s="18" t="n">
        <f aca="false">'반응 파라미터'!K20</f>
        <v>0.000756603169138671</v>
      </c>
      <c r="I15" s="18" t="n">
        <f aca="false">'반응 파라미터'!K24</f>
        <v>0.000373786951473623</v>
      </c>
      <c r="J15" s="18" t="n">
        <f aca="false">'반응 파라미터'!K28</f>
        <v>0.0010896303684058</v>
      </c>
      <c r="K15" s="16" t="s">
        <v>88</v>
      </c>
    </row>
    <row r="16" customFormat="false" ht="33.75" hidden="false" customHeight="true" outlineLevel="0" collapsed="false">
      <c r="A16" s="2" t="s">
        <v>89</v>
      </c>
      <c r="B16" s="3" t="s">
        <v>90</v>
      </c>
      <c r="C16" s="9" t="s">
        <v>48</v>
      </c>
      <c r="D16" s="4" t="s">
        <v>91</v>
      </c>
      <c r="E16" s="15" t="s">
        <v>83</v>
      </c>
      <c r="F16" s="15" t="s">
        <v>83</v>
      </c>
      <c r="G16" s="15" t="n">
        <v>1</v>
      </c>
      <c r="H16" s="15" t="n">
        <v>1</v>
      </c>
      <c r="I16" s="15" t="n">
        <v>1</v>
      </c>
      <c r="J16" s="15" t="n">
        <v>1</v>
      </c>
      <c r="K16" s="11"/>
    </row>
    <row r="17" customFormat="false" ht="33.75" hidden="false" customHeight="true" outlineLevel="0" collapsed="false">
      <c r="A17" s="2" t="s">
        <v>92</v>
      </c>
      <c r="B17" s="3" t="s">
        <v>93</v>
      </c>
      <c r="C17" s="9" t="s">
        <v>67</v>
      </c>
      <c r="D17" s="3" t="s">
        <v>94</v>
      </c>
      <c r="E17" s="18" t="s">
        <v>83</v>
      </c>
      <c r="F17" s="18" t="s">
        <v>83</v>
      </c>
      <c r="G17" s="18" t="n">
        <f aca="false">'반응 파라미터'!O16</f>
        <v>87692567.4885421</v>
      </c>
      <c r="H17" s="18" t="n">
        <f aca="false">'반응 파라미터'!O20</f>
        <v>4408976.1509993</v>
      </c>
      <c r="I17" s="18" t="n">
        <f aca="false">'반응 파라미터'!O24</f>
        <v>52.1471512787006</v>
      </c>
      <c r="J17" s="18" t="n">
        <f aca="false">'반응 파라미터'!O28</f>
        <v>4504858244.92433</v>
      </c>
      <c r="K17" s="16" t="s">
        <v>95</v>
      </c>
    </row>
    <row r="18" customFormat="false" ht="33.75" hidden="false" customHeight="true" outlineLevel="0" collapsed="false">
      <c r="A18" s="2" t="s">
        <v>96</v>
      </c>
      <c r="B18" s="3" t="s">
        <v>97</v>
      </c>
      <c r="C18" s="9" t="s">
        <v>98</v>
      </c>
      <c r="D18" s="3" t="s">
        <v>99</v>
      </c>
      <c r="E18" s="17" t="s">
        <v>83</v>
      </c>
      <c r="F18" s="17" t="s">
        <v>83</v>
      </c>
      <c r="G18" s="17" t="n">
        <f aca="false">'반응 파라미터'!M16*1000</f>
        <v>150881.338866626</v>
      </c>
      <c r="H18" s="17" t="n">
        <f aca="false">'반응 파라미터'!M20*1000</f>
        <v>133686.19770146</v>
      </c>
      <c r="I18" s="17" t="n">
        <f aca="false">'반응 파라미터'!M24*1000</f>
        <v>58731.9679278226</v>
      </c>
      <c r="J18" s="17" t="n">
        <f aca="false">'반응 파라미터'!M28*1000</f>
        <v>164087.887278788</v>
      </c>
      <c r="K18" s="11"/>
    </row>
    <row r="19" customFormat="false" ht="33.75" hidden="false" customHeight="true" outlineLevel="0" collapsed="false">
      <c r="A19" s="2" t="s">
        <v>100</v>
      </c>
      <c r="B19" s="3" t="s">
        <v>101</v>
      </c>
      <c r="C19" s="9" t="s">
        <v>77</v>
      </c>
      <c r="D19" s="4" t="s">
        <v>102</v>
      </c>
      <c r="E19" s="20" t="s">
        <v>83</v>
      </c>
      <c r="F19" s="20" t="s">
        <v>83</v>
      </c>
      <c r="G19" s="19"/>
      <c r="H19" s="19"/>
      <c r="I19" s="19"/>
      <c r="J19" s="19"/>
      <c r="K19" s="11" t="s">
        <v>103</v>
      </c>
    </row>
    <row r="20" customFormat="false" ht="33.75" hidden="false" customHeight="true" outlineLevel="0" collapsed="false">
      <c r="A20" s="2" t="s">
        <v>104</v>
      </c>
      <c r="B20" s="3" t="s">
        <v>105</v>
      </c>
      <c r="C20" s="9" t="s">
        <v>77</v>
      </c>
      <c r="D20" s="3" t="s">
        <v>106</v>
      </c>
      <c r="E20" s="19"/>
      <c r="F20" s="19"/>
      <c r="G20" s="19"/>
      <c r="H20" s="19"/>
      <c r="I20" s="19"/>
      <c r="J20" s="19"/>
      <c r="K20" s="16" t="s">
        <v>107</v>
      </c>
    </row>
    <row r="22" customFormat="false" ht="15" hidden="false" customHeight="false" outlineLevel="0" collapsed="false">
      <c r="A22" s="21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30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1"/>
  </cols>
  <sheetData>
    <row r="1" customFormat="false" ht="19.4" hidden="false" customHeight="false" outlineLevel="0" collapsed="false">
      <c r="A1" s="1" t="s">
        <v>109</v>
      </c>
    </row>
    <row r="3" customFormat="false" ht="23.85" hidden="false" customHeight="false" outlineLevel="0" collapsed="false">
      <c r="A3" s="5" t="s">
        <v>110</v>
      </c>
      <c r="B3" s="22" t="n">
        <v>5</v>
      </c>
    </row>
    <row r="4" customFormat="false" ht="25.35" hidden="false" customHeight="false" outlineLevel="0" collapsed="false">
      <c r="A4" s="2" t="s">
        <v>111</v>
      </c>
      <c r="B4" s="23" t="n">
        <v>8.314462618</v>
      </c>
    </row>
    <row r="5" customFormat="false" ht="26.85" hidden="false" customHeight="false" outlineLevel="0" collapsed="false">
      <c r="A5" s="5" t="s">
        <v>112</v>
      </c>
      <c r="B5" s="23" t="n">
        <v>0.209</v>
      </c>
    </row>
    <row r="7" customFormat="false" ht="36.55" hidden="false" customHeight="false" outlineLevel="0" collapsed="false">
      <c r="A7" s="8" t="s">
        <v>113</v>
      </c>
      <c r="B7" s="8" t="s">
        <v>114</v>
      </c>
      <c r="C7" s="8" t="s">
        <v>115</v>
      </c>
      <c r="D7" s="7" t="s">
        <v>116</v>
      </c>
      <c r="E7" s="8" t="s">
        <v>117</v>
      </c>
      <c r="F7" s="8" t="s">
        <v>118</v>
      </c>
      <c r="G7" s="8" t="s">
        <v>119</v>
      </c>
      <c r="H7" s="8" t="s">
        <v>120</v>
      </c>
      <c r="I7" s="7" t="s">
        <v>121</v>
      </c>
      <c r="J7" s="8" t="s">
        <v>122</v>
      </c>
      <c r="K7" s="7" t="s">
        <v>123</v>
      </c>
      <c r="L7" s="8" t="s">
        <v>124</v>
      </c>
      <c r="M7" s="7" t="s">
        <v>125</v>
      </c>
      <c r="N7" s="7" t="s">
        <v>126</v>
      </c>
      <c r="O7" s="7" t="s">
        <v>127</v>
      </c>
      <c r="P7" s="8" t="s">
        <v>128</v>
      </c>
    </row>
    <row r="8" customFormat="false" ht="15" hidden="false" customHeight="false" outlineLevel="0" collapsed="false">
      <c r="A8" s="5" t="s">
        <v>129</v>
      </c>
      <c r="B8" s="9" t="s">
        <v>130</v>
      </c>
      <c r="C8" s="9" t="n">
        <v>1</v>
      </c>
      <c r="D8" s="4" t="s">
        <v>131</v>
      </c>
      <c r="E8" s="20" t="n">
        <v>150</v>
      </c>
      <c r="F8" s="20" t="n">
        <v>785</v>
      </c>
      <c r="G8" s="24" t="n">
        <v>0.982201</v>
      </c>
      <c r="H8" s="25" t="s">
        <v>132</v>
      </c>
      <c r="I8" s="15" t="n">
        <v>397</v>
      </c>
      <c r="J8" s="24" t="n">
        <v>2.647302</v>
      </c>
      <c r="K8" s="26" t="n">
        <f aca="false">($B$3/60)*(J8/100)/G8</f>
        <v>0.0022460626694536</v>
      </c>
      <c r="L8" s="9" t="s">
        <v>133</v>
      </c>
      <c r="M8" s="20" t="n">
        <f aca="false">EXP(1)*K8*$B$4*(I8+273.15)^2/($B$3/60)/1000</f>
        <v>273.574633827017</v>
      </c>
      <c r="N8" s="26" t="n">
        <f aca="false">EXP(1)*K8*EXP(M8*1000/($B$4*(I8+273.15)))</f>
        <v>1.28526440832131E+019</v>
      </c>
      <c r="O8" s="26" t="s">
        <v>83</v>
      </c>
      <c r="P8" s="25" t="s">
        <v>134</v>
      </c>
    </row>
    <row r="9" customFormat="false" ht="15" hidden="false" customHeight="false" outlineLevel="0" collapsed="false">
      <c r="A9" s="5" t="s">
        <v>129</v>
      </c>
      <c r="B9" s="25" t="s">
        <v>135</v>
      </c>
      <c r="C9" s="9" t="n">
        <v>1</v>
      </c>
      <c r="D9" s="4" t="s">
        <v>136</v>
      </c>
      <c r="E9" s="20" t="n">
        <v>150</v>
      </c>
      <c r="F9" s="20" t="n">
        <v>785</v>
      </c>
      <c r="G9" s="24" t="n">
        <v>1.081277</v>
      </c>
      <c r="H9" s="25" t="s">
        <v>132</v>
      </c>
      <c r="I9" s="15" t="n">
        <v>294</v>
      </c>
      <c r="J9" s="24" t="n">
        <v>2.395255</v>
      </c>
      <c r="K9" s="26" t="n">
        <f aca="false">($B$3/60)*(J9/100)/G9</f>
        <v>0.00184600785306016</v>
      </c>
      <c r="L9" s="9" t="s">
        <v>137</v>
      </c>
      <c r="M9" s="20" t="n">
        <f aca="false">EXP(1)*K9*$B$4*(I9+273.15)^2/($B$3/60)/1000</f>
        <v>161.042064739944</v>
      </c>
      <c r="N9" s="26" t="n">
        <f aca="false">EXP(1)*K9*EXP(M9*1000/($B$4*(I9+273.15)))</f>
        <v>3406027014585.44</v>
      </c>
      <c r="O9" s="26" t="n">
        <f aca="false">N9/$B$5</f>
        <v>16296779974093</v>
      </c>
      <c r="P9" s="25" t="s">
        <v>138</v>
      </c>
    </row>
    <row r="10" customFormat="false" ht="15" hidden="false" customHeight="false" outlineLevel="0" collapsed="false">
      <c r="A10" s="5" t="s">
        <v>139</v>
      </c>
      <c r="B10" s="9" t="s">
        <v>130</v>
      </c>
      <c r="C10" s="9" t="n">
        <v>1</v>
      </c>
      <c r="D10" s="4" t="s">
        <v>131</v>
      </c>
      <c r="E10" s="20" t="n">
        <v>150</v>
      </c>
      <c r="F10" s="20" t="n">
        <v>785</v>
      </c>
      <c r="G10" s="24" t="n">
        <v>0.990344</v>
      </c>
      <c r="H10" s="25" t="s">
        <v>132</v>
      </c>
      <c r="I10" s="15" t="n">
        <v>426</v>
      </c>
      <c r="J10" s="24" t="n">
        <v>1.147592</v>
      </c>
      <c r="K10" s="26" t="n">
        <f aca="false">($B$3/60)*(J10/100)/G10</f>
        <v>0.000965650992651712</v>
      </c>
      <c r="L10" s="9" t="s">
        <v>140</v>
      </c>
      <c r="M10" s="20" t="n">
        <f aca="false">EXP(1)*K10*$B$4*(I10+273.15)^2/($B$3/60)/1000</f>
        <v>128.017938167003</v>
      </c>
      <c r="N10" s="26" t="n">
        <f aca="false">EXP(1)*K10*EXP(M10*1000/($B$4*(I10+273.15)))</f>
        <v>9624041.10768255</v>
      </c>
      <c r="O10" s="26" t="s">
        <v>83</v>
      </c>
      <c r="P10" s="25" t="s">
        <v>134</v>
      </c>
    </row>
    <row r="11" customFormat="false" ht="15" hidden="false" customHeight="false" outlineLevel="0" collapsed="false">
      <c r="A11" s="5" t="s">
        <v>139</v>
      </c>
      <c r="B11" s="25" t="s">
        <v>135</v>
      </c>
      <c r="C11" s="9" t="n">
        <v>1</v>
      </c>
      <c r="D11" s="4" t="s">
        <v>141</v>
      </c>
      <c r="E11" s="20" t="n">
        <v>150</v>
      </c>
      <c r="F11" s="20" t="n">
        <v>417</v>
      </c>
      <c r="G11" s="24" t="n">
        <v>0.677363</v>
      </c>
      <c r="H11" s="25" t="s">
        <v>132</v>
      </c>
      <c r="I11" s="15" t="n">
        <v>342</v>
      </c>
      <c r="J11" s="24" t="n">
        <v>1.017631</v>
      </c>
      <c r="K11" s="26" t="n">
        <f aca="false">($B$3/60)*(J11/100)/G11</f>
        <v>0.00125195180919733</v>
      </c>
      <c r="L11" s="9" t="s">
        <v>142</v>
      </c>
      <c r="M11" s="20" t="n">
        <f aca="false">EXP(1)*K11*$B$4*(I11+273.15)^2/($B$3/60)/1000</f>
        <v>128.487116197164</v>
      </c>
      <c r="N11" s="26" t="n">
        <f aca="false">EXP(1)*K11*EXP(M11*1000/($B$4*(I11+273.15)))</f>
        <v>276681931.185598</v>
      </c>
      <c r="O11" s="26" t="n">
        <f aca="false">N11/$B$5</f>
        <v>1323836991.31865</v>
      </c>
      <c r="P11" s="25" t="s">
        <v>143</v>
      </c>
    </row>
    <row r="12" customFormat="false" ht="15" hidden="false" customHeight="false" outlineLevel="0" collapsed="false">
      <c r="A12" s="5" t="s">
        <v>139</v>
      </c>
      <c r="B12" s="25" t="s">
        <v>135</v>
      </c>
      <c r="C12" s="9" t="n">
        <v>2</v>
      </c>
      <c r="D12" s="4" t="s">
        <v>144</v>
      </c>
      <c r="E12" s="20" t="n">
        <v>417</v>
      </c>
      <c r="F12" s="20" t="n">
        <v>785</v>
      </c>
      <c r="G12" s="24" t="n">
        <v>0.323332</v>
      </c>
      <c r="H12" s="25" t="s">
        <v>145</v>
      </c>
      <c r="I12" s="27" t="n">
        <v>778</v>
      </c>
      <c r="J12" s="28" t="n">
        <v>0.370583</v>
      </c>
      <c r="K12" s="29" t="n">
        <f aca="false">($B$3/60)*(J12/100)/G12</f>
        <v>0.000955114763359849</v>
      </c>
      <c r="L12" s="9" t="s">
        <v>146</v>
      </c>
      <c r="M12" s="20" t="n">
        <f aca="false">EXP(1)*K12*$B$4*(I12+273.15)^2/($B$3/60)/1000</f>
        <v>286.216627671097</v>
      </c>
      <c r="N12" s="26" t="n">
        <f aca="false">EXP(1)*K12*EXP(M12*1000/($B$4*(I12+273.15)))</f>
        <v>433503373358.145</v>
      </c>
      <c r="O12" s="26" t="n">
        <f aca="false">N12/$B$5</f>
        <v>2074178819895.43</v>
      </c>
      <c r="P12" s="25" t="s">
        <v>143</v>
      </c>
    </row>
    <row r="13" customFormat="false" ht="15" hidden="false" customHeight="false" outlineLevel="0" collapsed="false">
      <c r="A13" s="5" t="s">
        <v>147</v>
      </c>
      <c r="B13" s="9" t="s">
        <v>130</v>
      </c>
      <c r="C13" s="9" t="n">
        <v>1</v>
      </c>
      <c r="D13" s="4" t="s">
        <v>148</v>
      </c>
      <c r="E13" s="20" t="n">
        <v>150</v>
      </c>
      <c r="F13" s="20" t="n">
        <v>546</v>
      </c>
      <c r="G13" s="24" t="n">
        <v>0.651964</v>
      </c>
      <c r="H13" s="25" t="s">
        <v>132</v>
      </c>
      <c r="I13" s="15" t="n">
        <v>315</v>
      </c>
      <c r="J13" s="24" t="n">
        <v>0.703811</v>
      </c>
      <c r="K13" s="26" t="n">
        <f aca="false">($B$3/60)*(J13/100)/G13</f>
        <v>0.000899603607970174</v>
      </c>
      <c r="L13" s="9" t="s">
        <v>149</v>
      </c>
      <c r="M13" s="20" t="n">
        <f aca="false">EXP(1)*K13*$B$4*(I13+273.15)^2/($B$3/60)/1000</f>
        <v>84.3990006510656</v>
      </c>
      <c r="N13" s="26" t="n">
        <f aca="false">EXP(1)*K13*EXP(M13*1000/($B$4*(I13+273.15)))</f>
        <v>76528.5686261634</v>
      </c>
      <c r="O13" s="26" t="s">
        <v>83</v>
      </c>
      <c r="P13" s="25" t="s">
        <v>143</v>
      </c>
    </row>
    <row r="14" customFormat="false" ht="15" hidden="false" customHeight="false" outlineLevel="0" collapsed="false">
      <c r="A14" s="5" t="s">
        <v>147</v>
      </c>
      <c r="B14" s="9" t="s">
        <v>130</v>
      </c>
      <c r="C14" s="9" t="n">
        <v>2</v>
      </c>
      <c r="D14" s="4" t="s">
        <v>150</v>
      </c>
      <c r="E14" s="20" t="n">
        <v>546</v>
      </c>
      <c r="F14" s="20" t="n">
        <v>785</v>
      </c>
      <c r="G14" s="24" t="n">
        <v>0.331943</v>
      </c>
      <c r="H14" s="25" t="s">
        <v>145</v>
      </c>
      <c r="I14" s="27" t="n">
        <v>776</v>
      </c>
      <c r="J14" s="28" t="n">
        <v>0.180697</v>
      </c>
      <c r="K14" s="29" t="n">
        <f aca="false">($B$3/60)*(J14/100)/G14</f>
        <v>0.000453634609958135</v>
      </c>
      <c r="L14" s="9" t="s">
        <v>151</v>
      </c>
      <c r="M14" s="20" t="n">
        <f aca="false">EXP(1)*K14*$B$4*(I14+273.15)^2/($B$3/60)/1000</f>
        <v>135.422636441298</v>
      </c>
      <c r="N14" s="26" t="n">
        <f aca="false">EXP(1)*K14*EXP(M14*1000/($B$4*(I14+273.15)))</f>
        <v>6811.36921193681</v>
      </c>
      <c r="O14" s="26" t="s">
        <v>83</v>
      </c>
      <c r="P14" s="25" t="s">
        <v>143</v>
      </c>
    </row>
    <row r="15" customFormat="false" ht="15" hidden="false" customHeight="false" outlineLevel="0" collapsed="false">
      <c r="A15" s="5" t="s">
        <v>147</v>
      </c>
      <c r="B15" s="25" t="s">
        <v>135</v>
      </c>
      <c r="C15" s="9" t="n">
        <v>1</v>
      </c>
      <c r="D15" s="4" t="s">
        <v>152</v>
      </c>
      <c r="E15" s="20" t="n">
        <v>150</v>
      </c>
      <c r="F15" s="20" t="n">
        <v>365</v>
      </c>
      <c r="G15" s="24" t="n">
        <v>0.288625</v>
      </c>
      <c r="H15" s="25" t="s">
        <v>132</v>
      </c>
      <c r="I15" s="15" t="n">
        <v>302</v>
      </c>
      <c r="J15" s="24" t="n">
        <v>0.37222</v>
      </c>
      <c r="K15" s="26" t="n">
        <f aca="false">($B$3/60)*(J15/100)/G15</f>
        <v>0.00107469322939223</v>
      </c>
      <c r="L15" s="9" t="s">
        <v>153</v>
      </c>
      <c r="M15" s="20" t="n">
        <f aca="false">EXP(1)*K15*$B$4*(I15+273.15)^2/($B$3/60)/1000</f>
        <v>96.4176792864885</v>
      </c>
      <c r="N15" s="26" t="n">
        <f aca="false">EXP(1)*K15*EXP(M15*1000/($B$4*(I15+273.15)))</f>
        <v>1667173.06889133</v>
      </c>
      <c r="O15" s="26" t="n">
        <f aca="false">N15/$B$5</f>
        <v>7976904.6358437</v>
      </c>
      <c r="P15" s="25" t="s">
        <v>154</v>
      </c>
    </row>
    <row r="16" customFormat="false" ht="15" hidden="false" customHeight="false" outlineLevel="0" collapsed="false">
      <c r="A16" s="5" t="s">
        <v>147</v>
      </c>
      <c r="B16" s="25" t="s">
        <v>135</v>
      </c>
      <c r="C16" s="9" t="n">
        <v>2</v>
      </c>
      <c r="D16" s="4" t="s">
        <v>155</v>
      </c>
      <c r="E16" s="20" t="n">
        <v>365</v>
      </c>
      <c r="F16" s="20" t="n">
        <v>785</v>
      </c>
      <c r="G16" s="24" t="n">
        <v>0.711073</v>
      </c>
      <c r="H16" s="25" t="s">
        <v>132</v>
      </c>
      <c r="I16" s="15" t="n">
        <v>524</v>
      </c>
      <c r="J16" s="24" t="n">
        <v>0.747035</v>
      </c>
      <c r="K16" s="26" t="n">
        <f aca="false">($B$3/60)*(J16/100)/G16</f>
        <v>0.000875478560804118</v>
      </c>
      <c r="L16" s="9" t="s">
        <v>156</v>
      </c>
      <c r="M16" s="20" t="n">
        <f aca="false">EXP(1)*K16*$B$4*(I16+273.15)^2/($B$3/60)/1000</f>
        <v>150.881338866626</v>
      </c>
      <c r="N16" s="26" t="n">
        <f aca="false">EXP(1)*K16*EXP(M16*1000/($B$4*(I16+273.15)))</f>
        <v>18327746.6051053</v>
      </c>
      <c r="O16" s="26" t="n">
        <f aca="false">N16/$B$5</f>
        <v>87692567.4885421</v>
      </c>
      <c r="P16" s="25" t="s">
        <v>154</v>
      </c>
    </row>
    <row r="17" customFormat="false" ht="15" hidden="false" customHeight="false" outlineLevel="0" collapsed="false">
      <c r="A17" s="5" t="s">
        <v>157</v>
      </c>
      <c r="B17" s="9" t="s">
        <v>130</v>
      </c>
      <c r="C17" s="9" t="n">
        <v>1</v>
      </c>
      <c r="D17" s="4" t="s">
        <v>148</v>
      </c>
      <c r="E17" s="20" t="n">
        <v>150</v>
      </c>
      <c r="F17" s="20" t="n">
        <v>501</v>
      </c>
      <c r="G17" s="24" t="n">
        <v>0.617246</v>
      </c>
      <c r="H17" s="25" t="s">
        <v>132</v>
      </c>
      <c r="I17" s="15" t="n">
        <v>332</v>
      </c>
      <c r="J17" s="24" t="n">
        <v>0.521956</v>
      </c>
      <c r="K17" s="26" t="n">
        <f aca="false">($B$3/60)*(J17/100)/G17</f>
        <v>0.000704683923967646</v>
      </c>
      <c r="L17" s="9" t="s">
        <v>158</v>
      </c>
      <c r="M17" s="20" t="n">
        <f aca="false">EXP(1)*K17*$B$4*(I17+273.15)^2/($B$3/60)/1000</f>
        <v>69.9890908726639</v>
      </c>
      <c r="N17" s="26" t="n">
        <f aca="false">EXP(1)*K17*EXP(M17*1000/($B$4*(I17+273.15)))</f>
        <v>2105.7584106287</v>
      </c>
      <c r="O17" s="26" t="s">
        <v>83</v>
      </c>
      <c r="P17" s="25" t="s">
        <v>143</v>
      </c>
    </row>
    <row r="18" customFormat="false" ht="15" hidden="false" customHeight="false" outlineLevel="0" collapsed="false">
      <c r="A18" s="5" t="s">
        <v>157</v>
      </c>
      <c r="B18" s="9" t="s">
        <v>130</v>
      </c>
      <c r="C18" s="9" t="n">
        <v>2</v>
      </c>
      <c r="D18" s="4" t="s">
        <v>150</v>
      </c>
      <c r="E18" s="20" t="n">
        <v>501</v>
      </c>
      <c r="F18" s="20" t="n">
        <v>785</v>
      </c>
      <c r="G18" s="24" t="n">
        <v>0.349915</v>
      </c>
      <c r="H18" s="25" t="s">
        <v>145</v>
      </c>
      <c r="I18" s="27" t="n">
        <v>764</v>
      </c>
      <c r="J18" s="28" t="n">
        <v>0.226819</v>
      </c>
      <c r="K18" s="29" t="n">
        <f aca="false">($B$3/60)*(J18/100)/G18</f>
        <v>0.000540176423798161</v>
      </c>
      <c r="L18" s="9" t="s">
        <v>159</v>
      </c>
      <c r="M18" s="20" t="n">
        <f aca="false">EXP(1)*K18*$B$4*(I18+273.15)^2/($B$3/60)/1000</f>
        <v>157.590009497005</v>
      </c>
      <c r="N18" s="26" t="n">
        <f aca="false">EXP(1)*K18*EXP(M18*1000/($B$4*(I18+273.15)))</f>
        <v>126905.441867771</v>
      </c>
      <c r="O18" s="26" t="s">
        <v>83</v>
      </c>
      <c r="P18" s="25" t="s">
        <v>143</v>
      </c>
    </row>
    <row r="19" customFormat="false" ht="15" hidden="false" customHeight="false" outlineLevel="0" collapsed="false">
      <c r="A19" s="5" t="s">
        <v>157</v>
      </c>
      <c r="B19" s="25" t="s">
        <v>135</v>
      </c>
      <c r="C19" s="9" t="n">
        <v>1</v>
      </c>
      <c r="D19" s="4" t="s">
        <v>152</v>
      </c>
      <c r="E19" s="20" t="n">
        <v>150</v>
      </c>
      <c r="F19" s="20" t="n">
        <v>401</v>
      </c>
      <c r="G19" s="24" t="n">
        <v>0.360919</v>
      </c>
      <c r="H19" s="25" t="s">
        <v>132</v>
      </c>
      <c r="I19" s="15" t="n">
        <v>310</v>
      </c>
      <c r="J19" s="24" t="n">
        <v>0.293744</v>
      </c>
      <c r="K19" s="26" t="n">
        <f aca="false">($B$3/60)*(J19/100)/G19</f>
        <v>0.000678231588435817</v>
      </c>
      <c r="L19" s="9" t="s">
        <v>160</v>
      </c>
      <c r="M19" s="20" t="n">
        <f aca="false">EXP(1)*K19*$B$4*(I19+273.15)^2/($B$3/60)/1000</f>
        <v>62.553049400479</v>
      </c>
      <c r="N19" s="26" t="n">
        <f aca="false">EXP(1)*K19*EXP(M19*1000/($B$4*(I19+273.15)))</f>
        <v>738.997464323192</v>
      </c>
      <c r="O19" s="26" t="n">
        <f aca="false">N19/$B$5</f>
        <v>3535.87303503919</v>
      </c>
      <c r="P19" s="25" t="s">
        <v>134</v>
      </c>
    </row>
    <row r="20" customFormat="false" ht="15" hidden="false" customHeight="false" outlineLevel="0" collapsed="false">
      <c r="A20" s="5" t="s">
        <v>157</v>
      </c>
      <c r="B20" s="25" t="s">
        <v>135</v>
      </c>
      <c r="C20" s="9" t="n">
        <v>2</v>
      </c>
      <c r="D20" s="4" t="s">
        <v>155</v>
      </c>
      <c r="E20" s="20" t="n">
        <v>401</v>
      </c>
      <c r="F20" s="20" t="n">
        <v>785</v>
      </c>
      <c r="G20" s="24" t="n">
        <v>0.627426</v>
      </c>
      <c r="H20" s="25" t="s">
        <v>132</v>
      </c>
      <c r="I20" s="15" t="n">
        <v>534</v>
      </c>
      <c r="J20" s="24" t="n">
        <v>0.569655</v>
      </c>
      <c r="K20" s="26" t="n">
        <f aca="false">($B$3/60)*(J20/100)/G20</f>
        <v>0.000756603169138671</v>
      </c>
      <c r="L20" s="9" t="s">
        <v>161</v>
      </c>
      <c r="M20" s="20" t="n">
        <f aca="false">EXP(1)*K20*$B$4*(I20+273.15)^2/($B$3/60)/1000</f>
        <v>133.68619770146</v>
      </c>
      <c r="N20" s="26" t="n">
        <f aca="false">EXP(1)*K20*EXP(M20*1000/($B$4*(I20+273.15)))</f>
        <v>921476.015558854</v>
      </c>
      <c r="O20" s="26" t="n">
        <f aca="false">N20/$B$5</f>
        <v>4408976.1509993</v>
      </c>
      <c r="P20" s="25" t="s">
        <v>134</v>
      </c>
    </row>
    <row r="21" customFormat="false" ht="15" hidden="false" customHeight="false" outlineLevel="0" collapsed="false">
      <c r="A21" s="5" t="s">
        <v>162</v>
      </c>
      <c r="B21" s="9" t="s">
        <v>130</v>
      </c>
      <c r="C21" s="9" t="n">
        <v>1</v>
      </c>
      <c r="D21" s="4" t="s">
        <v>163</v>
      </c>
      <c r="E21" s="20" t="n">
        <v>150</v>
      </c>
      <c r="F21" s="20" t="n">
        <v>463</v>
      </c>
      <c r="G21" s="24" t="n">
        <v>0.376226</v>
      </c>
      <c r="H21" s="25" t="s">
        <v>132</v>
      </c>
      <c r="I21" s="15" t="n">
        <v>302</v>
      </c>
      <c r="J21" s="24" t="n">
        <v>0.193214</v>
      </c>
      <c r="K21" s="26" t="n">
        <f aca="false">($B$3/60)*(J21/100)/G21</f>
        <v>0.000427965283278313</v>
      </c>
      <c r="L21" s="9" t="s">
        <v>164</v>
      </c>
      <c r="M21" s="20" t="n">
        <f aca="false">EXP(1)*K21*$B$4*(I21+273.15)^2/($B$3/60)/1000</f>
        <v>38.3955330696697</v>
      </c>
      <c r="N21" s="26" t="n">
        <f aca="false">EXP(1)*K21*EXP(M21*1000/($B$4*(I21+273.15)))</f>
        <v>3.57013802996382</v>
      </c>
      <c r="O21" s="26" t="s">
        <v>83</v>
      </c>
      <c r="P21" s="25" t="s">
        <v>143</v>
      </c>
    </row>
    <row r="22" customFormat="false" ht="15" hidden="false" customHeight="false" outlineLevel="0" collapsed="false">
      <c r="A22" s="5" t="s">
        <v>162</v>
      </c>
      <c r="B22" s="9" t="s">
        <v>130</v>
      </c>
      <c r="C22" s="9" t="n">
        <v>2</v>
      </c>
      <c r="D22" s="4" t="s">
        <v>165</v>
      </c>
      <c r="E22" s="20" t="n">
        <v>463</v>
      </c>
      <c r="F22" s="20" t="n">
        <v>785</v>
      </c>
      <c r="G22" s="24" t="n">
        <v>0.582464</v>
      </c>
      <c r="H22" s="25" t="s">
        <v>145</v>
      </c>
      <c r="I22" s="27" t="n">
        <v>782</v>
      </c>
      <c r="J22" s="28" t="n">
        <v>0.28363</v>
      </c>
      <c r="K22" s="29" t="n">
        <f aca="false">($B$3/60)*(J22/100)/G22</f>
        <v>0.000405790458008277</v>
      </c>
      <c r="L22" s="9" t="s">
        <v>166</v>
      </c>
      <c r="M22" s="20" t="n">
        <f aca="false">EXP(1)*K22*$B$4*(I22+273.15)^2/($B$3/60)/1000</f>
        <v>122.529355775831</v>
      </c>
      <c r="N22" s="26" t="n">
        <f aca="false">EXP(1)*K22*EXP(M22*1000/($B$4*(I22+273.15)))</f>
        <v>1283.00550431447</v>
      </c>
      <c r="O22" s="26" t="s">
        <v>83</v>
      </c>
      <c r="P22" s="25" t="s">
        <v>143</v>
      </c>
    </row>
    <row r="23" customFormat="false" ht="15" hidden="false" customHeight="false" outlineLevel="0" collapsed="false">
      <c r="A23" s="5" t="s">
        <v>162</v>
      </c>
      <c r="B23" s="25" t="s">
        <v>135</v>
      </c>
      <c r="C23" s="9" t="n">
        <v>1</v>
      </c>
      <c r="D23" s="4" t="s">
        <v>167</v>
      </c>
      <c r="E23" s="20" t="n">
        <v>150</v>
      </c>
      <c r="F23" s="20" t="n">
        <v>275</v>
      </c>
      <c r="G23" s="24" t="n">
        <v>0.07839</v>
      </c>
      <c r="H23" s="25" t="s">
        <v>132</v>
      </c>
      <c r="I23" s="15" t="n">
        <v>209</v>
      </c>
      <c r="J23" s="24" t="n">
        <v>0.086458</v>
      </c>
      <c r="K23" s="26" t="n">
        <f aca="false">($B$3/60)*(J23/100)/G23</f>
        <v>0.000919101075817494</v>
      </c>
      <c r="L23" s="9" t="s">
        <v>168</v>
      </c>
      <c r="M23" s="20" t="n">
        <f aca="false">EXP(1)*K23*$B$4*(I23+273.15)^2/($B$3/60)/1000</f>
        <v>57.9478770046324</v>
      </c>
      <c r="N23" s="26" t="n">
        <f aca="false">EXP(1)*K23*EXP(M23*1000/($B$4*(I23+273.15)))</f>
        <v>4736.18848492164</v>
      </c>
      <c r="O23" s="26" t="n">
        <f aca="false">N23/$B$5</f>
        <v>22661.1889230701</v>
      </c>
      <c r="P23" s="25" t="s">
        <v>154</v>
      </c>
    </row>
    <row r="24" customFormat="false" ht="15" hidden="false" customHeight="false" outlineLevel="0" collapsed="false">
      <c r="A24" s="5" t="s">
        <v>162</v>
      </c>
      <c r="B24" s="25" t="s">
        <v>135</v>
      </c>
      <c r="C24" s="9" t="n">
        <v>2</v>
      </c>
      <c r="D24" s="4" t="s">
        <v>155</v>
      </c>
      <c r="E24" s="20" t="n">
        <v>275</v>
      </c>
      <c r="F24" s="20" t="n">
        <v>785</v>
      </c>
      <c r="G24" s="24" t="n">
        <v>0.901757</v>
      </c>
      <c r="H24" s="25" t="s">
        <v>132</v>
      </c>
      <c r="I24" s="15" t="n">
        <v>488</v>
      </c>
      <c r="J24" s="24" t="n">
        <v>0.404478</v>
      </c>
      <c r="K24" s="26" t="n">
        <f aca="false">($B$3/60)*(J24/100)/G24</f>
        <v>0.000373786951473623</v>
      </c>
      <c r="L24" s="9" t="s">
        <v>169</v>
      </c>
      <c r="M24" s="20" t="n">
        <f aca="false">EXP(1)*K24*$B$4*(I24+273.15)^2/($B$3/60)/1000</f>
        <v>58.7319679278226</v>
      </c>
      <c r="N24" s="26" t="n">
        <f aca="false">EXP(1)*K24*EXP(M24*1000/($B$4*(I24+273.15)))</f>
        <v>10.8987546172484</v>
      </c>
      <c r="O24" s="26" t="n">
        <f aca="false">N24/$B$5</f>
        <v>52.1471512787006</v>
      </c>
      <c r="P24" s="25" t="s">
        <v>154</v>
      </c>
    </row>
    <row r="25" customFormat="false" ht="15" hidden="false" customHeight="false" outlineLevel="0" collapsed="false">
      <c r="A25" s="5" t="s">
        <v>170</v>
      </c>
      <c r="B25" s="9" t="s">
        <v>130</v>
      </c>
      <c r="C25" s="9" t="n">
        <v>1</v>
      </c>
      <c r="D25" s="4" t="s">
        <v>163</v>
      </c>
      <c r="E25" s="20" t="n">
        <v>150</v>
      </c>
      <c r="F25" s="20" t="n">
        <v>378</v>
      </c>
      <c r="G25" s="24" t="n">
        <v>0.218399</v>
      </c>
      <c r="H25" s="25" t="s">
        <v>132</v>
      </c>
      <c r="I25" s="15" t="n">
        <v>300</v>
      </c>
      <c r="J25" s="24" t="n">
        <v>0.132531</v>
      </c>
      <c r="K25" s="26" t="n">
        <f aca="false">($B$3/60)*(J25/100)/G25</f>
        <v>0.000505691418000998</v>
      </c>
      <c r="L25" s="9" t="s">
        <v>171</v>
      </c>
      <c r="M25" s="20" t="n">
        <f aca="false">EXP(1)*K25*$B$4*(I25+273.15)^2/($B$3/60)/1000</f>
        <v>45.0538687831467</v>
      </c>
      <c r="N25" s="26" t="n">
        <f aca="false">EXP(1)*K25*EXP(M25*1000/($B$4*(I25+273.15)))</f>
        <v>17.544158840944</v>
      </c>
      <c r="O25" s="26" t="s">
        <v>83</v>
      </c>
      <c r="P25" s="25" t="s">
        <v>143</v>
      </c>
    </row>
    <row r="26" customFormat="false" ht="15" hidden="false" customHeight="false" outlineLevel="0" collapsed="false">
      <c r="A26" s="5" t="s">
        <v>170</v>
      </c>
      <c r="B26" s="9" t="s">
        <v>130</v>
      </c>
      <c r="C26" s="9" t="n">
        <v>2</v>
      </c>
      <c r="D26" s="4" t="s">
        <v>172</v>
      </c>
      <c r="E26" s="20" t="n">
        <v>378</v>
      </c>
      <c r="F26" s="20" t="n">
        <v>785</v>
      </c>
      <c r="G26" s="24" t="n">
        <v>0.73197</v>
      </c>
      <c r="H26" s="25" t="s">
        <v>145</v>
      </c>
      <c r="I26" s="27" t="n">
        <v>617</v>
      </c>
      <c r="J26" s="28" t="n">
        <v>0.247585</v>
      </c>
      <c r="K26" s="29" t="n">
        <f aca="false">($B$3/60)*(J26/100)/G26</f>
        <v>0.000281870614005128</v>
      </c>
      <c r="L26" s="9" t="s">
        <v>173</v>
      </c>
      <c r="M26" s="20" t="n">
        <f aca="false">EXP(1)*K26*$B$4*(I26+273.15)^2/($B$3/60)/1000</f>
        <v>60.5739795888516</v>
      </c>
      <c r="N26" s="26" t="n">
        <f aca="false">EXP(1)*K26*EXP(M26*1000/($B$4*(I26+273.15)))</f>
        <v>2.74662531908579</v>
      </c>
      <c r="O26" s="26" t="s">
        <v>83</v>
      </c>
      <c r="P26" s="25" t="s">
        <v>143</v>
      </c>
    </row>
    <row r="27" customFormat="false" ht="15" hidden="false" customHeight="false" outlineLevel="0" collapsed="false">
      <c r="A27" s="5" t="s">
        <v>170</v>
      </c>
      <c r="B27" s="25" t="s">
        <v>135</v>
      </c>
      <c r="C27" s="9" t="n">
        <v>1</v>
      </c>
      <c r="D27" s="4" t="s">
        <v>167</v>
      </c>
      <c r="E27" s="20" t="n">
        <v>150</v>
      </c>
      <c r="F27" s="20" t="n">
        <v>269</v>
      </c>
      <c r="G27" s="24" t="n">
        <v>0.069907</v>
      </c>
      <c r="H27" s="25" t="s">
        <v>132</v>
      </c>
      <c r="I27" s="15" t="n">
        <v>188</v>
      </c>
      <c r="J27" s="24" t="n">
        <v>0.085647</v>
      </c>
      <c r="K27" s="26" t="n">
        <f aca="false">($B$3/60)*(J27/100)/G27</f>
        <v>0.00102096356588038</v>
      </c>
      <c r="L27" s="9" t="s">
        <v>174</v>
      </c>
      <c r="M27" s="20" t="n">
        <f aca="false">EXP(1)*K27*$B$4*(I27+273.15)^2/($B$3/60)/1000</f>
        <v>58.8849869413206</v>
      </c>
      <c r="N27" s="26" t="n">
        <f aca="false">EXP(1)*K27*EXP(M27*1000/($B$4*(I27+273.15)))</f>
        <v>12974.7765610657</v>
      </c>
      <c r="O27" s="26" t="n">
        <f aca="false">N27/$B$5</f>
        <v>62080.2706271087</v>
      </c>
      <c r="P27" s="25" t="s">
        <v>154</v>
      </c>
    </row>
    <row r="28" customFormat="false" ht="15" hidden="false" customHeight="false" outlineLevel="0" collapsed="false">
      <c r="A28" s="5" t="s">
        <v>170</v>
      </c>
      <c r="B28" s="25" t="s">
        <v>135</v>
      </c>
      <c r="C28" s="9" t="n">
        <v>2</v>
      </c>
      <c r="D28" s="4" t="s">
        <v>155</v>
      </c>
      <c r="E28" s="20" t="n">
        <v>269</v>
      </c>
      <c r="F28" s="20" t="n">
        <v>785</v>
      </c>
      <c r="G28" s="24" t="n">
        <v>0.89738</v>
      </c>
      <c r="H28" s="25" t="s">
        <v>132</v>
      </c>
      <c r="I28" s="15" t="n">
        <v>472</v>
      </c>
      <c r="J28" s="24" t="n">
        <v>1.173375</v>
      </c>
      <c r="K28" s="26" t="n">
        <f aca="false">($B$3/60)*(J28/100)/G28</f>
        <v>0.0010896303684058</v>
      </c>
      <c r="L28" s="9" t="s">
        <v>175</v>
      </c>
      <c r="M28" s="20" t="n">
        <f aca="false">EXP(1)*K28*$B$4*(I28+273.15)^2/($B$3/60)/1000</f>
        <v>164.087887278788</v>
      </c>
      <c r="N28" s="26" t="n">
        <f aca="false">EXP(1)*K28*EXP(M28*1000/($B$4*(I28+273.15)))</f>
        <v>941515373.189185</v>
      </c>
      <c r="O28" s="26" t="n">
        <f aca="false">N28/$B$5</f>
        <v>4504858244.92433</v>
      </c>
      <c r="P28" s="25" t="s">
        <v>154</v>
      </c>
    </row>
    <row r="30" customFormat="false" ht="15" hidden="false" customHeight="false" outlineLevel="0" collapsed="false">
      <c r="A30" s="21" t="s">
        <v>176</v>
      </c>
    </row>
    <row r="31" customFormat="false" ht="15" hidden="false" customHeight="false" outlineLevel="0" collapsed="false">
      <c r="A31" s="21" t="s">
        <v>177</v>
      </c>
    </row>
    <row r="32" customFormat="false" ht="15" hidden="false" customHeight="false" outlineLevel="0" collapsed="false">
      <c r="A32" s="30" t="s">
        <v>178</v>
      </c>
    </row>
    <row r="33" customFormat="false" ht="15" hidden="false" customHeight="false" outlineLevel="0" collapsed="false">
      <c r="A33" s="3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6" min="3" style="0" width="11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19.4" hidden="false" customHeight="false" outlineLevel="0" collapsed="false">
      <c r="A1" s="6" t="s">
        <v>180</v>
      </c>
    </row>
    <row r="2" customFormat="false" ht="15" hidden="false" customHeight="false" outlineLevel="0" collapsed="false">
      <c r="A2" s="21" t="s">
        <v>181</v>
      </c>
    </row>
    <row r="4" customFormat="false" ht="15" hidden="false" customHeight="false" outlineLevel="0" collapsed="false">
      <c r="A4" s="8" t="s">
        <v>113</v>
      </c>
      <c r="B4" s="8" t="s">
        <v>182</v>
      </c>
      <c r="C4" s="8" t="s">
        <v>183</v>
      </c>
      <c r="D4" s="8" t="s">
        <v>184</v>
      </c>
      <c r="E4" s="8" t="s">
        <v>185</v>
      </c>
      <c r="F4" s="8" t="s">
        <v>186</v>
      </c>
      <c r="G4" s="8" t="s">
        <v>187</v>
      </c>
      <c r="H4" s="8" t="s">
        <v>30</v>
      </c>
    </row>
    <row r="5" customFormat="false" ht="25.35" hidden="false" customHeight="false" outlineLevel="0" collapsed="false">
      <c r="A5" s="31" t="s">
        <v>188</v>
      </c>
      <c r="B5" s="31" t="n">
        <v>1</v>
      </c>
      <c r="C5" s="31" t="n">
        <v>100</v>
      </c>
      <c r="D5" s="31" t="n">
        <v>100</v>
      </c>
      <c r="E5" s="31" t="n">
        <v>50</v>
      </c>
      <c r="F5" s="31" t="n">
        <v>9</v>
      </c>
      <c r="G5" s="32" t="n">
        <f aca="false">IF(COUNT(C5:F5)=4,F5/1000/(C5*D5*E5/1000000000),"")</f>
        <v>18</v>
      </c>
      <c r="H5" s="33" t="s">
        <v>189</v>
      </c>
    </row>
    <row r="6" customFormat="false" ht="15" hidden="false" customHeight="false" outlineLevel="0" collapsed="false">
      <c r="A6" s="34"/>
      <c r="B6" s="34"/>
      <c r="C6" s="34"/>
      <c r="D6" s="34"/>
      <c r="E6" s="34"/>
      <c r="F6" s="34"/>
      <c r="G6" s="35" t="str">
        <f aca="false">IF(COUNT(C6:F6)=4,F6/1000/(C6*D6*E6/1000000000),"")</f>
        <v/>
      </c>
      <c r="H6" s="3"/>
    </row>
    <row r="7" customFormat="false" ht="15" hidden="false" customHeight="false" outlineLevel="0" collapsed="false">
      <c r="A7" s="34"/>
      <c r="B7" s="34"/>
      <c r="C7" s="34"/>
      <c r="D7" s="34"/>
      <c r="E7" s="34"/>
      <c r="F7" s="34"/>
      <c r="G7" s="35" t="str">
        <f aca="false">IF(COUNT(C7:F7)=4,F7/1000/(C7*D7*E7/1000000000),"")</f>
        <v/>
      </c>
      <c r="H7" s="3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  <c r="G8" s="35" t="str">
        <f aca="false">IF(COUNT(C8:F8)=4,F8/1000/(C8*D8*E8/1000000000),"")</f>
        <v/>
      </c>
      <c r="H8" s="3"/>
    </row>
    <row r="9" customFormat="false" ht="15" hidden="false" customHeight="false" outlineLevel="0" collapsed="false">
      <c r="A9" s="34"/>
      <c r="B9" s="34"/>
      <c r="C9" s="34"/>
      <c r="D9" s="34"/>
      <c r="E9" s="34"/>
      <c r="F9" s="34"/>
      <c r="G9" s="35" t="str">
        <f aca="false">IF(COUNT(C9:F9)=4,F9/1000/(C9*D9*E9/1000000000),"")</f>
        <v/>
      </c>
      <c r="H9" s="3"/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  <c r="G10" s="35" t="str">
        <f aca="false">IF(COUNT(C10:F10)=4,F10/1000/(C10*D10*E10/1000000000),"")</f>
        <v/>
      </c>
      <c r="H10" s="3"/>
    </row>
    <row r="11" customFormat="false" ht="15" hidden="false" customHeight="false" outlineLevel="0" collapsed="false">
      <c r="A11" s="34"/>
      <c r="B11" s="34"/>
      <c r="C11" s="34"/>
      <c r="D11" s="34"/>
      <c r="E11" s="34"/>
      <c r="F11" s="34"/>
      <c r="G11" s="35" t="str">
        <f aca="false">IF(COUNT(C11:F11)=4,F11/1000/(C11*D11*E11/1000000000),"")</f>
        <v/>
      </c>
      <c r="H11" s="3"/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  <c r="G12" s="35" t="str">
        <f aca="false">IF(COUNT(C12:F12)=4,F12/1000/(C12*D12*E12/1000000000),"")</f>
        <v/>
      </c>
      <c r="H12" s="3"/>
    </row>
    <row r="13" customFormat="false" ht="15" hidden="false" customHeight="false" outlineLevel="0" collapsed="false">
      <c r="A13" s="34"/>
      <c r="B13" s="34"/>
      <c r="C13" s="34"/>
      <c r="D13" s="34"/>
      <c r="E13" s="34"/>
      <c r="F13" s="34"/>
      <c r="G13" s="35" t="str">
        <f aca="false">IF(COUNT(C13:F13)=4,F13/1000/(C13*D13*E13/1000000000),"")</f>
        <v/>
      </c>
      <c r="H13" s="3"/>
    </row>
    <row r="14" customFormat="false" ht="15" hidden="false" customHeight="false" outlineLevel="0" collapsed="false">
      <c r="A14" s="34"/>
      <c r="B14" s="34"/>
      <c r="C14" s="34"/>
      <c r="D14" s="34"/>
      <c r="E14" s="34"/>
      <c r="F14" s="34"/>
      <c r="G14" s="35" t="str">
        <f aca="false">IF(COUNT(C14:F14)=4,F14/1000/(C14*D14*E14/1000000000),"")</f>
        <v/>
      </c>
      <c r="H14" s="3"/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34"/>
      <c r="G15" s="35" t="str">
        <f aca="false">IF(COUNT(C15:F15)=4,F15/1000/(C15*D15*E15/1000000000),"")</f>
        <v/>
      </c>
      <c r="H15" s="3"/>
    </row>
    <row r="16" customFormat="false" ht="15" hidden="false" customHeight="false" outlineLevel="0" collapsed="false">
      <c r="A16" s="34"/>
      <c r="B16" s="34"/>
      <c r="C16" s="34"/>
      <c r="D16" s="34"/>
      <c r="E16" s="34"/>
      <c r="F16" s="34"/>
      <c r="G16" s="35" t="str">
        <f aca="false">IF(COUNT(C16:F16)=4,F16/1000/(C16*D16*E16/1000000000),"")</f>
        <v/>
      </c>
      <c r="H16" s="3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  <c r="G17" s="35" t="str">
        <f aca="false">IF(COUNT(C17:F17)=4,F17/1000/(C17*D17*E17/1000000000),"")</f>
        <v/>
      </c>
      <c r="H17" s="3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5" t="str">
        <f aca="false">IF(COUNT(C18:F18)=4,F18/1000/(C18*D18*E18/1000000000),"")</f>
        <v/>
      </c>
      <c r="H18" s="3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  <c r="G19" s="35" t="str">
        <f aca="false">IF(COUNT(C19:F19)=4,F19/1000/(C19*D19*E19/1000000000),"")</f>
        <v/>
      </c>
      <c r="H19" s="3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5" t="str">
        <f aca="false">IF(COUNT(C20:F20)=4,F20/1000/(C20*D20*E20/1000000000),"")</f>
        <v/>
      </c>
      <c r="H20" s="3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  <c r="G21" s="35" t="str">
        <f aca="false">IF(COUNT(C21:F21)=4,F21/1000/(C21*D21*E21/1000000000),"")</f>
        <v/>
      </c>
      <c r="H21" s="3"/>
    </row>
    <row r="22" customFormat="false" ht="15" hidden="false" customHeight="false" outlineLevel="0" collapsed="false">
      <c r="A22" s="34"/>
      <c r="B22" s="34"/>
      <c r="C22" s="34"/>
      <c r="D22" s="34"/>
      <c r="E22" s="34"/>
      <c r="F22" s="34"/>
      <c r="G22" s="35" t="str">
        <f aca="false">IF(COUNT(C22:F22)=4,F22/1000/(C22*D22*E22/1000000000),"")</f>
        <v/>
      </c>
      <c r="H22" s="3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5" t="str">
        <f aca="false">IF(COUNT(C23:F23)=4,F23/1000/(C23*D23*E23/1000000000),"")</f>
        <v/>
      </c>
      <c r="H23" s="3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5" t="str">
        <f aca="false">IF(COUNT(C24:F24)=4,F24/1000/(C24*D24*E24/1000000000),"")</f>
        <v/>
      </c>
      <c r="H24" s="3"/>
    </row>
    <row r="25" customFormat="false" ht="15" hidden="false" customHeight="false" outlineLevel="0" collapsed="false">
      <c r="A25" s="34"/>
      <c r="B25" s="34"/>
      <c r="C25" s="34"/>
      <c r="D25" s="34"/>
      <c r="E25" s="34"/>
      <c r="F25" s="34"/>
      <c r="G25" s="35" t="str">
        <f aca="false">IF(COUNT(C25:F25)=4,F25/1000/(C25*D25*E25/1000000000),"")</f>
        <v/>
      </c>
      <c r="H25" s="3"/>
    </row>
    <row r="26" customFormat="false" ht="15" hidden="false" customHeight="false" outlineLevel="0" collapsed="false">
      <c r="A26" s="34"/>
      <c r="B26" s="34"/>
      <c r="C26" s="34"/>
      <c r="D26" s="34"/>
      <c r="E26" s="34"/>
      <c r="F26" s="34"/>
      <c r="G26" s="35" t="str">
        <f aca="false">IF(COUNT(C26:F26)=4,F26/1000/(C26*D26*E26/1000000000),"")</f>
        <v/>
      </c>
      <c r="H26" s="3"/>
    </row>
    <row r="27" customFormat="false" ht="15" hidden="false" customHeight="false" outlineLevel="0" collapsed="false">
      <c r="A27" s="34"/>
      <c r="B27" s="34"/>
      <c r="C27" s="34"/>
      <c r="D27" s="34"/>
      <c r="E27" s="34"/>
      <c r="F27" s="34"/>
      <c r="G27" s="35" t="str">
        <f aca="false">IF(COUNT(C27:F27)=4,F27/1000/(C27*D27*E27/1000000000),"")</f>
        <v/>
      </c>
      <c r="H27" s="3"/>
    </row>
    <row r="28" customFormat="false" ht="15" hidden="false" customHeight="false" outlineLevel="0" collapsed="false">
      <c r="A28" s="34"/>
      <c r="B28" s="34"/>
      <c r="C28" s="34"/>
      <c r="D28" s="34"/>
      <c r="E28" s="34"/>
      <c r="F28" s="34"/>
      <c r="G28" s="35" t="str">
        <f aca="false">IF(COUNT(C28:F28)=4,F28/1000/(C28*D28*E28/1000000000),"")</f>
        <v/>
      </c>
      <c r="H28" s="3"/>
    </row>
    <row r="29" customFormat="false" ht="15" hidden="false" customHeight="false" outlineLevel="0" collapsed="false">
      <c r="A29" s="34"/>
      <c r="B29" s="34"/>
      <c r="C29" s="34"/>
      <c r="D29" s="34"/>
      <c r="E29" s="34"/>
      <c r="F29" s="34"/>
      <c r="G29" s="35" t="str">
        <f aca="false">IF(COUNT(C29:F29)=4,F29/1000/(C29*D29*E29/1000000000),"")</f>
        <v/>
      </c>
      <c r="H29" s="3"/>
    </row>
    <row r="30" customFormat="false" ht="15" hidden="false" customHeight="false" outlineLevel="0" collapsed="false">
      <c r="A30" s="34"/>
      <c r="B30" s="34"/>
      <c r="C30" s="34"/>
      <c r="D30" s="34"/>
      <c r="E30" s="34"/>
      <c r="F30" s="34"/>
      <c r="G30" s="35" t="str">
        <f aca="false">IF(COUNT(C30:F30)=4,F30/1000/(C30*D30*E30/1000000000),"")</f>
        <v/>
      </c>
      <c r="H30" s="3"/>
    </row>
    <row r="31" customFormat="false" ht="15" hidden="false" customHeight="false" outlineLevel="0" collapsed="false">
      <c r="A31" s="34"/>
      <c r="B31" s="34"/>
      <c r="C31" s="34"/>
      <c r="D31" s="34"/>
      <c r="E31" s="34"/>
      <c r="F31" s="34"/>
      <c r="G31" s="35" t="str">
        <f aca="false">IF(COUNT(C31:F31)=4,F31/1000/(C31*D31*E31/1000000000),"")</f>
        <v/>
      </c>
      <c r="H31" s="3"/>
    </row>
    <row r="32" customFormat="false" ht="15" hidden="false" customHeight="false" outlineLevel="0" collapsed="false">
      <c r="A32" s="34"/>
      <c r="B32" s="34"/>
      <c r="C32" s="34"/>
      <c r="D32" s="34"/>
      <c r="E32" s="34"/>
      <c r="F32" s="34"/>
      <c r="G32" s="35" t="str">
        <f aca="false">IF(COUNT(C32:F32)=4,F32/1000/(C32*D32*E32/1000000000),"")</f>
        <v/>
      </c>
      <c r="H32" s="3"/>
    </row>
    <row r="33" customFormat="false" ht="15" hidden="false" customHeight="false" outlineLevel="0" collapsed="false">
      <c r="A33" s="34"/>
      <c r="B33" s="34"/>
      <c r="C33" s="34"/>
      <c r="D33" s="34"/>
      <c r="E33" s="34"/>
      <c r="F33" s="34"/>
      <c r="G33" s="35" t="str">
        <f aca="false">IF(COUNT(C33:F33)=4,F33/1000/(C33*D33*E33/1000000000),"")</f>
        <v/>
      </c>
      <c r="H33" s="3"/>
    </row>
    <row r="34" customFormat="false" ht="15" hidden="false" customHeight="false" outlineLevel="0" collapsed="false">
      <c r="A34" s="34"/>
      <c r="B34" s="34"/>
      <c r="C34" s="34"/>
      <c r="D34" s="34"/>
      <c r="E34" s="34"/>
      <c r="F34" s="34"/>
      <c r="G34" s="35" t="str">
        <f aca="false">IF(COUNT(C34:F34)=4,F34/1000/(C34*D34*E34/1000000000),"")</f>
        <v/>
      </c>
      <c r="H34" s="3"/>
    </row>
    <row r="35" customFormat="false" ht="15" hidden="false" customHeight="false" outlineLevel="0" collapsed="false">
      <c r="A35" s="34"/>
      <c r="B35" s="34"/>
      <c r="C35" s="34"/>
      <c r="D35" s="34"/>
      <c r="E35" s="34"/>
      <c r="F35" s="34"/>
      <c r="G35" s="35" t="str">
        <f aca="false">IF(COUNT(C35:F35)=4,F35/1000/(C35*D35*E35/1000000000),"")</f>
        <v/>
      </c>
      <c r="H35" s="3"/>
    </row>
    <row r="36" customFormat="false" ht="15" hidden="false" customHeight="false" outlineLevel="0" collapsed="false">
      <c r="A36" s="34"/>
      <c r="B36" s="34"/>
      <c r="C36" s="34"/>
      <c r="D36" s="34"/>
      <c r="E36" s="34"/>
      <c r="F36" s="34"/>
      <c r="G36" s="35" t="str">
        <f aca="false">IF(COUNT(C36:F36)=4,F36/1000/(C36*D36*E36/1000000000),"")</f>
        <v/>
      </c>
      <c r="H36" s="3"/>
    </row>
    <row r="37" customFormat="false" ht="15" hidden="false" customHeight="false" outlineLevel="0" collapsed="false">
      <c r="A37" s="34"/>
      <c r="B37" s="34"/>
      <c r="C37" s="34"/>
      <c r="D37" s="34"/>
      <c r="E37" s="34"/>
      <c r="F37" s="34"/>
      <c r="G37" s="35" t="str">
        <f aca="false">IF(COUNT(C37:F37)=4,F37/1000/(C37*D37*E37/1000000000),"")</f>
        <v/>
      </c>
      <c r="H37" s="3"/>
    </row>
    <row r="38" customFormat="false" ht="15" hidden="false" customHeight="false" outlineLevel="0" collapsed="false">
      <c r="A38" s="34"/>
      <c r="B38" s="34"/>
      <c r="C38" s="34"/>
      <c r="D38" s="34"/>
      <c r="E38" s="34"/>
      <c r="F38" s="34"/>
      <c r="G38" s="35" t="str">
        <f aca="false">IF(COUNT(C38:F38)=4,F38/1000/(C38*D38*E38/1000000000),"")</f>
        <v/>
      </c>
      <c r="H38" s="3"/>
    </row>
    <row r="39" customFormat="false" ht="15" hidden="false" customHeight="false" outlineLevel="0" collapsed="false">
      <c r="A39" s="34"/>
      <c r="B39" s="34"/>
      <c r="C39" s="34"/>
      <c r="D39" s="34"/>
      <c r="E39" s="34"/>
      <c r="F39" s="34"/>
      <c r="G39" s="35" t="str">
        <f aca="false">IF(COUNT(C39:F39)=4,F39/1000/(C39*D39*E39/1000000000),"")</f>
        <v/>
      </c>
      <c r="H39" s="3"/>
    </row>
    <row r="40" customFormat="false" ht="15" hidden="false" customHeight="false" outlineLevel="0" collapsed="false">
      <c r="A40" s="34"/>
      <c r="B40" s="34"/>
      <c r="C40" s="34"/>
      <c r="D40" s="34"/>
      <c r="E40" s="34"/>
      <c r="F40" s="34"/>
      <c r="G40" s="35" t="str">
        <f aca="false">IF(COUNT(C40:F40)=4,F40/1000/(C40*D40*E40/1000000000),"")</f>
        <v/>
      </c>
      <c r="H40" s="3"/>
    </row>
    <row r="41" customFormat="false" ht="15" hidden="false" customHeight="false" outlineLevel="0" collapsed="false">
      <c r="A41" s="34"/>
      <c r="B41" s="34"/>
      <c r="C41" s="34"/>
      <c r="D41" s="34"/>
      <c r="E41" s="34"/>
      <c r="F41" s="34"/>
      <c r="G41" s="35" t="str">
        <f aca="false">IF(COUNT(C41:F41)=4,F41/1000/(C41*D41*E41/1000000000),"")</f>
        <v/>
      </c>
      <c r="H41" s="3"/>
    </row>
    <row r="42" customFormat="false" ht="15" hidden="false" customHeight="false" outlineLevel="0" collapsed="false">
      <c r="A42" s="34"/>
      <c r="B42" s="34"/>
      <c r="C42" s="34"/>
      <c r="D42" s="34"/>
      <c r="E42" s="34"/>
      <c r="F42" s="34"/>
      <c r="G42" s="35" t="str">
        <f aca="false">IF(COUNT(C42:F42)=4,F42/1000/(C42*D42*E42/1000000000),"")</f>
        <v/>
      </c>
      <c r="H42" s="3"/>
    </row>
    <row r="43" customFormat="false" ht="15" hidden="false" customHeight="false" outlineLevel="0" collapsed="false">
      <c r="A43" s="34"/>
      <c r="B43" s="34"/>
      <c r="C43" s="34"/>
      <c r="D43" s="34"/>
      <c r="E43" s="34"/>
      <c r="F43" s="34"/>
      <c r="G43" s="35" t="str">
        <f aca="false">IF(COUNT(C43:F43)=4,F43/1000/(C43*D43*E43/1000000000),"")</f>
        <v/>
      </c>
      <c r="H43" s="3"/>
    </row>
    <row r="44" customFormat="false" ht="15" hidden="false" customHeight="false" outlineLevel="0" collapsed="false">
      <c r="A44" s="34"/>
      <c r="B44" s="34"/>
      <c r="C44" s="34"/>
      <c r="D44" s="34"/>
      <c r="E44" s="34"/>
      <c r="F44" s="34"/>
      <c r="G44" s="35" t="str">
        <f aca="false">IF(COUNT(C44:F44)=4,F44/1000/(C44*D44*E44/1000000000),"")</f>
        <v/>
      </c>
      <c r="H44" s="3"/>
    </row>
    <row r="45" customFormat="false" ht="15" hidden="false" customHeight="false" outlineLevel="0" collapsed="false">
      <c r="A45" s="34"/>
      <c r="B45" s="34"/>
      <c r="C45" s="34"/>
      <c r="D45" s="34"/>
      <c r="E45" s="34"/>
      <c r="F45" s="34"/>
      <c r="G45" s="35" t="str">
        <f aca="false">IF(COUNT(C45:F45)=4,F45/1000/(C45*D45*E45/1000000000),"")</f>
        <v/>
      </c>
      <c r="H45" s="3"/>
    </row>
    <row r="46" customFormat="false" ht="15" hidden="false" customHeight="false" outlineLevel="0" collapsed="false">
      <c r="A46" s="34"/>
      <c r="B46" s="34"/>
      <c r="C46" s="34"/>
      <c r="D46" s="34"/>
      <c r="E46" s="34"/>
      <c r="F46" s="34"/>
      <c r="G46" s="35" t="str">
        <f aca="false">IF(COUNT(C46:F46)=4,F46/1000/(C46*D46*E46/1000000000),"")</f>
        <v/>
      </c>
      <c r="H46" s="3"/>
    </row>
    <row r="47" customFormat="false" ht="15" hidden="false" customHeight="false" outlineLevel="0" collapsed="false">
      <c r="A47" s="34"/>
      <c r="B47" s="34"/>
      <c r="C47" s="34"/>
      <c r="D47" s="34"/>
      <c r="E47" s="34"/>
      <c r="F47" s="34"/>
      <c r="G47" s="35" t="str">
        <f aca="false">IF(COUNT(C47:F47)=4,F47/1000/(C47*D47*E47/1000000000),"")</f>
        <v/>
      </c>
      <c r="H47" s="3"/>
    </row>
    <row r="48" customFormat="false" ht="15" hidden="false" customHeight="false" outlineLevel="0" collapsed="false">
      <c r="A48" s="34"/>
      <c r="B48" s="34"/>
      <c r="C48" s="34"/>
      <c r="D48" s="34"/>
      <c r="E48" s="34"/>
      <c r="F48" s="34"/>
      <c r="G48" s="35" t="str">
        <f aca="false">IF(COUNT(C48:F48)=4,F48/1000/(C48*D48*E48/1000000000),"")</f>
        <v/>
      </c>
      <c r="H48" s="3"/>
    </row>
    <row r="49" customFormat="false" ht="15" hidden="false" customHeight="false" outlineLevel="0" collapsed="false">
      <c r="A49" s="34"/>
      <c r="B49" s="34"/>
      <c r="C49" s="34"/>
      <c r="D49" s="34"/>
      <c r="E49" s="34"/>
      <c r="F49" s="34"/>
      <c r="G49" s="35" t="str">
        <f aca="false">IF(COUNT(C49:F49)=4,F49/1000/(C49*D49*E49/1000000000),"")</f>
        <v/>
      </c>
      <c r="H49" s="3"/>
    </row>
    <row r="50" customFormat="false" ht="15" hidden="false" customHeight="false" outlineLevel="0" collapsed="false">
      <c r="A50" s="34"/>
      <c r="B50" s="34"/>
      <c r="C50" s="34"/>
      <c r="D50" s="34"/>
      <c r="E50" s="34"/>
      <c r="F50" s="34"/>
      <c r="G50" s="35" t="str">
        <f aca="false">IF(COUNT(C50:F50)=4,F50/1000/(C50*D50*E50/1000000000),"")</f>
        <v/>
      </c>
      <c r="H50" s="3"/>
    </row>
    <row r="51" customFormat="false" ht="15" hidden="false" customHeight="false" outlineLevel="0" collapsed="false">
      <c r="A51" s="34"/>
      <c r="B51" s="34"/>
      <c r="C51" s="34"/>
      <c r="D51" s="34"/>
      <c r="E51" s="34"/>
      <c r="F51" s="34"/>
      <c r="G51" s="35" t="str">
        <f aca="false">IF(COUNT(C51:F51)=4,F51/1000/(C51*D51*E51/1000000000),"")</f>
        <v/>
      </c>
      <c r="H51" s="3"/>
    </row>
    <row r="52" customFormat="false" ht="15" hidden="false" customHeight="false" outlineLevel="0" collapsed="false">
      <c r="A52" s="34"/>
      <c r="B52" s="34"/>
      <c r="C52" s="34"/>
      <c r="D52" s="34"/>
      <c r="E52" s="34"/>
      <c r="F52" s="34"/>
      <c r="G52" s="35" t="str">
        <f aca="false">IF(COUNT(C52:F52)=4,F52/1000/(C52*D52*E52/1000000000),"")</f>
        <v/>
      </c>
      <c r="H52" s="3"/>
    </row>
    <row r="53" customFormat="false" ht="15" hidden="false" customHeight="false" outlineLevel="0" collapsed="false">
      <c r="A53" s="34"/>
      <c r="B53" s="34"/>
      <c r="C53" s="34"/>
      <c r="D53" s="34"/>
      <c r="E53" s="34"/>
      <c r="F53" s="34"/>
      <c r="G53" s="35" t="str">
        <f aca="false">IF(COUNT(C53:F53)=4,F53/1000/(C53*D53*E53/1000000000),"")</f>
        <v/>
      </c>
      <c r="H53" s="3"/>
    </row>
    <row r="54" customFormat="false" ht="15" hidden="false" customHeight="false" outlineLevel="0" collapsed="false">
      <c r="A54" s="34"/>
      <c r="B54" s="34"/>
      <c r="C54" s="34"/>
      <c r="D54" s="34"/>
      <c r="E54" s="34"/>
      <c r="F54" s="34"/>
      <c r="G54" s="35" t="str">
        <f aca="false">IF(COUNT(C54:F54)=4,F54/1000/(C54*D54*E54/1000000000),"")</f>
        <v/>
      </c>
      <c r="H54" s="3"/>
    </row>
    <row r="55" customFormat="false" ht="15" hidden="false" customHeight="false" outlineLevel="0" collapsed="false">
      <c r="A55" s="34"/>
      <c r="B55" s="34"/>
      <c r="C55" s="34"/>
      <c r="D55" s="34"/>
      <c r="E55" s="34"/>
      <c r="F55" s="34"/>
      <c r="G55" s="35" t="str">
        <f aca="false">IF(COUNT(C55:F55)=4,F55/1000/(C55*D55*E55/1000000000),"")</f>
        <v/>
      </c>
      <c r="H55" s="3"/>
    </row>
    <row r="56" customFormat="false" ht="15" hidden="false" customHeight="false" outlineLevel="0" collapsed="false">
      <c r="A56" s="34"/>
      <c r="B56" s="34"/>
      <c r="C56" s="34"/>
      <c r="D56" s="34"/>
      <c r="E56" s="34"/>
      <c r="F56" s="34"/>
      <c r="G56" s="35" t="str">
        <f aca="false">IF(COUNT(C56:F56)=4,F56/1000/(C56*D56*E56/1000000000),"")</f>
        <v/>
      </c>
      <c r="H56" s="3"/>
    </row>
    <row r="57" customFormat="false" ht="15" hidden="false" customHeight="false" outlineLevel="0" collapsed="false">
      <c r="A57" s="34"/>
      <c r="B57" s="34"/>
      <c r="C57" s="34"/>
      <c r="D57" s="34"/>
      <c r="E57" s="34"/>
      <c r="F57" s="34"/>
      <c r="G57" s="35" t="str">
        <f aca="false">IF(COUNT(C57:F57)=4,F57/1000/(C57*D57*E57/1000000000),"")</f>
        <v/>
      </c>
      <c r="H57" s="3"/>
    </row>
    <row r="58" customFormat="false" ht="15" hidden="false" customHeight="false" outlineLevel="0" collapsed="false">
      <c r="A58" s="34"/>
      <c r="B58" s="34"/>
      <c r="C58" s="34"/>
      <c r="D58" s="34"/>
      <c r="E58" s="34"/>
      <c r="F58" s="34"/>
      <c r="G58" s="35" t="str">
        <f aca="false">IF(COUNT(C58:F58)=4,F58/1000/(C58*D58*E58/1000000000),"")</f>
        <v/>
      </c>
      <c r="H58" s="3"/>
    </row>
    <row r="59" customFormat="false" ht="15" hidden="false" customHeight="false" outlineLevel="0" collapsed="false">
      <c r="A59" s="34"/>
      <c r="B59" s="34"/>
      <c r="C59" s="34"/>
      <c r="D59" s="34"/>
      <c r="E59" s="34"/>
      <c r="F59" s="34"/>
      <c r="G59" s="35" t="str">
        <f aca="false">IF(COUNT(C59:F59)=4,F59/1000/(C59*D59*E59/1000000000),"")</f>
        <v/>
      </c>
      <c r="H59" s="3"/>
    </row>
    <row r="60" customFormat="false" ht="15" hidden="false" customHeight="false" outlineLevel="0" collapsed="false">
      <c r="A60" s="34"/>
      <c r="B60" s="34"/>
      <c r="C60" s="34"/>
      <c r="D60" s="34"/>
      <c r="E60" s="34"/>
      <c r="F60" s="34"/>
      <c r="G60" s="35" t="str">
        <f aca="false">IF(COUNT(C60:F60)=4,F60/1000/(C60*D60*E60/1000000000),"")</f>
        <v/>
      </c>
      <c r="H60" s="3"/>
    </row>
    <row r="61" customFormat="false" ht="15" hidden="false" customHeight="false" outlineLevel="0" collapsed="false">
      <c r="A61" s="34"/>
      <c r="B61" s="34"/>
      <c r="C61" s="34"/>
      <c r="D61" s="34"/>
      <c r="E61" s="34"/>
      <c r="F61" s="34"/>
      <c r="G61" s="35" t="str">
        <f aca="false">IF(COUNT(C61:F61)=4,F61/1000/(C61*D61*E61/1000000000),"")</f>
        <v/>
      </c>
      <c r="H61" s="3"/>
    </row>
    <row r="62" customFormat="false" ht="15" hidden="false" customHeight="false" outlineLevel="0" collapsed="false">
      <c r="A62" s="34"/>
      <c r="B62" s="34"/>
      <c r="C62" s="34"/>
      <c r="D62" s="34"/>
      <c r="E62" s="34"/>
      <c r="F62" s="34"/>
      <c r="G62" s="35" t="str">
        <f aca="false">IF(COUNT(C62:F62)=4,F62/1000/(C62*D62*E62/1000000000),"")</f>
        <v/>
      </c>
      <c r="H62" s="3"/>
    </row>
    <row r="63" customFormat="false" ht="15" hidden="false" customHeight="false" outlineLevel="0" collapsed="false">
      <c r="A63" s="34"/>
      <c r="B63" s="34"/>
      <c r="C63" s="34"/>
      <c r="D63" s="34"/>
      <c r="E63" s="34"/>
      <c r="F63" s="34"/>
      <c r="G63" s="35" t="str">
        <f aca="false">IF(COUNT(C63:F63)=4,F63/1000/(C63*D63*E63/1000000000),"")</f>
        <v/>
      </c>
      <c r="H63" s="3"/>
    </row>
    <row r="64" customFormat="false" ht="15" hidden="false" customHeight="false" outlineLevel="0" collapsed="false">
      <c r="A64" s="34"/>
      <c r="B64" s="34"/>
      <c r="C64" s="34"/>
      <c r="D64" s="34"/>
      <c r="E64" s="34"/>
      <c r="F64" s="34"/>
      <c r="G64" s="35" t="str">
        <f aca="false">IF(COUNT(C64:F64)=4,F64/1000/(C64*D64*E64/1000000000),"")</f>
        <v/>
      </c>
      <c r="H64" s="3"/>
    </row>
    <row r="65" customFormat="false" ht="15" hidden="false" customHeight="false" outlineLevel="0" collapsed="false">
      <c r="A65" s="34"/>
      <c r="B65" s="34"/>
      <c r="C65" s="34"/>
      <c r="D65" s="34"/>
      <c r="E65" s="34"/>
      <c r="F65" s="34"/>
      <c r="G65" s="35" t="str">
        <f aca="false">IF(COUNT(C65:F65)=4,F65/1000/(C65*D65*E65/1000000000),"")</f>
        <v/>
      </c>
      <c r="H65" s="3"/>
    </row>
    <row r="66" customFormat="false" ht="15" hidden="false" customHeight="false" outlineLevel="0" collapsed="false">
      <c r="A66" s="34"/>
      <c r="B66" s="34"/>
      <c r="C66" s="34"/>
      <c r="D66" s="34"/>
      <c r="E66" s="34"/>
      <c r="F66" s="34"/>
      <c r="G66" s="35" t="str">
        <f aca="false">IF(COUNT(C66:F66)=4,F66/1000/(C66*D66*E66/1000000000),"")</f>
        <v/>
      </c>
      <c r="H66" s="3"/>
    </row>
    <row r="67" customFormat="false" ht="15" hidden="false" customHeight="false" outlineLevel="0" collapsed="false">
      <c r="A67" s="34"/>
      <c r="B67" s="34"/>
      <c r="C67" s="34"/>
      <c r="D67" s="34"/>
      <c r="E67" s="34"/>
      <c r="F67" s="34"/>
      <c r="G67" s="35" t="str">
        <f aca="false">IF(COUNT(C67:F67)=4,F67/1000/(C67*D67*E67/1000000000),"")</f>
        <v/>
      </c>
      <c r="H67" s="3"/>
    </row>
    <row r="68" customFormat="false" ht="15" hidden="false" customHeight="false" outlineLevel="0" collapsed="false">
      <c r="A68" s="34"/>
      <c r="B68" s="34"/>
      <c r="C68" s="34"/>
      <c r="D68" s="34"/>
      <c r="E68" s="34"/>
      <c r="F68" s="34"/>
      <c r="G68" s="35" t="str">
        <f aca="false">IF(COUNT(C68:F68)=4,F68/1000/(C68*D68*E68/1000000000),"")</f>
        <v/>
      </c>
      <c r="H68" s="3"/>
    </row>
    <row r="69" customFormat="false" ht="15" hidden="false" customHeight="false" outlineLevel="0" collapsed="false">
      <c r="A69" s="34"/>
      <c r="B69" s="34"/>
      <c r="C69" s="34"/>
      <c r="D69" s="34"/>
      <c r="E69" s="34"/>
      <c r="F69" s="34"/>
      <c r="G69" s="35" t="str">
        <f aca="false">IF(COUNT(C69:F69)=4,F69/1000/(C69*D69*E69/1000000000),"")</f>
        <v/>
      </c>
      <c r="H69" s="3"/>
    </row>
    <row r="70" customFormat="false" ht="15" hidden="false" customHeight="false" outlineLevel="0" collapsed="false">
      <c r="A70" s="34"/>
      <c r="B70" s="34"/>
      <c r="C70" s="34"/>
      <c r="D70" s="34"/>
      <c r="E70" s="34"/>
      <c r="F70" s="34"/>
      <c r="G70" s="35" t="str">
        <f aca="false">IF(COUNT(C70:F70)=4,F70/1000/(C70*D70*E70/1000000000),"")</f>
        <v/>
      </c>
      <c r="H70" s="3"/>
    </row>
    <row r="71" customFormat="false" ht="15" hidden="false" customHeight="false" outlineLevel="0" collapsed="false">
      <c r="A71" s="34"/>
      <c r="B71" s="34"/>
      <c r="C71" s="34"/>
      <c r="D71" s="34"/>
      <c r="E71" s="34"/>
      <c r="F71" s="34"/>
      <c r="G71" s="35" t="str">
        <f aca="false">IF(COUNT(C71:F71)=4,F71/1000/(C71*D71*E71/1000000000),"")</f>
        <v/>
      </c>
      <c r="H71" s="3"/>
    </row>
    <row r="72" customFormat="false" ht="15" hidden="false" customHeight="false" outlineLevel="0" collapsed="false">
      <c r="A72" s="34"/>
      <c r="B72" s="34"/>
      <c r="C72" s="34"/>
      <c r="D72" s="34"/>
      <c r="E72" s="34"/>
      <c r="F72" s="34"/>
      <c r="G72" s="35" t="str">
        <f aca="false">IF(COUNT(C72:F72)=4,F72/1000/(C72*D72*E72/1000000000),"")</f>
        <v/>
      </c>
      <c r="H72" s="3"/>
    </row>
    <row r="73" customFormat="false" ht="15" hidden="false" customHeight="false" outlineLevel="0" collapsed="false">
      <c r="A73" s="34"/>
      <c r="B73" s="34"/>
      <c r="C73" s="34"/>
      <c r="D73" s="34"/>
      <c r="E73" s="34"/>
      <c r="F73" s="34"/>
      <c r="G73" s="35" t="str">
        <f aca="false">IF(COUNT(C73:F73)=4,F73/1000/(C73*D73*E73/1000000000),"")</f>
        <v/>
      </c>
      <c r="H73" s="3"/>
    </row>
    <row r="74" customFormat="false" ht="15" hidden="false" customHeight="false" outlineLevel="0" collapsed="false">
      <c r="A74" s="34"/>
      <c r="B74" s="34"/>
      <c r="C74" s="34"/>
      <c r="D74" s="34"/>
      <c r="E74" s="34"/>
      <c r="F74" s="34"/>
      <c r="G74" s="35" t="str">
        <f aca="false">IF(COUNT(C74:F74)=4,F74/1000/(C74*D74*E74/1000000000),"")</f>
        <v/>
      </c>
      <c r="H74" s="3"/>
    </row>
    <row r="75" customFormat="false" ht="15" hidden="false" customHeight="false" outlineLevel="0" collapsed="false">
      <c r="A75" s="34"/>
      <c r="B75" s="34"/>
      <c r="C75" s="34"/>
      <c r="D75" s="34"/>
      <c r="E75" s="34"/>
      <c r="F75" s="34"/>
      <c r="G75" s="35" t="str">
        <f aca="false">IF(COUNT(C75:F75)=4,F75/1000/(C75*D75*E75/1000000000),"")</f>
        <v/>
      </c>
      <c r="H75" s="3"/>
    </row>
    <row r="76" customFormat="false" ht="15" hidden="false" customHeight="false" outlineLevel="0" collapsed="false">
      <c r="A76" s="34"/>
      <c r="B76" s="34"/>
      <c r="C76" s="34"/>
      <c r="D76" s="34"/>
      <c r="E76" s="34"/>
      <c r="F76" s="34"/>
      <c r="G76" s="35" t="str">
        <f aca="false">IF(COUNT(C76:F76)=4,F76/1000/(C76*D76*E76/1000000000),"")</f>
        <v/>
      </c>
      <c r="H76" s="3"/>
    </row>
    <row r="77" customFormat="false" ht="15" hidden="false" customHeight="false" outlineLevel="0" collapsed="false">
      <c r="A77" s="34"/>
      <c r="B77" s="34"/>
      <c r="C77" s="34"/>
      <c r="D77" s="34"/>
      <c r="E77" s="34"/>
      <c r="F77" s="34"/>
      <c r="G77" s="35" t="str">
        <f aca="false">IF(COUNT(C77:F77)=4,F77/1000/(C77*D77*E77/1000000000),"")</f>
        <v/>
      </c>
      <c r="H77" s="3"/>
    </row>
    <row r="78" customFormat="false" ht="15" hidden="false" customHeight="false" outlineLevel="0" collapsed="false">
      <c r="A78" s="34"/>
      <c r="B78" s="34"/>
      <c r="C78" s="34"/>
      <c r="D78" s="34"/>
      <c r="E78" s="34"/>
      <c r="F78" s="34"/>
      <c r="G78" s="35" t="str">
        <f aca="false">IF(COUNT(C78:F78)=4,F78/1000/(C78*D78*E78/1000000000),"")</f>
        <v/>
      </c>
      <c r="H78" s="3"/>
    </row>
    <row r="79" customFormat="false" ht="15" hidden="false" customHeight="false" outlineLevel="0" collapsed="false">
      <c r="A79" s="34"/>
      <c r="B79" s="34"/>
      <c r="C79" s="34"/>
      <c r="D79" s="34"/>
      <c r="E79" s="34"/>
      <c r="F79" s="34"/>
      <c r="G79" s="35" t="str">
        <f aca="false">IF(COUNT(C79:F79)=4,F79/1000/(C79*D79*E79/1000000000),"")</f>
        <v/>
      </c>
      <c r="H79" s="3"/>
    </row>
    <row r="80" customFormat="false" ht="15" hidden="false" customHeight="false" outlineLevel="0" collapsed="false">
      <c r="A80" s="34"/>
      <c r="B80" s="34"/>
      <c r="C80" s="34"/>
      <c r="D80" s="34"/>
      <c r="E80" s="34"/>
      <c r="F80" s="34"/>
      <c r="G80" s="35" t="str">
        <f aca="false">IF(COUNT(C80:F80)=4,F80/1000/(C80*D80*E80/1000000000),"")</f>
        <v/>
      </c>
      <c r="H80" s="3"/>
    </row>
  </sheetData>
  <dataValidations count="1">
    <dataValidation allowBlank="true" errorStyle="stop" operator="between" showDropDown="false" showErrorMessage="false" showInputMessage="false" sqref="A6:A80" type="list">
      <formula1>"EPS 가연성,EPS 준불연,PIR(PUR) 가연성,PIR(PUR) 준불연,PF 준불연 외부용,PF 준불연 내부용,예시"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36"/>
  </cols>
  <sheetData>
    <row r="1" customFormat="false" ht="19.4" hidden="false" customHeight="false" outlineLevel="0" collapsed="false">
      <c r="A1" s="6" t="s">
        <v>190</v>
      </c>
    </row>
    <row r="2" customFormat="false" ht="15" hidden="false" customHeight="false" outlineLevel="0" collapsed="false">
      <c r="A2" s="30" t="s">
        <v>191</v>
      </c>
    </row>
    <row r="4" customFormat="false" ht="25.35" hidden="false" customHeight="false" outlineLevel="0" collapsed="false">
      <c r="A4" s="8" t="s">
        <v>113</v>
      </c>
      <c r="B4" s="8" t="s">
        <v>192</v>
      </c>
      <c r="C4" s="8" t="s">
        <v>193</v>
      </c>
      <c r="D4" s="8" t="s">
        <v>194</v>
      </c>
      <c r="E4" s="8" t="s">
        <v>195</v>
      </c>
      <c r="F4" s="8" t="s">
        <v>196</v>
      </c>
      <c r="G4" s="8" t="s">
        <v>197</v>
      </c>
      <c r="H4" s="8" t="s">
        <v>198</v>
      </c>
      <c r="I4" s="8" t="s">
        <v>199</v>
      </c>
      <c r="J4" s="8" t="s">
        <v>30</v>
      </c>
    </row>
    <row r="5" customFormat="false" ht="23.85" hidden="false" customHeight="false" outlineLevel="0" collapsed="false">
      <c r="A5" s="31" t="s">
        <v>188</v>
      </c>
      <c r="B5" s="31" t="n">
        <v>100</v>
      </c>
      <c r="C5" s="31" t="n">
        <v>1</v>
      </c>
      <c r="D5" s="31" t="n">
        <v>4.8</v>
      </c>
      <c r="E5" s="31" t="n">
        <v>2.7</v>
      </c>
      <c r="F5" s="31" t="n">
        <v>25</v>
      </c>
      <c r="G5" s="31" t="n">
        <v>6</v>
      </c>
      <c r="H5" s="31" t="n">
        <v>0.85</v>
      </c>
      <c r="I5" s="36" t="n">
        <f aca="false">IF(AND(COUNT(B5:H5)=7,D5&lt;&gt;C5,G5&lt;&gt;0),H5*(F5/G5)*(E5-C5)/(D5-C5),"")</f>
        <v>1.5844298245614</v>
      </c>
      <c r="J5" s="33" t="s">
        <v>200</v>
      </c>
    </row>
    <row r="6" customFormat="false" ht="15" hidden="false" customHeight="false" outlineLevel="0" collapsed="false">
      <c r="A6" s="34"/>
      <c r="B6" s="34"/>
      <c r="C6" s="34"/>
      <c r="D6" s="34"/>
      <c r="E6" s="34"/>
      <c r="F6" s="34"/>
      <c r="G6" s="34"/>
      <c r="H6" s="34"/>
      <c r="I6" s="37" t="str">
        <f aca="false">IF(AND(COUNT(B6:H6)=7,D6&lt;&gt;C6,G6&lt;&gt;0),H6*(F6/G6)*(E6-C6)/(D6-C6),"")</f>
        <v/>
      </c>
      <c r="J6" s="3"/>
    </row>
    <row r="7" customFormat="false" ht="15" hidden="false" customHeight="false" outlineLevel="0" collapsed="false">
      <c r="A7" s="34"/>
      <c r="B7" s="34"/>
      <c r="C7" s="34"/>
      <c r="D7" s="34"/>
      <c r="E7" s="34"/>
      <c r="F7" s="34"/>
      <c r="G7" s="34"/>
      <c r="H7" s="34"/>
      <c r="I7" s="37" t="str">
        <f aca="false">IF(AND(COUNT(B7:H7)=7,D7&lt;&gt;C7,G7&lt;&gt;0),H7*(F7/G7)*(E7-C7)/(D7-C7),"")</f>
        <v/>
      </c>
      <c r="J7" s="3"/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  <c r="G8" s="34"/>
      <c r="H8" s="34"/>
      <c r="I8" s="37" t="str">
        <f aca="false">IF(AND(COUNT(B8:H8)=7,D8&lt;&gt;C8,G8&lt;&gt;0),H8*(F8/G8)*(E8-C8)/(D8-C8),"")</f>
        <v/>
      </c>
      <c r="J8" s="3"/>
    </row>
    <row r="9" customFormat="false" ht="15" hidden="false" customHeight="false" outlineLevel="0" collapsed="false">
      <c r="A9" s="34"/>
      <c r="B9" s="34"/>
      <c r="C9" s="34"/>
      <c r="D9" s="34"/>
      <c r="E9" s="34"/>
      <c r="F9" s="34"/>
      <c r="G9" s="34"/>
      <c r="H9" s="34"/>
      <c r="I9" s="37" t="str">
        <f aca="false">IF(AND(COUNT(B9:H9)=7,D9&lt;&gt;C9,G9&lt;&gt;0),H9*(F9/G9)*(E9-C9)/(D9-C9),"")</f>
        <v/>
      </c>
      <c r="J9" s="3"/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  <c r="G10" s="34"/>
      <c r="H10" s="34"/>
      <c r="I10" s="37" t="str">
        <f aca="false">IF(AND(COUNT(B10:H10)=7,D10&lt;&gt;C10,G10&lt;&gt;0),H10*(F10/G10)*(E10-C10)/(D10-C10),"")</f>
        <v/>
      </c>
      <c r="J10" s="3"/>
    </row>
    <row r="11" customFormat="false" ht="15" hidden="false" customHeight="false" outlineLevel="0" collapsed="false">
      <c r="A11" s="34"/>
      <c r="B11" s="34"/>
      <c r="C11" s="34"/>
      <c r="D11" s="34"/>
      <c r="E11" s="34"/>
      <c r="F11" s="34"/>
      <c r="G11" s="34"/>
      <c r="H11" s="34"/>
      <c r="I11" s="37" t="str">
        <f aca="false">IF(AND(COUNT(B11:H11)=7,D11&lt;&gt;C11,G11&lt;&gt;0),H11*(F11/G11)*(E11-C11)/(D11-C11),"")</f>
        <v/>
      </c>
      <c r="J11" s="3"/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  <c r="G12" s="34"/>
      <c r="H12" s="34"/>
      <c r="I12" s="37" t="str">
        <f aca="false">IF(AND(COUNT(B12:H12)=7,D12&lt;&gt;C12,G12&lt;&gt;0),H12*(F12/G12)*(E12-C12)/(D12-C12),"")</f>
        <v/>
      </c>
      <c r="J12" s="3"/>
    </row>
    <row r="13" customFormat="false" ht="15" hidden="false" customHeight="false" outlineLevel="0" collapsed="false">
      <c r="A13" s="34"/>
      <c r="B13" s="34"/>
      <c r="C13" s="34"/>
      <c r="D13" s="34"/>
      <c r="E13" s="34"/>
      <c r="F13" s="34"/>
      <c r="G13" s="34"/>
      <c r="H13" s="34"/>
      <c r="I13" s="37" t="str">
        <f aca="false">IF(AND(COUNT(B13:H13)=7,D13&lt;&gt;C13,G13&lt;&gt;0),H13*(F13/G13)*(E13-C13)/(D13-C13),"")</f>
        <v/>
      </c>
      <c r="J13" s="3"/>
    </row>
    <row r="14" customFormat="false" ht="15" hidden="false" customHeight="false" outlineLevel="0" collapsed="false">
      <c r="A14" s="34"/>
      <c r="B14" s="34"/>
      <c r="C14" s="34"/>
      <c r="D14" s="34"/>
      <c r="E14" s="34"/>
      <c r="F14" s="34"/>
      <c r="G14" s="34"/>
      <c r="H14" s="34"/>
      <c r="I14" s="37" t="str">
        <f aca="false">IF(AND(COUNT(B14:H14)=7,D14&lt;&gt;C14,G14&lt;&gt;0),H14*(F14/G14)*(E14-C14)/(D14-C14),"")</f>
        <v/>
      </c>
      <c r="J14" s="3"/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34"/>
      <c r="G15" s="34"/>
      <c r="H15" s="34"/>
      <c r="I15" s="37" t="str">
        <f aca="false">IF(AND(COUNT(B15:H15)=7,D15&lt;&gt;C15,G15&lt;&gt;0),H15*(F15/G15)*(E15-C15)/(D15-C15),"")</f>
        <v/>
      </c>
      <c r="J15" s="3"/>
    </row>
    <row r="16" customFormat="false" ht="15" hidden="false" customHeight="false" outlineLevel="0" collapsed="false">
      <c r="A16" s="34"/>
      <c r="B16" s="34"/>
      <c r="C16" s="34"/>
      <c r="D16" s="34"/>
      <c r="E16" s="34"/>
      <c r="F16" s="34"/>
      <c r="G16" s="34"/>
      <c r="H16" s="34"/>
      <c r="I16" s="37" t="str">
        <f aca="false">IF(AND(COUNT(B16:H16)=7,D16&lt;&gt;C16,G16&lt;&gt;0),H16*(F16/G16)*(E16-C16)/(D16-C16),"")</f>
        <v/>
      </c>
      <c r="J16" s="3"/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  <c r="G17" s="34"/>
      <c r="H17" s="34"/>
      <c r="I17" s="37" t="str">
        <f aca="false">IF(AND(COUNT(B17:H17)=7,D17&lt;&gt;C17,G17&lt;&gt;0),H17*(F17/G17)*(E17-C17)/(D17-C17),"")</f>
        <v/>
      </c>
      <c r="J17" s="3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4"/>
      <c r="H18" s="34"/>
      <c r="I18" s="37" t="str">
        <f aca="false">IF(AND(COUNT(B18:H18)=7,D18&lt;&gt;C18,G18&lt;&gt;0),H18*(F18/G18)*(E18-C18)/(D18-C18),"")</f>
        <v/>
      </c>
      <c r="J18" s="3"/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  <c r="G19" s="34"/>
      <c r="H19" s="34"/>
      <c r="I19" s="37" t="str">
        <f aca="false">IF(AND(COUNT(B19:H19)=7,D19&lt;&gt;C19,G19&lt;&gt;0),H19*(F19/G19)*(E19-C19)/(D19-C19),"")</f>
        <v/>
      </c>
      <c r="J19" s="3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4"/>
      <c r="H20" s="34"/>
      <c r="I20" s="37" t="str">
        <f aca="false">IF(AND(COUNT(B20:H20)=7,D20&lt;&gt;C20,G20&lt;&gt;0),H20*(F20/G20)*(E20-C20)/(D20-C20),"")</f>
        <v/>
      </c>
      <c r="J20" s="3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  <c r="G21" s="34"/>
      <c r="H21" s="34"/>
      <c r="I21" s="37" t="str">
        <f aca="false">IF(AND(COUNT(B21:H21)=7,D21&lt;&gt;C21,G21&lt;&gt;0),H21*(F21/G21)*(E21-C21)/(D21-C21),"")</f>
        <v/>
      </c>
      <c r="J21" s="3"/>
    </row>
    <row r="22" customFormat="false" ht="15" hidden="false" customHeight="false" outlineLevel="0" collapsed="false">
      <c r="A22" s="34"/>
      <c r="B22" s="34"/>
      <c r="C22" s="34"/>
      <c r="D22" s="34"/>
      <c r="E22" s="34"/>
      <c r="F22" s="34"/>
      <c r="G22" s="34"/>
      <c r="H22" s="34"/>
      <c r="I22" s="37" t="str">
        <f aca="false">IF(AND(COUNT(B22:H22)=7,D22&lt;&gt;C22,G22&lt;&gt;0),H22*(F22/G22)*(E22-C22)/(D22-C22),"")</f>
        <v/>
      </c>
      <c r="J22" s="3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4"/>
      <c r="H23" s="34"/>
      <c r="I23" s="37" t="str">
        <f aca="false">IF(AND(COUNT(B23:H23)=7,D23&lt;&gt;C23,G23&lt;&gt;0),H23*(F23/G23)*(E23-C23)/(D23-C23),"")</f>
        <v/>
      </c>
      <c r="J23" s="3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  <c r="I24" s="37" t="str">
        <f aca="false">IF(AND(COUNT(B24:H24)=7,D24&lt;&gt;C24,G24&lt;&gt;0),H24*(F24/G24)*(E24-C24)/(D24-C24),"")</f>
        <v/>
      </c>
      <c r="J24" s="3"/>
    </row>
    <row r="25" customFormat="false" ht="15" hidden="false" customHeight="false" outlineLevel="0" collapsed="false">
      <c r="A25" s="34"/>
      <c r="B25" s="34"/>
      <c r="C25" s="34"/>
      <c r="D25" s="34"/>
      <c r="E25" s="34"/>
      <c r="F25" s="34"/>
      <c r="G25" s="34"/>
      <c r="H25" s="34"/>
      <c r="I25" s="37" t="str">
        <f aca="false">IF(AND(COUNT(B25:H25)=7,D25&lt;&gt;C25,G25&lt;&gt;0),H25*(F25/G25)*(E25-C25)/(D25-C25),"")</f>
        <v/>
      </c>
      <c r="J25" s="3"/>
    </row>
    <row r="26" customFormat="false" ht="15" hidden="false" customHeight="false" outlineLevel="0" collapsed="false">
      <c r="A26" s="34"/>
      <c r="B26" s="34"/>
      <c r="C26" s="34"/>
      <c r="D26" s="34"/>
      <c r="E26" s="34"/>
      <c r="F26" s="34"/>
      <c r="G26" s="34"/>
      <c r="H26" s="34"/>
      <c r="I26" s="37" t="str">
        <f aca="false">IF(AND(COUNT(B26:H26)=7,D26&lt;&gt;C26,G26&lt;&gt;0),H26*(F26/G26)*(E26-C26)/(D26-C26),"")</f>
        <v/>
      </c>
      <c r="J26" s="3"/>
    </row>
    <row r="27" customFormat="false" ht="15" hidden="false" customHeight="false" outlineLevel="0" collapsed="false">
      <c r="A27" s="34"/>
      <c r="B27" s="34"/>
      <c r="C27" s="34"/>
      <c r="D27" s="34"/>
      <c r="E27" s="34"/>
      <c r="F27" s="34"/>
      <c r="G27" s="34"/>
      <c r="H27" s="34"/>
      <c r="I27" s="37" t="str">
        <f aca="false">IF(AND(COUNT(B27:H27)=7,D27&lt;&gt;C27,G27&lt;&gt;0),H27*(F27/G27)*(E27-C27)/(D27-C27),"")</f>
        <v/>
      </c>
      <c r="J27" s="3"/>
    </row>
    <row r="28" customFormat="false" ht="15" hidden="false" customHeight="false" outlineLevel="0" collapsed="false">
      <c r="A28" s="34"/>
      <c r="B28" s="34"/>
      <c r="C28" s="34"/>
      <c r="D28" s="34"/>
      <c r="E28" s="34"/>
      <c r="F28" s="34"/>
      <c r="G28" s="34"/>
      <c r="H28" s="34"/>
      <c r="I28" s="37" t="str">
        <f aca="false">IF(AND(COUNT(B28:H28)=7,D28&lt;&gt;C28,G28&lt;&gt;0),H28*(F28/G28)*(E28-C28)/(D28-C28),"")</f>
        <v/>
      </c>
      <c r="J28" s="3"/>
    </row>
    <row r="29" customFormat="false" ht="15" hidden="false" customHeight="false" outlineLevel="0" collapsed="false">
      <c r="A29" s="34"/>
      <c r="B29" s="34"/>
      <c r="C29" s="34"/>
      <c r="D29" s="34"/>
      <c r="E29" s="34"/>
      <c r="F29" s="34"/>
      <c r="G29" s="34"/>
      <c r="H29" s="34"/>
      <c r="I29" s="37" t="str">
        <f aca="false">IF(AND(COUNT(B29:H29)=7,D29&lt;&gt;C29,G29&lt;&gt;0),H29*(F29/G29)*(E29-C29)/(D29-C29),"")</f>
        <v/>
      </c>
      <c r="J29" s="3"/>
    </row>
    <row r="30" customFormat="false" ht="15" hidden="false" customHeight="false" outlineLevel="0" collapsed="false">
      <c r="A30" s="34"/>
      <c r="B30" s="34"/>
      <c r="C30" s="34"/>
      <c r="D30" s="34"/>
      <c r="E30" s="34"/>
      <c r="F30" s="34"/>
      <c r="G30" s="34"/>
      <c r="H30" s="34"/>
      <c r="I30" s="37" t="str">
        <f aca="false">IF(AND(COUNT(B30:H30)=7,D30&lt;&gt;C30,G30&lt;&gt;0),H30*(F30/G30)*(E30-C30)/(D30-C30),"")</f>
        <v/>
      </c>
      <c r="J30" s="3"/>
    </row>
    <row r="31" customFormat="false" ht="15" hidden="false" customHeight="false" outlineLevel="0" collapsed="false">
      <c r="A31" s="34"/>
      <c r="B31" s="34"/>
      <c r="C31" s="34"/>
      <c r="D31" s="34"/>
      <c r="E31" s="34"/>
      <c r="F31" s="34"/>
      <c r="G31" s="34"/>
      <c r="H31" s="34"/>
      <c r="I31" s="37" t="str">
        <f aca="false">IF(AND(COUNT(B31:H31)=7,D31&lt;&gt;C31,G31&lt;&gt;0),H31*(F31/G31)*(E31-C31)/(D31-C31),"")</f>
        <v/>
      </c>
      <c r="J31" s="3"/>
    </row>
    <row r="32" customFormat="false" ht="15" hidden="false" customHeight="false" outlineLevel="0" collapsed="false">
      <c r="A32" s="34"/>
      <c r="B32" s="34"/>
      <c r="C32" s="34"/>
      <c r="D32" s="34"/>
      <c r="E32" s="34"/>
      <c r="F32" s="34"/>
      <c r="G32" s="34"/>
      <c r="H32" s="34"/>
      <c r="I32" s="37" t="str">
        <f aca="false">IF(AND(COUNT(B32:H32)=7,D32&lt;&gt;C32,G32&lt;&gt;0),H32*(F32/G32)*(E32-C32)/(D32-C32),"")</f>
        <v/>
      </c>
      <c r="J32" s="3"/>
    </row>
    <row r="33" customFormat="false" ht="15" hidden="false" customHeight="false" outlineLevel="0" collapsed="false">
      <c r="A33" s="34"/>
      <c r="B33" s="34"/>
      <c r="C33" s="34"/>
      <c r="D33" s="34"/>
      <c r="E33" s="34"/>
      <c r="F33" s="34"/>
      <c r="G33" s="34"/>
      <c r="H33" s="34"/>
      <c r="I33" s="37" t="str">
        <f aca="false">IF(AND(COUNT(B33:H33)=7,D33&lt;&gt;C33,G33&lt;&gt;0),H33*(F33/G33)*(E33-C33)/(D33-C33),"")</f>
        <v/>
      </c>
      <c r="J33" s="3"/>
    </row>
    <row r="34" customFormat="false" ht="15" hidden="false" customHeight="false" outlineLevel="0" collapsed="false">
      <c r="A34" s="34"/>
      <c r="B34" s="34"/>
      <c r="C34" s="34"/>
      <c r="D34" s="34"/>
      <c r="E34" s="34"/>
      <c r="F34" s="34"/>
      <c r="G34" s="34"/>
      <c r="H34" s="34"/>
      <c r="I34" s="37" t="str">
        <f aca="false">IF(AND(COUNT(B34:H34)=7,D34&lt;&gt;C34,G34&lt;&gt;0),H34*(F34/G34)*(E34-C34)/(D34-C34),"")</f>
        <v/>
      </c>
      <c r="J34" s="3"/>
    </row>
    <row r="35" customFormat="false" ht="15" hidden="false" customHeight="false" outlineLevel="0" collapsed="false">
      <c r="A35" s="34"/>
      <c r="B35" s="34"/>
      <c r="C35" s="34"/>
      <c r="D35" s="34"/>
      <c r="E35" s="34"/>
      <c r="F35" s="34"/>
      <c r="G35" s="34"/>
      <c r="H35" s="34"/>
      <c r="I35" s="37" t="str">
        <f aca="false">IF(AND(COUNT(B35:H35)=7,D35&lt;&gt;C35,G35&lt;&gt;0),H35*(F35/G35)*(E35-C35)/(D35-C35),"")</f>
        <v/>
      </c>
      <c r="J35" s="3"/>
    </row>
    <row r="36" customFormat="false" ht="15" hidden="false" customHeight="false" outlineLevel="0" collapsed="false">
      <c r="A36" s="34"/>
      <c r="B36" s="34"/>
      <c r="C36" s="34"/>
      <c r="D36" s="34"/>
      <c r="E36" s="34"/>
      <c r="F36" s="34"/>
      <c r="G36" s="34"/>
      <c r="H36" s="34"/>
      <c r="I36" s="37" t="str">
        <f aca="false">IF(AND(COUNT(B36:H36)=7,D36&lt;&gt;C36,G36&lt;&gt;0),H36*(F36/G36)*(E36-C36)/(D36-C36),"")</f>
        <v/>
      </c>
      <c r="J36" s="3"/>
    </row>
    <row r="37" customFormat="false" ht="15" hidden="false" customHeight="false" outlineLevel="0" collapsed="false">
      <c r="A37" s="34"/>
      <c r="B37" s="34"/>
      <c r="C37" s="34"/>
      <c r="D37" s="34"/>
      <c r="E37" s="34"/>
      <c r="F37" s="34"/>
      <c r="G37" s="34"/>
      <c r="H37" s="34"/>
      <c r="I37" s="37" t="str">
        <f aca="false">IF(AND(COUNT(B37:H37)=7,D37&lt;&gt;C37,G37&lt;&gt;0),H37*(F37/G37)*(E37-C37)/(D37-C37),"")</f>
        <v/>
      </c>
      <c r="J37" s="3"/>
    </row>
    <row r="38" customFormat="false" ht="15" hidden="false" customHeight="false" outlineLevel="0" collapsed="false">
      <c r="A38" s="34"/>
      <c r="B38" s="34"/>
      <c r="C38" s="34"/>
      <c r="D38" s="34"/>
      <c r="E38" s="34"/>
      <c r="F38" s="34"/>
      <c r="G38" s="34"/>
      <c r="H38" s="34"/>
      <c r="I38" s="37" t="str">
        <f aca="false">IF(AND(COUNT(B38:H38)=7,D38&lt;&gt;C38,G38&lt;&gt;0),H38*(F38/G38)*(E38-C38)/(D38-C38),"")</f>
        <v/>
      </c>
      <c r="J38" s="3"/>
    </row>
    <row r="39" customFormat="false" ht="15" hidden="false" customHeight="false" outlineLevel="0" collapsed="false">
      <c r="A39" s="34"/>
      <c r="B39" s="34"/>
      <c r="C39" s="34"/>
      <c r="D39" s="34"/>
      <c r="E39" s="34"/>
      <c r="F39" s="34"/>
      <c r="G39" s="34"/>
      <c r="H39" s="34"/>
      <c r="I39" s="37" t="str">
        <f aca="false">IF(AND(COUNT(B39:H39)=7,D39&lt;&gt;C39,G39&lt;&gt;0),H39*(F39/G39)*(E39-C39)/(D39-C39),"")</f>
        <v/>
      </c>
      <c r="J39" s="3"/>
    </row>
    <row r="40" customFormat="false" ht="15" hidden="false" customHeight="false" outlineLevel="0" collapsed="false">
      <c r="A40" s="34"/>
      <c r="B40" s="34"/>
      <c r="C40" s="34"/>
      <c r="D40" s="34"/>
      <c r="E40" s="34"/>
      <c r="F40" s="34"/>
      <c r="G40" s="34"/>
      <c r="H40" s="34"/>
      <c r="I40" s="37" t="str">
        <f aca="false">IF(AND(COUNT(B40:H40)=7,D40&lt;&gt;C40,G40&lt;&gt;0),H40*(F40/G40)*(E40-C40)/(D40-C40),"")</f>
        <v/>
      </c>
      <c r="J40" s="3"/>
    </row>
    <row r="41" customFormat="false" ht="15" hidden="false" customHeight="false" outlineLevel="0" collapsed="false">
      <c r="A41" s="34"/>
      <c r="B41" s="34"/>
      <c r="C41" s="34"/>
      <c r="D41" s="34"/>
      <c r="E41" s="34"/>
      <c r="F41" s="34"/>
      <c r="G41" s="34"/>
      <c r="H41" s="34"/>
      <c r="I41" s="37" t="str">
        <f aca="false">IF(AND(COUNT(B41:H41)=7,D41&lt;&gt;C41,G41&lt;&gt;0),H41*(F41/G41)*(E41-C41)/(D41-C41),"")</f>
        <v/>
      </c>
      <c r="J41" s="3"/>
    </row>
    <row r="42" customFormat="false" ht="15" hidden="false" customHeight="false" outlineLevel="0" collapsed="false">
      <c r="A42" s="34"/>
      <c r="B42" s="34"/>
      <c r="C42" s="34"/>
      <c r="D42" s="34"/>
      <c r="E42" s="34"/>
      <c r="F42" s="34"/>
      <c r="G42" s="34"/>
      <c r="H42" s="34"/>
      <c r="I42" s="37" t="str">
        <f aca="false">IF(AND(COUNT(B42:H42)=7,D42&lt;&gt;C42,G42&lt;&gt;0),H42*(F42/G42)*(E42-C42)/(D42-C42),"")</f>
        <v/>
      </c>
      <c r="J42" s="3"/>
    </row>
    <row r="43" customFormat="false" ht="15" hidden="false" customHeight="false" outlineLevel="0" collapsed="false">
      <c r="A43" s="34"/>
      <c r="B43" s="34"/>
      <c r="C43" s="34"/>
      <c r="D43" s="34"/>
      <c r="E43" s="34"/>
      <c r="F43" s="34"/>
      <c r="G43" s="34"/>
      <c r="H43" s="34"/>
      <c r="I43" s="37" t="str">
        <f aca="false">IF(AND(COUNT(B43:H43)=7,D43&lt;&gt;C43,G43&lt;&gt;0),H43*(F43/G43)*(E43-C43)/(D43-C43),"")</f>
        <v/>
      </c>
      <c r="J43" s="3"/>
    </row>
    <row r="44" customFormat="false" ht="15" hidden="false" customHeight="false" outlineLevel="0" collapsed="false">
      <c r="A44" s="34"/>
      <c r="B44" s="34"/>
      <c r="C44" s="34"/>
      <c r="D44" s="34"/>
      <c r="E44" s="34"/>
      <c r="F44" s="34"/>
      <c r="G44" s="34"/>
      <c r="H44" s="34"/>
      <c r="I44" s="37" t="str">
        <f aca="false">IF(AND(COUNT(B44:H44)=7,D44&lt;&gt;C44,G44&lt;&gt;0),H44*(F44/G44)*(E44-C44)/(D44-C44),"")</f>
        <v/>
      </c>
      <c r="J44" s="3"/>
    </row>
    <row r="45" customFormat="false" ht="15" hidden="false" customHeight="false" outlineLevel="0" collapsed="false">
      <c r="A45" s="34"/>
      <c r="B45" s="34"/>
      <c r="C45" s="34"/>
      <c r="D45" s="34"/>
      <c r="E45" s="34"/>
      <c r="F45" s="34"/>
      <c r="G45" s="34"/>
      <c r="H45" s="34"/>
      <c r="I45" s="37" t="str">
        <f aca="false">IF(AND(COUNT(B45:H45)=7,D45&lt;&gt;C45,G45&lt;&gt;0),H45*(F45/G45)*(E45-C45)/(D45-C45),"")</f>
        <v/>
      </c>
      <c r="J45" s="3"/>
    </row>
    <row r="46" customFormat="false" ht="15" hidden="false" customHeight="false" outlineLevel="0" collapsed="false">
      <c r="A46" s="34"/>
      <c r="B46" s="34"/>
      <c r="C46" s="34"/>
      <c r="D46" s="34"/>
      <c r="E46" s="34"/>
      <c r="F46" s="34"/>
      <c r="G46" s="34"/>
      <c r="H46" s="34"/>
      <c r="I46" s="37" t="str">
        <f aca="false">IF(AND(COUNT(B46:H46)=7,D46&lt;&gt;C46,G46&lt;&gt;0),H46*(F46/G46)*(E46-C46)/(D46-C46),"")</f>
        <v/>
      </c>
      <c r="J46" s="3"/>
    </row>
    <row r="47" customFormat="false" ht="15" hidden="false" customHeight="false" outlineLevel="0" collapsed="false">
      <c r="A47" s="34"/>
      <c r="B47" s="34"/>
      <c r="C47" s="34"/>
      <c r="D47" s="34"/>
      <c r="E47" s="34"/>
      <c r="F47" s="34"/>
      <c r="G47" s="34"/>
      <c r="H47" s="34"/>
      <c r="I47" s="37" t="str">
        <f aca="false">IF(AND(COUNT(B47:H47)=7,D47&lt;&gt;C47,G47&lt;&gt;0),H47*(F47/G47)*(E47-C47)/(D47-C47),"")</f>
        <v/>
      </c>
      <c r="J47" s="3"/>
    </row>
    <row r="48" customFormat="false" ht="15" hidden="false" customHeight="false" outlineLevel="0" collapsed="false">
      <c r="A48" s="34"/>
      <c r="B48" s="34"/>
      <c r="C48" s="34"/>
      <c r="D48" s="34"/>
      <c r="E48" s="34"/>
      <c r="F48" s="34"/>
      <c r="G48" s="34"/>
      <c r="H48" s="34"/>
      <c r="I48" s="37" t="str">
        <f aca="false">IF(AND(COUNT(B48:H48)=7,D48&lt;&gt;C48,G48&lt;&gt;0),H48*(F48/G48)*(E48-C48)/(D48-C48),"")</f>
        <v/>
      </c>
      <c r="J48" s="3"/>
    </row>
    <row r="49" customFormat="false" ht="15" hidden="false" customHeight="false" outlineLevel="0" collapsed="false">
      <c r="A49" s="34"/>
      <c r="B49" s="34"/>
      <c r="C49" s="34"/>
      <c r="D49" s="34"/>
      <c r="E49" s="34"/>
      <c r="F49" s="34"/>
      <c r="G49" s="34"/>
      <c r="H49" s="34"/>
      <c r="I49" s="37" t="str">
        <f aca="false">IF(AND(COUNT(B49:H49)=7,D49&lt;&gt;C49,G49&lt;&gt;0),H49*(F49/G49)*(E49-C49)/(D49-C49),"")</f>
        <v/>
      </c>
      <c r="J49" s="3"/>
    </row>
    <row r="50" customFormat="false" ht="15" hidden="false" customHeight="false" outlineLevel="0" collapsed="false">
      <c r="A50" s="34"/>
      <c r="B50" s="34"/>
      <c r="C50" s="34"/>
      <c r="D50" s="34"/>
      <c r="E50" s="34"/>
      <c r="F50" s="34"/>
      <c r="G50" s="34"/>
      <c r="H50" s="34"/>
      <c r="I50" s="37" t="str">
        <f aca="false">IF(AND(COUNT(B50:H50)=7,D50&lt;&gt;C50,G50&lt;&gt;0),H50*(F50/G50)*(E50-C50)/(D50-C50),"")</f>
        <v/>
      </c>
      <c r="J50" s="3"/>
    </row>
    <row r="51" customFormat="false" ht="15" hidden="false" customHeight="false" outlineLevel="0" collapsed="false">
      <c r="A51" s="34"/>
      <c r="B51" s="34"/>
      <c r="C51" s="34"/>
      <c r="D51" s="34"/>
      <c r="E51" s="34"/>
      <c r="F51" s="34"/>
      <c r="G51" s="34"/>
      <c r="H51" s="34"/>
      <c r="I51" s="37" t="str">
        <f aca="false">IF(AND(COUNT(B51:H51)=7,D51&lt;&gt;C51,G51&lt;&gt;0),H51*(F51/G51)*(E51-C51)/(D51-C51),"")</f>
        <v/>
      </c>
      <c r="J51" s="3"/>
    </row>
    <row r="52" customFormat="false" ht="15" hidden="false" customHeight="false" outlineLevel="0" collapsed="false">
      <c r="A52" s="34"/>
      <c r="B52" s="34"/>
      <c r="C52" s="34"/>
      <c r="D52" s="34"/>
      <c r="E52" s="34"/>
      <c r="F52" s="34"/>
      <c r="G52" s="34"/>
      <c r="H52" s="34"/>
      <c r="I52" s="37" t="str">
        <f aca="false">IF(AND(COUNT(B52:H52)=7,D52&lt;&gt;C52,G52&lt;&gt;0),H52*(F52/G52)*(E52-C52)/(D52-C52),"")</f>
        <v/>
      </c>
      <c r="J52" s="3"/>
    </row>
    <row r="53" customFormat="false" ht="15" hidden="false" customHeight="false" outlineLevel="0" collapsed="false">
      <c r="A53" s="34"/>
      <c r="B53" s="34"/>
      <c r="C53" s="34"/>
      <c r="D53" s="34"/>
      <c r="E53" s="34"/>
      <c r="F53" s="34"/>
      <c r="G53" s="34"/>
      <c r="H53" s="34"/>
      <c r="I53" s="37" t="str">
        <f aca="false">IF(AND(COUNT(B53:H53)=7,D53&lt;&gt;C53,G53&lt;&gt;0),H53*(F53/G53)*(E53-C53)/(D53-C53),"")</f>
        <v/>
      </c>
      <c r="J53" s="3"/>
    </row>
    <row r="54" customFormat="false" ht="15" hidden="false" customHeight="false" outlineLevel="0" collapsed="false">
      <c r="A54" s="34"/>
      <c r="B54" s="34"/>
      <c r="C54" s="34"/>
      <c r="D54" s="34"/>
      <c r="E54" s="34"/>
      <c r="F54" s="34"/>
      <c r="G54" s="34"/>
      <c r="H54" s="34"/>
      <c r="I54" s="37" t="str">
        <f aca="false">IF(AND(COUNT(B54:H54)=7,D54&lt;&gt;C54,G54&lt;&gt;0),H54*(F54/G54)*(E54-C54)/(D54-C54),"")</f>
        <v/>
      </c>
      <c r="J54" s="3"/>
    </row>
    <row r="55" customFormat="false" ht="15" hidden="false" customHeight="false" outlineLevel="0" collapsed="false">
      <c r="A55" s="34"/>
      <c r="B55" s="34"/>
      <c r="C55" s="34"/>
      <c r="D55" s="34"/>
      <c r="E55" s="34"/>
      <c r="F55" s="34"/>
      <c r="G55" s="34"/>
      <c r="H55" s="34"/>
      <c r="I55" s="37" t="str">
        <f aca="false">IF(AND(COUNT(B55:H55)=7,D55&lt;&gt;C55,G55&lt;&gt;0),H55*(F55/G55)*(E55-C55)/(D55-C55),"")</f>
        <v/>
      </c>
      <c r="J55" s="3"/>
    </row>
    <row r="56" customFormat="false" ht="15" hidden="false" customHeight="false" outlineLevel="0" collapsed="false">
      <c r="A56" s="34"/>
      <c r="B56" s="34"/>
      <c r="C56" s="34"/>
      <c r="D56" s="34"/>
      <c r="E56" s="34"/>
      <c r="F56" s="34"/>
      <c r="G56" s="34"/>
      <c r="H56" s="34"/>
      <c r="I56" s="37" t="str">
        <f aca="false">IF(AND(COUNT(B56:H56)=7,D56&lt;&gt;C56,G56&lt;&gt;0),H56*(F56/G56)*(E56-C56)/(D56-C56),"")</f>
        <v/>
      </c>
      <c r="J56" s="3"/>
    </row>
    <row r="57" customFormat="false" ht="15" hidden="false" customHeight="false" outlineLevel="0" collapsed="false">
      <c r="A57" s="34"/>
      <c r="B57" s="34"/>
      <c r="C57" s="34"/>
      <c r="D57" s="34"/>
      <c r="E57" s="34"/>
      <c r="F57" s="34"/>
      <c r="G57" s="34"/>
      <c r="H57" s="34"/>
      <c r="I57" s="37" t="str">
        <f aca="false">IF(AND(COUNT(B57:H57)=7,D57&lt;&gt;C57,G57&lt;&gt;0),H57*(F57/G57)*(E57-C57)/(D57-C57),"")</f>
        <v/>
      </c>
      <c r="J57" s="3"/>
    </row>
    <row r="58" customFormat="false" ht="15" hidden="false" customHeight="false" outlineLevel="0" collapsed="false">
      <c r="A58" s="34"/>
      <c r="B58" s="34"/>
      <c r="C58" s="34"/>
      <c r="D58" s="34"/>
      <c r="E58" s="34"/>
      <c r="F58" s="34"/>
      <c r="G58" s="34"/>
      <c r="H58" s="34"/>
      <c r="I58" s="37" t="str">
        <f aca="false">IF(AND(COUNT(B58:H58)=7,D58&lt;&gt;C58,G58&lt;&gt;0),H58*(F58/G58)*(E58-C58)/(D58-C58),"")</f>
        <v/>
      </c>
      <c r="J58" s="3"/>
    </row>
    <row r="59" customFormat="false" ht="15" hidden="false" customHeight="false" outlineLevel="0" collapsed="false">
      <c r="A59" s="34"/>
      <c r="B59" s="34"/>
      <c r="C59" s="34"/>
      <c r="D59" s="34"/>
      <c r="E59" s="34"/>
      <c r="F59" s="34"/>
      <c r="G59" s="34"/>
      <c r="H59" s="34"/>
      <c r="I59" s="37" t="str">
        <f aca="false">IF(AND(COUNT(B59:H59)=7,D59&lt;&gt;C59,G59&lt;&gt;0),H59*(F59/G59)*(E59-C59)/(D59-C59),"")</f>
        <v/>
      </c>
      <c r="J59" s="3"/>
    </row>
    <row r="60" customFormat="false" ht="15" hidden="false" customHeight="false" outlineLevel="0" collapsed="false">
      <c r="A60" s="34"/>
      <c r="B60" s="34"/>
      <c r="C60" s="34"/>
      <c r="D60" s="34"/>
      <c r="E60" s="34"/>
      <c r="F60" s="34"/>
      <c r="G60" s="34"/>
      <c r="H60" s="34"/>
      <c r="I60" s="37" t="str">
        <f aca="false">IF(AND(COUNT(B60:H60)=7,D60&lt;&gt;C60,G60&lt;&gt;0),H60*(F60/G60)*(E60-C60)/(D60-C60),"")</f>
        <v/>
      </c>
      <c r="J60" s="3"/>
    </row>
    <row r="61" customFormat="false" ht="15" hidden="false" customHeight="false" outlineLevel="0" collapsed="false">
      <c r="A61" s="34"/>
      <c r="B61" s="34"/>
      <c r="C61" s="34"/>
      <c r="D61" s="34"/>
      <c r="E61" s="34"/>
      <c r="F61" s="34"/>
      <c r="G61" s="34"/>
      <c r="H61" s="34"/>
      <c r="I61" s="37" t="str">
        <f aca="false">IF(AND(COUNT(B61:H61)=7,D61&lt;&gt;C61,G61&lt;&gt;0),H61*(F61/G61)*(E61-C61)/(D61-C61),"")</f>
        <v/>
      </c>
      <c r="J61" s="3"/>
    </row>
    <row r="62" customFormat="false" ht="15" hidden="false" customHeight="false" outlineLevel="0" collapsed="false">
      <c r="A62" s="34"/>
      <c r="B62" s="34"/>
      <c r="C62" s="34"/>
      <c r="D62" s="34"/>
      <c r="E62" s="34"/>
      <c r="F62" s="34"/>
      <c r="G62" s="34"/>
      <c r="H62" s="34"/>
      <c r="I62" s="37" t="str">
        <f aca="false">IF(AND(COUNT(B62:H62)=7,D62&lt;&gt;C62,G62&lt;&gt;0),H62*(F62/G62)*(E62-C62)/(D62-C62),"")</f>
        <v/>
      </c>
      <c r="J62" s="3"/>
    </row>
    <row r="63" customFormat="false" ht="15" hidden="false" customHeight="false" outlineLevel="0" collapsed="false">
      <c r="A63" s="34"/>
      <c r="B63" s="34"/>
      <c r="C63" s="34"/>
      <c r="D63" s="34"/>
      <c r="E63" s="34"/>
      <c r="F63" s="34"/>
      <c r="G63" s="34"/>
      <c r="H63" s="34"/>
      <c r="I63" s="37" t="str">
        <f aca="false">IF(AND(COUNT(B63:H63)=7,D63&lt;&gt;C63,G63&lt;&gt;0),H63*(F63/G63)*(E63-C63)/(D63-C63),"")</f>
        <v/>
      </c>
      <c r="J63" s="3"/>
    </row>
    <row r="64" customFormat="false" ht="15" hidden="false" customHeight="false" outlineLevel="0" collapsed="false">
      <c r="A64" s="34"/>
      <c r="B64" s="34"/>
      <c r="C64" s="34"/>
      <c r="D64" s="34"/>
      <c r="E64" s="34"/>
      <c r="F64" s="34"/>
      <c r="G64" s="34"/>
      <c r="H64" s="34"/>
      <c r="I64" s="37" t="str">
        <f aca="false">IF(AND(COUNT(B64:H64)=7,D64&lt;&gt;C64,G64&lt;&gt;0),H64*(F64/G64)*(E64-C64)/(D64-C64),"")</f>
        <v/>
      </c>
      <c r="J64" s="3"/>
    </row>
    <row r="65" customFormat="false" ht="15" hidden="false" customHeight="false" outlineLevel="0" collapsed="false">
      <c r="A65" s="34"/>
      <c r="B65" s="34"/>
      <c r="C65" s="34"/>
      <c r="D65" s="34"/>
      <c r="E65" s="34"/>
      <c r="F65" s="34"/>
      <c r="G65" s="34"/>
      <c r="H65" s="34"/>
      <c r="I65" s="37" t="str">
        <f aca="false">IF(AND(COUNT(B65:H65)=7,D65&lt;&gt;C65,G65&lt;&gt;0),H65*(F65/G65)*(E65-C65)/(D65-C65),"")</f>
        <v/>
      </c>
      <c r="J65" s="3"/>
    </row>
    <row r="66" customFormat="false" ht="15" hidden="false" customHeight="false" outlineLevel="0" collapsed="false">
      <c r="A66" s="34"/>
      <c r="B66" s="34"/>
      <c r="C66" s="34"/>
      <c r="D66" s="34"/>
      <c r="E66" s="34"/>
      <c r="F66" s="34"/>
      <c r="G66" s="34"/>
      <c r="H66" s="34"/>
      <c r="I66" s="37" t="str">
        <f aca="false">IF(AND(COUNT(B66:H66)=7,D66&lt;&gt;C66,G66&lt;&gt;0),H66*(F66/G66)*(E66-C66)/(D66-C66),"")</f>
        <v/>
      </c>
      <c r="J66" s="3"/>
    </row>
    <row r="67" customFormat="false" ht="15" hidden="false" customHeight="false" outlineLevel="0" collapsed="false">
      <c r="A67" s="34"/>
      <c r="B67" s="34"/>
      <c r="C67" s="34"/>
      <c r="D67" s="34"/>
      <c r="E67" s="34"/>
      <c r="F67" s="34"/>
      <c r="G67" s="34"/>
      <c r="H67" s="34"/>
      <c r="I67" s="37" t="str">
        <f aca="false">IF(AND(COUNT(B67:H67)=7,D67&lt;&gt;C67,G67&lt;&gt;0),H67*(F67/G67)*(E67-C67)/(D67-C67),"")</f>
        <v/>
      </c>
      <c r="J67" s="3"/>
    </row>
    <row r="68" customFormat="false" ht="15" hidden="false" customHeight="false" outlineLevel="0" collapsed="false">
      <c r="A68" s="34"/>
      <c r="B68" s="34"/>
      <c r="C68" s="34"/>
      <c r="D68" s="34"/>
      <c r="E68" s="34"/>
      <c r="F68" s="34"/>
      <c r="G68" s="34"/>
      <c r="H68" s="34"/>
      <c r="I68" s="37" t="str">
        <f aca="false">IF(AND(COUNT(B68:H68)=7,D68&lt;&gt;C68,G68&lt;&gt;0),H68*(F68/G68)*(E68-C68)/(D68-C68),"")</f>
        <v/>
      </c>
      <c r="J68" s="3"/>
    </row>
    <row r="69" customFormat="false" ht="15" hidden="false" customHeight="false" outlineLevel="0" collapsed="false">
      <c r="A69" s="34"/>
      <c r="B69" s="34"/>
      <c r="C69" s="34"/>
      <c r="D69" s="34"/>
      <c r="E69" s="34"/>
      <c r="F69" s="34"/>
      <c r="G69" s="34"/>
      <c r="H69" s="34"/>
      <c r="I69" s="37" t="str">
        <f aca="false">IF(AND(COUNT(B69:H69)=7,D69&lt;&gt;C69,G69&lt;&gt;0),H69*(F69/G69)*(E69-C69)/(D69-C69),"")</f>
        <v/>
      </c>
      <c r="J69" s="3"/>
    </row>
    <row r="70" customFormat="false" ht="15" hidden="false" customHeight="false" outlineLevel="0" collapsed="false">
      <c r="A70" s="34"/>
      <c r="B70" s="34"/>
      <c r="C70" s="34"/>
      <c r="D70" s="34"/>
      <c r="E70" s="34"/>
      <c r="F70" s="34"/>
      <c r="G70" s="34"/>
      <c r="H70" s="34"/>
      <c r="I70" s="37" t="str">
        <f aca="false">IF(AND(COUNT(B70:H70)=7,D70&lt;&gt;C70,G70&lt;&gt;0),H70*(F70/G70)*(E70-C70)/(D70-C70),"")</f>
        <v/>
      </c>
      <c r="J70" s="3"/>
    </row>
    <row r="71" customFormat="false" ht="15" hidden="false" customHeight="false" outlineLevel="0" collapsed="false">
      <c r="A71" s="34"/>
      <c r="B71" s="34"/>
      <c r="C71" s="34"/>
      <c r="D71" s="34"/>
      <c r="E71" s="34"/>
      <c r="F71" s="34"/>
      <c r="G71" s="34"/>
      <c r="H71" s="34"/>
      <c r="I71" s="37" t="str">
        <f aca="false">IF(AND(COUNT(B71:H71)=7,D71&lt;&gt;C71,G71&lt;&gt;0),H71*(F71/G71)*(E71-C71)/(D71-C71),"")</f>
        <v/>
      </c>
      <c r="J71" s="3"/>
    </row>
    <row r="72" customFormat="false" ht="15" hidden="false" customHeight="false" outlineLevel="0" collapsed="false">
      <c r="A72" s="34"/>
      <c r="B72" s="34"/>
      <c r="C72" s="34"/>
      <c r="D72" s="34"/>
      <c r="E72" s="34"/>
      <c r="F72" s="34"/>
      <c r="G72" s="34"/>
      <c r="H72" s="34"/>
      <c r="I72" s="37" t="str">
        <f aca="false">IF(AND(COUNT(B72:H72)=7,D72&lt;&gt;C72,G72&lt;&gt;0),H72*(F72/G72)*(E72-C72)/(D72-C72),"")</f>
        <v/>
      </c>
      <c r="J72" s="3"/>
    </row>
    <row r="73" customFormat="false" ht="15" hidden="false" customHeight="false" outlineLevel="0" collapsed="false">
      <c r="A73" s="34"/>
      <c r="B73" s="34"/>
      <c r="C73" s="34"/>
      <c r="D73" s="34"/>
      <c r="E73" s="34"/>
      <c r="F73" s="34"/>
      <c r="G73" s="34"/>
      <c r="H73" s="34"/>
      <c r="I73" s="37" t="str">
        <f aca="false">IF(AND(COUNT(B73:H73)=7,D73&lt;&gt;C73,G73&lt;&gt;0),H73*(F73/G73)*(E73-C73)/(D73-C73),"")</f>
        <v/>
      </c>
      <c r="J73" s="3"/>
    </row>
    <row r="74" customFormat="false" ht="15" hidden="false" customHeight="false" outlineLevel="0" collapsed="false">
      <c r="A74" s="34"/>
      <c r="B74" s="34"/>
      <c r="C74" s="34"/>
      <c r="D74" s="34"/>
      <c r="E74" s="34"/>
      <c r="F74" s="34"/>
      <c r="G74" s="34"/>
      <c r="H74" s="34"/>
      <c r="I74" s="37" t="str">
        <f aca="false">IF(AND(COUNT(B74:H74)=7,D74&lt;&gt;C74,G74&lt;&gt;0),H74*(F74/G74)*(E74-C74)/(D74-C74),"")</f>
        <v/>
      </c>
      <c r="J74" s="3"/>
    </row>
    <row r="75" customFormat="false" ht="15" hidden="false" customHeight="false" outlineLevel="0" collapsed="false">
      <c r="A75" s="34"/>
      <c r="B75" s="34"/>
      <c r="C75" s="34"/>
      <c r="D75" s="34"/>
      <c r="E75" s="34"/>
      <c r="F75" s="34"/>
      <c r="G75" s="34"/>
      <c r="H75" s="34"/>
      <c r="I75" s="37" t="str">
        <f aca="false">IF(AND(COUNT(B75:H75)=7,D75&lt;&gt;C75,G75&lt;&gt;0),H75*(F75/G75)*(E75-C75)/(D75-C75),"")</f>
        <v/>
      </c>
      <c r="J75" s="3"/>
    </row>
    <row r="76" customFormat="false" ht="15" hidden="false" customHeight="false" outlineLevel="0" collapsed="false">
      <c r="A76" s="34"/>
      <c r="B76" s="34"/>
      <c r="C76" s="34"/>
      <c r="D76" s="34"/>
      <c r="E76" s="34"/>
      <c r="F76" s="34"/>
      <c r="G76" s="34"/>
      <c r="H76" s="34"/>
      <c r="I76" s="37" t="str">
        <f aca="false">IF(AND(COUNT(B76:H76)=7,D76&lt;&gt;C76,G76&lt;&gt;0),H76*(F76/G76)*(E76-C76)/(D76-C76),"")</f>
        <v/>
      </c>
      <c r="J76" s="3"/>
    </row>
    <row r="77" customFormat="false" ht="15" hidden="false" customHeight="false" outlineLevel="0" collapsed="false">
      <c r="A77" s="34"/>
      <c r="B77" s="34"/>
      <c r="C77" s="34"/>
      <c r="D77" s="34"/>
      <c r="E77" s="34"/>
      <c r="F77" s="34"/>
      <c r="G77" s="34"/>
      <c r="H77" s="34"/>
      <c r="I77" s="37" t="str">
        <f aca="false">IF(AND(COUNT(B77:H77)=7,D77&lt;&gt;C77,G77&lt;&gt;0),H77*(F77/G77)*(E77-C77)/(D77-C77),"")</f>
        <v/>
      </c>
      <c r="J77" s="3"/>
    </row>
    <row r="78" customFormat="false" ht="15" hidden="false" customHeight="false" outlineLevel="0" collapsed="false">
      <c r="A78" s="34"/>
      <c r="B78" s="34"/>
      <c r="C78" s="34"/>
      <c r="D78" s="34"/>
      <c r="E78" s="34"/>
      <c r="F78" s="34"/>
      <c r="G78" s="34"/>
      <c r="H78" s="34"/>
      <c r="I78" s="37" t="str">
        <f aca="false">IF(AND(COUNT(B78:H78)=7,D78&lt;&gt;C78,G78&lt;&gt;0),H78*(F78/G78)*(E78-C78)/(D78-C78),"")</f>
        <v/>
      </c>
      <c r="J78" s="3"/>
    </row>
    <row r="79" customFormat="false" ht="15" hidden="false" customHeight="false" outlineLevel="0" collapsed="false">
      <c r="A79" s="34"/>
      <c r="B79" s="34"/>
      <c r="C79" s="34"/>
      <c r="D79" s="34"/>
      <c r="E79" s="34"/>
      <c r="F79" s="34"/>
      <c r="G79" s="34"/>
      <c r="H79" s="34"/>
      <c r="I79" s="37" t="str">
        <f aca="false">IF(AND(COUNT(B79:H79)=7,D79&lt;&gt;C79,G79&lt;&gt;0),H79*(F79/G79)*(E79-C79)/(D79-C79),"")</f>
        <v/>
      </c>
      <c r="J79" s="3"/>
    </row>
    <row r="80" customFormat="false" ht="15" hidden="false" customHeight="false" outlineLevel="0" collapsed="false">
      <c r="A80" s="34"/>
      <c r="B80" s="34"/>
      <c r="C80" s="34"/>
      <c r="D80" s="34"/>
      <c r="E80" s="34"/>
      <c r="F80" s="34"/>
      <c r="G80" s="34"/>
      <c r="H80" s="34"/>
      <c r="I80" s="37" t="str">
        <f aca="false">IF(AND(COUNT(B80:H80)=7,D80&lt;&gt;C80,G80&lt;&gt;0),H80*(F80/G80)*(E80-C80)/(D80-C80),"")</f>
        <v/>
      </c>
      <c r="J80" s="3"/>
    </row>
  </sheetData>
  <dataValidations count="1">
    <dataValidation allowBlank="true" errorStyle="stop" operator="between" showDropDown="false" showErrorMessage="false" showInputMessage="false" sqref="A6:A80" type="list">
      <formula1>"EPS 가연성,EPS 준불연,PIR(PUR) 가연성,PIR(PUR) 준불연,PF 준불연 외부용,PF 준불연 내부용,예시"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5" min="2" style="0" width="13"/>
  </cols>
  <sheetData>
    <row r="1" customFormat="false" ht="19.4" hidden="false" customHeight="false" outlineLevel="0" collapsed="false">
      <c r="A1" s="6" t="s">
        <v>201</v>
      </c>
    </row>
    <row r="2" customFormat="false" ht="15" hidden="false" customHeight="false" outlineLevel="0" collapsed="false">
      <c r="A2" s="21" t="s">
        <v>202</v>
      </c>
    </row>
    <row r="4" customFormat="false" ht="43.5" hidden="false" customHeight="true" outlineLevel="0" collapsed="false">
      <c r="A4" s="8" t="s">
        <v>192</v>
      </c>
      <c r="B4" s="7" t="s">
        <v>203</v>
      </c>
      <c r="C4" s="7" t="s">
        <v>204</v>
      </c>
      <c r="D4" s="7" t="s">
        <v>205</v>
      </c>
      <c r="E4" s="7" t="s">
        <v>206</v>
      </c>
      <c r="F4" s="7" t="s">
        <v>207</v>
      </c>
      <c r="G4" s="7" t="s">
        <v>208</v>
      </c>
      <c r="H4" s="7" t="s">
        <v>209</v>
      </c>
      <c r="I4" s="7" t="s">
        <v>210</v>
      </c>
      <c r="J4" s="7" t="s">
        <v>211</v>
      </c>
      <c r="K4" s="7" t="s">
        <v>212</v>
      </c>
      <c r="L4" s="7" t="s">
        <v>213</v>
      </c>
      <c r="M4" s="7" t="s">
        <v>214</v>
      </c>
      <c r="N4" s="7" t="s">
        <v>215</v>
      </c>
      <c r="O4" s="7" t="s">
        <v>216</v>
      </c>
      <c r="P4" s="7" t="s">
        <v>217</v>
      </c>
      <c r="Q4" s="7" t="s">
        <v>218</v>
      </c>
      <c r="R4" s="7" t="s">
        <v>219</v>
      </c>
      <c r="S4" s="7" t="s">
        <v>220</v>
      </c>
      <c r="T4" s="7" t="s">
        <v>221</v>
      </c>
      <c r="U4" s="7" t="s">
        <v>222</v>
      </c>
      <c r="V4" s="7" t="s">
        <v>223</v>
      </c>
      <c r="W4" s="7" t="s">
        <v>224</v>
      </c>
      <c r="X4" s="7" t="s">
        <v>225</v>
      </c>
      <c r="Y4" s="7" t="s">
        <v>226</v>
      </c>
    </row>
    <row r="5" customFormat="false" ht="15" hidden="false" customHeight="false" outlineLevel="0" collapsed="false">
      <c r="A5" s="38" t="n">
        <v>60</v>
      </c>
      <c r="B5" s="39" t="n">
        <v>1.00608</v>
      </c>
      <c r="C5" s="40" t="n">
        <v>-1E-005</v>
      </c>
      <c r="D5" s="39" t="n">
        <v>1.03347</v>
      </c>
      <c r="E5" s="40" t="n">
        <v>-0.00016</v>
      </c>
      <c r="F5" s="39" t="n">
        <v>1.00795</v>
      </c>
      <c r="G5" s="40" t="n">
        <v>0</v>
      </c>
      <c r="H5" s="39" t="n">
        <v>1.00522</v>
      </c>
      <c r="I5" s="40" t="n">
        <v>-3E-005</v>
      </c>
      <c r="J5" s="39" t="n">
        <v>1.00009</v>
      </c>
      <c r="K5" s="40" t="n">
        <v>0</v>
      </c>
      <c r="L5" s="39" t="n">
        <v>1.00335</v>
      </c>
      <c r="M5" s="40" t="n">
        <v>-1E-005</v>
      </c>
      <c r="N5" s="39" t="n">
        <v>1.00148</v>
      </c>
      <c r="O5" s="40" t="n">
        <v>1E-005</v>
      </c>
      <c r="P5" s="39" t="n">
        <v>1.00311</v>
      </c>
      <c r="Q5" s="40" t="n">
        <v>-2E-005</v>
      </c>
      <c r="R5" s="39" t="n">
        <v>0.98722</v>
      </c>
      <c r="S5" s="40" t="n">
        <v>4E-005</v>
      </c>
      <c r="T5" s="39" t="n">
        <v>0.99673</v>
      </c>
      <c r="U5" s="40" t="n">
        <v>1E-005</v>
      </c>
      <c r="V5" s="39" t="n">
        <v>0.98318</v>
      </c>
      <c r="W5" s="40" t="n">
        <v>4E-005</v>
      </c>
      <c r="X5" s="39" t="n">
        <v>0.99205</v>
      </c>
      <c r="Y5" s="40" t="n">
        <v>3E-005</v>
      </c>
    </row>
    <row r="6" customFormat="false" ht="15" hidden="false" customHeight="false" outlineLevel="0" collapsed="false">
      <c r="A6" s="38" t="n">
        <v>61</v>
      </c>
      <c r="B6" s="39" t="n">
        <v>1.00602</v>
      </c>
      <c r="C6" s="40" t="n">
        <v>-1E-005</v>
      </c>
      <c r="D6" s="39" t="n">
        <v>1.0338</v>
      </c>
      <c r="E6" s="40" t="n">
        <v>-0.00013</v>
      </c>
      <c r="F6" s="39" t="n">
        <v>1.00814</v>
      </c>
      <c r="G6" s="40" t="n">
        <v>-1E-005</v>
      </c>
      <c r="H6" s="39" t="n">
        <v>1.00541</v>
      </c>
      <c r="I6" s="40" t="n">
        <v>-2E-005</v>
      </c>
      <c r="J6" s="39" t="n">
        <v>1.00024</v>
      </c>
      <c r="K6" s="40" t="n">
        <v>0</v>
      </c>
      <c r="L6" s="39" t="n">
        <v>1.00377</v>
      </c>
      <c r="M6" s="40" t="n">
        <v>-2E-005</v>
      </c>
      <c r="N6" s="39" t="n">
        <v>1.00115</v>
      </c>
      <c r="O6" s="40" t="n">
        <v>2E-005</v>
      </c>
      <c r="P6" s="39" t="n">
        <v>1.00325</v>
      </c>
      <c r="Q6" s="40" t="n">
        <v>-2E-005</v>
      </c>
      <c r="R6" s="39" t="n">
        <v>0.98643</v>
      </c>
      <c r="S6" s="40" t="n">
        <v>4E-005</v>
      </c>
      <c r="T6" s="39" t="n">
        <v>0.99661</v>
      </c>
      <c r="U6" s="40" t="n">
        <v>1E-005</v>
      </c>
      <c r="V6" s="39" t="n">
        <v>0.98265</v>
      </c>
      <c r="W6" s="40" t="n">
        <v>4E-005</v>
      </c>
      <c r="X6" s="39" t="n">
        <v>0.99181</v>
      </c>
      <c r="Y6" s="40" t="n">
        <v>3E-005</v>
      </c>
    </row>
    <row r="7" customFormat="false" ht="15" hidden="false" customHeight="false" outlineLevel="0" collapsed="false">
      <c r="A7" s="38" t="n">
        <v>62</v>
      </c>
      <c r="B7" s="39" t="n">
        <v>1.00603</v>
      </c>
      <c r="C7" s="40" t="n">
        <v>-2E-005</v>
      </c>
      <c r="D7" s="39" t="n">
        <v>1.03643</v>
      </c>
      <c r="E7" s="40" t="n">
        <v>-0.00011</v>
      </c>
      <c r="F7" s="39" t="n">
        <v>1.00842</v>
      </c>
      <c r="G7" s="40" t="n">
        <v>-2E-005</v>
      </c>
      <c r="H7" s="39" t="n">
        <v>1.00572</v>
      </c>
      <c r="I7" s="40" t="n">
        <v>-2E-005</v>
      </c>
      <c r="J7" s="39" t="n">
        <v>1.00015</v>
      </c>
      <c r="K7" s="40" t="n">
        <v>0</v>
      </c>
      <c r="L7" s="39" t="n">
        <v>1.00404</v>
      </c>
      <c r="M7" s="40" t="n">
        <v>-2E-005</v>
      </c>
      <c r="N7" s="39" t="n">
        <v>1.00094</v>
      </c>
      <c r="O7" s="40" t="n">
        <v>1E-005</v>
      </c>
      <c r="P7" s="39" t="n">
        <v>1.0035</v>
      </c>
      <c r="Q7" s="40" t="n">
        <v>-1E-005</v>
      </c>
      <c r="R7" s="39" t="n">
        <v>0.98595</v>
      </c>
      <c r="S7" s="40" t="n">
        <v>4E-005</v>
      </c>
      <c r="T7" s="39" t="n">
        <v>0.9965</v>
      </c>
      <c r="U7" s="40" t="n">
        <v>1E-005</v>
      </c>
      <c r="V7" s="39" t="n">
        <v>0.98228</v>
      </c>
      <c r="W7" s="40" t="n">
        <v>4E-005</v>
      </c>
      <c r="X7" s="39" t="n">
        <v>0.99154</v>
      </c>
      <c r="Y7" s="40" t="n">
        <v>3E-005</v>
      </c>
    </row>
    <row r="8" customFormat="false" ht="15" hidden="false" customHeight="false" outlineLevel="0" collapsed="false">
      <c r="A8" s="38" t="n">
        <v>63</v>
      </c>
      <c r="B8" s="39" t="n">
        <v>1.00651</v>
      </c>
      <c r="C8" s="40" t="n">
        <v>-2E-005</v>
      </c>
      <c r="D8" s="39" t="n">
        <v>1.03896</v>
      </c>
      <c r="E8" s="40" t="n">
        <v>-0.00016</v>
      </c>
      <c r="F8" s="39" t="n">
        <v>1.00836</v>
      </c>
      <c r="G8" s="40" t="n">
        <v>-2E-005</v>
      </c>
      <c r="H8" s="39" t="n">
        <v>1.00609</v>
      </c>
      <c r="I8" s="40" t="n">
        <v>-2E-005</v>
      </c>
      <c r="J8" s="39" t="n">
        <v>1.00026</v>
      </c>
      <c r="K8" s="40" t="n">
        <v>0</v>
      </c>
      <c r="L8" s="39" t="n">
        <v>1.00414</v>
      </c>
      <c r="M8" s="40" t="n">
        <v>-2E-005</v>
      </c>
      <c r="N8" s="39" t="n">
        <v>1.00092</v>
      </c>
      <c r="O8" s="40" t="n">
        <v>1E-005</v>
      </c>
      <c r="P8" s="39" t="n">
        <v>1.0034</v>
      </c>
      <c r="Q8" s="40" t="n">
        <v>0</v>
      </c>
      <c r="R8" s="39" t="n">
        <v>0.98571</v>
      </c>
      <c r="S8" s="40" t="n">
        <v>3E-005</v>
      </c>
      <c r="T8" s="39" t="n">
        <v>0.99641</v>
      </c>
      <c r="U8" s="40" t="n">
        <v>1E-005</v>
      </c>
      <c r="V8" s="39" t="n">
        <v>0.98176</v>
      </c>
      <c r="W8" s="40" t="n">
        <v>4E-005</v>
      </c>
      <c r="X8" s="39" t="n">
        <v>0.99127</v>
      </c>
      <c r="Y8" s="40" t="n">
        <v>2E-005</v>
      </c>
    </row>
    <row r="9" customFormat="false" ht="15" hidden="false" customHeight="false" outlineLevel="0" collapsed="false">
      <c r="A9" s="38" t="n">
        <v>64</v>
      </c>
      <c r="B9" s="39" t="n">
        <v>1.00652</v>
      </c>
      <c r="C9" s="40" t="n">
        <v>-2E-005</v>
      </c>
      <c r="D9" s="39" t="n">
        <v>1.04066</v>
      </c>
      <c r="E9" s="40" t="n">
        <v>-0.00017</v>
      </c>
      <c r="F9" s="39" t="n">
        <v>1.00869</v>
      </c>
      <c r="G9" s="40" t="n">
        <v>-2E-005</v>
      </c>
      <c r="H9" s="39" t="n">
        <v>1.00656</v>
      </c>
      <c r="I9" s="40" t="n">
        <v>-2E-005</v>
      </c>
      <c r="J9" s="39" t="n">
        <v>1.00038</v>
      </c>
      <c r="K9" s="40" t="n">
        <v>0</v>
      </c>
      <c r="L9" s="39" t="n">
        <v>1.00418</v>
      </c>
      <c r="M9" s="40" t="n">
        <v>-2E-005</v>
      </c>
      <c r="N9" s="39" t="n">
        <v>1.00073</v>
      </c>
      <c r="O9" s="40" t="n">
        <v>0</v>
      </c>
      <c r="P9" s="39" t="n">
        <v>1.00336</v>
      </c>
      <c r="Q9" s="40" t="n">
        <v>0</v>
      </c>
      <c r="R9" s="39" t="n">
        <v>0.98553</v>
      </c>
      <c r="S9" s="40" t="n">
        <v>2E-005</v>
      </c>
      <c r="T9" s="39" t="n">
        <v>0.99646</v>
      </c>
      <c r="U9" s="40" t="n">
        <v>1E-005</v>
      </c>
      <c r="V9" s="39" t="n">
        <v>0.98136</v>
      </c>
      <c r="W9" s="40" t="n">
        <v>3E-005</v>
      </c>
      <c r="X9" s="39" t="n">
        <v>0.99092</v>
      </c>
      <c r="Y9" s="40" t="n">
        <v>2E-005</v>
      </c>
    </row>
    <row r="10" customFormat="false" ht="15" hidden="false" customHeight="false" outlineLevel="0" collapsed="false">
      <c r="A10" s="38" t="n">
        <v>65</v>
      </c>
      <c r="B10" s="39" t="n">
        <v>1.00693</v>
      </c>
      <c r="C10" s="40" t="n">
        <v>-1E-005</v>
      </c>
      <c r="D10" s="39" t="n">
        <v>1.04186</v>
      </c>
      <c r="E10" s="40" t="n">
        <v>-0.00016</v>
      </c>
      <c r="F10" s="39" t="n">
        <v>1.00931</v>
      </c>
      <c r="G10" s="40" t="n">
        <v>-1E-005</v>
      </c>
      <c r="H10" s="39" t="n">
        <v>1.00661</v>
      </c>
      <c r="I10" s="40" t="n">
        <v>-2E-005</v>
      </c>
      <c r="J10" s="39" t="n">
        <v>1.00026</v>
      </c>
      <c r="K10" s="40" t="n">
        <v>1E-005</v>
      </c>
      <c r="L10" s="39" t="n">
        <v>1.00432</v>
      </c>
      <c r="M10" s="40" t="n">
        <v>-2E-005</v>
      </c>
      <c r="N10" s="39" t="n">
        <v>1.00077</v>
      </c>
      <c r="O10" s="40" t="n">
        <v>0</v>
      </c>
      <c r="P10" s="39" t="n">
        <v>1.00346</v>
      </c>
      <c r="Q10" s="40" t="n">
        <v>-1E-005</v>
      </c>
      <c r="R10" s="39" t="n">
        <v>0.98513</v>
      </c>
      <c r="S10" s="40" t="n">
        <v>2E-005</v>
      </c>
      <c r="T10" s="39" t="n">
        <v>0.99625</v>
      </c>
      <c r="U10" s="40" t="n">
        <v>1E-005</v>
      </c>
      <c r="V10" s="39" t="n">
        <v>0.98096</v>
      </c>
      <c r="W10" s="40" t="n">
        <v>3E-005</v>
      </c>
      <c r="X10" s="39" t="n">
        <v>0.99065</v>
      </c>
      <c r="Y10" s="40" t="n">
        <v>3E-005</v>
      </c>
    </row>
    <row r="11" customFormat="false" ht="15" hidden="false" customHeight="false" outlineLevel="0" collapsed="false">
      <c r="A11" s="38" t="n">
        <v>66</v>
      </c>
      <c r="B11" s="39" t="n">
        <v>1.00712</v>
      </c>
      <c r="C11" s="40" t="n">
        <v>0</v>
      </c>
      <c r="D11" s="39" t="n">
        <v>1.04359</v>
      </c>
      <c r="E11" s="40" t="n">
        <v>-0.00015</v>
      </c>
      <c r="F11" s="39" t="n">
        <v>1.00926</v>
      </c>
      <c r="G11" s="40" t="n">
        <v>-1E-005</v>
      </c>
      <c r="H11" s="39" t="n">
        <v>1.00666</v>
      </c>
      <c r="I11" s="40" t="n">
        <v>-2E-005</v>
      </c>
      <c r="J11" s="39" t="n">
        <v>1.00015</v>
      </c>
      <c r="K11" s="40" t="n">
        <v>0</v>
      </c>
      <c r="L11" s="39" t="n">
        <v>1.00493</v>
      </c>
      <c r="M11" s="40" t="n">
        <v>-1E-005</v>
      </c>
      <c r="N11" s="39" t="n">
        <v>1.00089</v>
      </c>
      <c r="O11" s="40" t="n">
        <v>0</v>
      </c>
      <c r="P11" s="39" t="n">
        <v>1.00351</v>
      </c>
      <c r="Q11" s="40" t="n">
        <v>-1E-005</v>
      </c>
      <c r="R11" s="39" t="n">
        <v>0.98486</v>
      </c>
      <c r="S11" s="40" t="n">
        <v>2E-005</v>
      </c>
      <c r="T11" s="39" t="n">
        <v>0.99612</v>
      </c>
      <c r="U11" s="40" t="n">
        <v>1E-005</v>
      </c>
      <c r="V11" s="39" t="n">
        <v>0.98065</v>
      </c>
      <c r="W11" s="40" t="n">
        <v>3E-005</v>
      </c>
      <c r="X11" s="39" t="n">
        <v>0.99033</v>
      </c>
      <c r="Y11" s="40" t="n">
        <v>2E-005</v>
      </c>
    </row>
    <row r="12" customFormat="false" ht="15" hidden="false" customHeight="false" outlineLevel="0" collapsed="false">
      <c r="A12" s="38" t="n">
        <v>67</v>
      </c>
      <c r="B12" s="39" t="n">
        <v>1.00693</v>
      </c>
      <c r="C12" s="40" t="n">
        <v>1E-005</v>
      </c>
      <c r="D12" s="39" t="n">
        <v>1.04623</v>
      </c>
      <c r="E12" s="40" t="n">
        <v>-0.00013</v>
      </c>
      <c r="F12" s="39" t="n">
        <v>1.00907</v>
      </c>
      <c r="G12" s="40" t="n">
        <v>0</v>
      </c>
      <c r="H12" s="39" t="n">
        <v>1.00711</v>
      </c>
      <c r="I12" s="40" t="n">
        <v>-1E-005</v>
      </c>
      <c r="J12" s="39" t="n">
        <v>1.00019</v>
      </c>
      <c r="K12" s="40" t="n">
        <v>0</v>
      </c>
      <c r="L12" s="39" t="n">
        <v>1.00511</v>
      </c>
      <c r="M12" s="40" t="n">
        <v>-2E-005</v>
      </c>
      <c r="N12" s="39" t="n">
        <v>1.00103</v>
      </c>
      <c r="O12" s="40" t="n">
        <v>0</v>
      </c>
      <c r="P12" s="39" t="n">
        <v>1.00363</v>
      </c>
      <c r="Q12" s="40" t="n">
        <v>-1E-005</v>
      </c>
      <c r="R12" s="39" t="n">
        <v>0.98475</v>
      </c>
      <c r="S12" s="40" t="n">
        <v>3E-005</v>
      </c>
      <c r="T12" s="39" t="n">
        <v>0.9962</v>
      </c>
      <c r="U12" s="40" t="n">
        <v>0</v>
      </c>
      <c r="V12" s="39" t="n">
        <v>0.98043</v>
      </c>
      <c r="W12" s="40" t="n">
        <v>3E-005</v>
      </c>
      <c r="X12" s="39" t="n">
        <v>0.99012</v>
      </c>
      <c r="Y12" s="40" t="n">
        <v>2E-005</v>
      </c>
    </row>
    <row r="13" customFormat="false" ht="15" hidden="false" customHeight="false" outlineLevel="0" collapsed="false">
      <c r="A13" s="38" t="n">
        <v>68</v>
      </c>
      <c r="B13" s="39" t="n">
        <v>1.00666</v>
      </c>
      <c r="C13" s="40" t="n">
        <v>2E-005</v>
      </c>
      <c r="D13" s="39" t="n">
        <v>1.04747</v>
      </c>
      <c r="E13" s="40" t="n">
        <v>-9E-005</v>
      </c>
      <c r="F13" s="39" t="n">
        <v>1.00904</v>
      </c>
      <c r="G13" s="40" t="n">
        <v>0</v>
      </c>
      <c r="H13" s="39" t="n">
        <v>1.00695</v>
      </c>
      <c r="I13" s="40" t="n">
        <v>-1E-005</v>
      </c>
      <c r="J13" s="39" t="n">
        <v>1.00018</v>
      </c>
      <c r="K13" s="40" t="n">
        <v>0</v>
      </c>
      <c r="L13" s="39" t="n">
        <v>1.00517</v>
      </c>
      <c r="M13" s="40" t="n">
        <v>-2E-005</v>
      </c>
      <c r="N13" s="39" t="n">
        <v>1.00074</v>
      </c>
      <c r="O13" s="40" t="n">
        <v>0</v>
      </c>
      <c r="P13" s="39" t="n">
        <v>1.00384</v>
      </c>
      <c r="Q13" s="40" t="n">
        <v>-1E-005</v>
      </c>
      <c r="R13" s="39" t="n">
        <v>0.98433</v>
      </c>
      <c r="S13" s="40" t="n">
        <v>3E-005</v>
      </c>
      <c r="T13" s="39" t="n">
        <v>0.9961</v>
      </c>
      <c r="U13" s="40" t="n">
        <v>0</v>
      </c>
      <c r="V13" s="39" t="n">
        <v>0.97986</v>
      </c>
      <c r="W13" s="40" t="n">
        <v>2E-005</v>
      </c>
      <c r="X13" s="39" t="n">
        <v>0.98991</v>
      </c>
      <c r="Y13" s="40" t="n">
        <v>2E-005</v>
      </c>
    </row>
    <row r="14" customFormat="false" ht="15" hidden="false" customHeight="false" outlineLevel="0" collapsed="false">
      <c r="A14" s="38" t="n">
        <v>69</v>
      </c>
      <c r="B14" s="39" t="n">
        <v>1.00635</v>
      </c>
      <c r="C14" s="40" t="n">
        <v>2E-005</v>
      </c>
      <c r="D14" s="39" t="n">
        <v>1.04849</v>
      </c>
      <c r="E14" s="40" t="n">
        <v>-0.00012</v>
      </c>
      <c r="F14" s="39" t="n">
        <v>1.00924</v>
      </c>
      <c r="G14" s="40" t="n">
        <v>0</v>
      </c>
      <c r="H14" s="39" t="n">
        <v>1.00712</v>
      </c>
      <c r="I14" s="40" t="n">
        <v>-1E-005</v>
      </c>
      <c r="J14" s="39" t="n">
        <v>0.99996</v>
      </c>
      <c r="K14" s="40" t="n">
        <v>0</v>
      </c>
      <c r="L14" s="39" t="n">
        <v>1.00533</v>
      </c>
      <c r="M14" s="40" t="n">
        <v>-1E-005</v>
      </c>
      <c r="N14" s="39" t="n">
        <v>1.00083</v>
      </c>
      <c r="O14" s="40" t="n">
        <v>1E-005</v>
      </c>
      <c r="P14" s="39" t="n">
        <v>1.004</v>
      </c>
      <c r="Q14" s="40" t="n">
        <v>-1E-005</v>
      </c>
      <c r="R14" s="39" t="n">
        <v>0.984</v>
      </c>
      <c r="S14" s="40" t="n">
        <v>2E-005</v>
      </c>
      <c r="T14" s="39" t="n">
        <v>0.99596</v>
      </c>
      <c r="U14" s="40" t="n">
        <v>0</v>
      </c>
      <c r="V14" s="39" t="n">
        <v>0.97966</v>
      </c>
      <c r="W14" s="40" t="n">
        <v>3E-005</v>
      </c>
      <c r="X14" s="39" t="n">
        <v>0.98961</v>
      </c>
      <c r="Y14" s="40" t="n">
        <v>1E-005</v>
      </c>
    </row>
    <row r="15" customFormat="false" ht="15" hidden="false" customHeight="false" outlineLevel="0" collapsed="false">
      <c r="A15" s="38" t="n">
        <v>70</v>
      </c>
      <c r="B15" s="39" t="n">
        <v>1.00599</v>
      </c>
      <c r="C15" s="40" t="n">
        <v>1E-005</v>
      </c>
      <c r="D15" s="39" t="n">
        <v>1.05011</v>
      </c>
      <c r="E15" s="40" t="n">
        <v>-9E-005</v>
      </c>
      <c r="F15" s="39" t="n">
        <v>1.00909</v>
      </c>
      <c r="G15" s="40" t="n">
        <v>0</v>
      </c>
      <c r="H15" s="39" t="n">
        <v>1.00744</v>
      </c>
      <c r="I15" s="40" t="n">
        <v>-1E-005</v>
      </c>
      <c r="J15" s="39" t="n">
        <v>1.0002</v>
      </c>
      <c r="K15" s="40" t="n">
        <v>0</v>
      </c>
      <c r="L15" s="39" t="n">
        <v>1.00522</v>
      </c>
      <c r="M15" s="40" t="n">
        <v>-1E-005</v>
      </c>
      <c r="N15" s="39" t="n">
        <v>1.0006</v>
      </c>
      <c r="O15" s="40" t="n">
        <v>1E-005</v>
      </c>
      <c r="P15" s="39" t="n">
        <v>1.00387</v>
      </c>
      <c r="Q15" s="40" t="n">
        <v>-1E-005</v>
      </c>
      <c r="R15" s="39" t="n">
        <v>0.98357</v>
      </c>
      <c r="S15" s="40" t="n">
        <v>2E-005</v>
      </c>
      <c r="T15" s="39" t="n">
        <v>0.99605</v>
      </c>
      <c r="U15" s="40" t="n">
        <v>1E-005</v>
      </c>
      <c r="V15" s="39" t="n">
        <v>0.97941</v>
      </c>
      <c r="W15" s="40" t="n">
        <v>3E-005</v>
      </c>
      <c r="X15" s="39" t="n">
        <v>0.98958</v>
      </c>
      <c r="Y15" s="40" t="n">
        <v>1E-005</v>
      </c>
    </row>
    <row r="16" customFormat="false" ht="15" hidden="false" customHeight="false" outlineLevel="0" collapsed="false">
      <c r="A16" s="38" t="n">
        <v>71</v>
      </c>
      <c r="B16" s="39" t="n">
        <v>1.00595</v>
      </c>
      <c r="C16" s="40" t="n">
        <v>0</v>
      </c>
      <c r="D16" s="39" t="n">
        <v>1.05071</v>
      </c>
      <c r="E16" s="40" t="n">
        <v>-6E-005</v>
      </c>
      <c r="F16" s="39" t="n">
        <v>1.00916</v>
      </c>
      <c r="G16" s="40" t="n">
        <v>-1E-005</v>
      </c>
      <c r="H16" s="39" t="n">
        <v>1.0075</v>
      </c>
      <c r="I16" s="40" t="n">
        <v>-1E-005</v>
      </c>
      <c r="J16" s="39" t="n">
        <v>1.0004</v>
      </c>
      <c r="K16" s="40" t="n">
        <v>0</v>
      </c>
      <c r="L16" s="39" t="n">
        <v>1.00551</v>
      </c>
      <c r="M16" s="40" t="n">
        <v>-1E-005</v>
      </c>
      <c r="N16" s="39" t="n">
        <v>1.00062</v>
      </c>
      <c r="O16" s="40" t="n">
        <v>1E-005</v>
      </c>
      <c r="P16" s="39" t="n">
        <v>1.00402</v>
      </c>
      <c r="Q16" s="40" t="n">
        <v>-1E-005</v>
      </c>
      <c r="R16" s="39" t="n">
        <v>0.98327</v>
      </c>
      <c r="S16" s="40" t="n">
        <v>3E-005</v>
      </c>
      <c r="T16" s="39" t="n">
        <v>0.99598</v>
      </c>
      <c r="U16" s="40" t="n">
        <v>1E-005</v>
      </c>
      <c r="V16" s="39" t="n">
        <v>0.97921</v>
      </c>
      <c r="W16" s="40" t="n">
        <v>3E-005</v>
      </c>
      <c r="X16" s="39" t="n">
        <v>0.98951</v>
      </c>
      <c r="Y16" s="40" t="n">
        <v>2E-005</v>
      </c>
    </row>
    <row r="17" customFormat="false" ht="15" hidden="false" customHeight="false" outlineLevel="0" collapsed="false">
      <c r="A17" s="38" t="n">
        <v>72</v>
      </c>
      <c r="B17" s="39" t="n">
        <v>1.00604</v>
      </c>
      <c r="C17" s="40" t="n">
        <v>0</v>
      </c>
      <c r="D17" s="39" t="n">
        <v>1.04977</v>
      </c>
      <c r="E17" s="40" t="n">
        <v>-7E-005</v>
      </c>
      <c r="F17" s="39" t="n">
        <v>1.00943</v>
      </c>
      <c r="G17" s="40" t="n">
        <v>-1E-005</v>
      </c>
      <c r="H17" s="39" t="n">
        <v>1.00761</v>
      </c>
      <c r="I17" s="40" t="n">
        <v>-1E-005</v>
      </c>
      <c r="J17" s="39" t="n">
        <v>1.00037</v>
      </c>
      <c r="K17" s="40" t="n">
        <v>0</v>
      </c>
      <c r="L17" s="39" t="n">
        <v>1.00583</v>
      </c>
      <c r="M17" s="40" t="n">
        <v>-1E-005</v>
      </c>
      <c r="N17" s="39" t="n">
        <v>1.00061</v>
      </c>
      <c r="O17" s="40" t="n">
        <v>0</v>
      </c>
      <c r="P17" s="39" t="n">
        <v>1.00416</v>
      </c>
      <c r="Q17" s="40" t="n">
        <v>0</v>
      </c>
      <c r="R17" s="39" t="n">
        <v>0.983</v>
      </c>
      <c r="S17" s="40" t="n">
        <v>2E-005</v>
      </c>
      <c r="T17" s="39" t="n">
        <v>0.99582</v>
      </c>
      <c r="U17" s="40" t="n">
        <v>1E-005</v>
      </c>
      <c r="V17" s="39" t="n">
        <v>0.97887</v>
      </c>
      <c r="W17" s="40" t="n">
        <v>2E-005</v>
      </c>
      <c r="X17" s="39" t="n">
        <v>0.9892</v>
      </c>
      <c r="Y17" s="40" t="n">
        <v>1E-005</v>
      </c>
    </row>
    <row r="18" customFormat="false" ht="15" hidden="false" customHeight="false" outlineLevel="0" collapsed="false">
      <c r="A18" s="38" t="n">
        <v>73</v>
      </c>
      <c r="B18" s="39" t="n">
        <v>1.00584</v>
      </c>
      <c r="C18" s="40" t="n">
        <v>0</v>
      </c>
      <c r="D18" s="39" t="n">
        <v>1.05365</v>
      </c>
      <c r="E18" s="40" t="n">
        <v>-0.0001</v>
      </c>
      <c r="F18" s="39" t="n">
        <v>1.00917</v>
      </c>
      <c r="G18" s="40" t="n">
        <v>-1E-005</v>
      </c>
      <c r="H18" s="39" t="n">
        <v>1.00788</v>
      </c>
      <c r="I18" s="40" t="n">
        <v>-1E-005</v>
      </c>
      <c r="J18" s="39" t="n">
        <v>1.00033</v>
      </c>
      <c r="K18" s="40" t="n">
        <v>-1E-005</v>
      </c>
      <c r="L18" s="39" t="n">
        <v>1.00591</v>
      </c>
      <c r="M18" s="40" t="n">
        <v>-1E-005</v>
      </c>
      <c r="N18" s="39" t="n">
        <v>1.00043</v>
      </c>
      <c r="O18" s="40" t="n">
        <v>1E-005</v>
      </c>
      <c r="P18" s="39" t="n">
        <v>1.00414</v>
      </c>
      <c r="Q18" s="40" t="n">
        <v>-1E-005</v>
      </c>
      <c r="R18" s="39" t="n">
        <v>0.983</v>
      </c>
      <c r="S18" s="40" t="n">
        <v>2E-005</v>
      </c>
      <c r="T18" s="39" t="n">
        <v>0.9956</v>
      </c>
      <c r="U18" s="40" t="n">
        <v>1E-005</v>
      </c>
      <c r="V18" s="39" t="n">
        <v>0.97839</v>
      </c>
      <c r="W18" s="40" t="n">
        <v>3E-005</v>
      </c>
      <c r="X18" s="39" t="n">
        <v>0.98908</v>
      </c>
      <c r="Y18" s="40" t="n">
        <v>1E-005</v>
      </c>
    </row>
    <row r="19" customFormat="false" ht="15" hidden="false" customHeight="false" outlineLevel="0" collapsed="false">
      <c r="A19" s="38" t="n">
        <v>74</v>
      </c>
      <c r="B19" s="39" t="n">
        <v>1.00651</v>
      </c>
      <c r="C19" s="40" t="n">
        <v>-1E-005</v>
      </c>
      <c r="D19" s="39" t="n">
        <v>1.05356</v>
      </c>
      <c r="E19" s="40" t="n">
        <v>-9E-005</v>
      </c>
      <c r="F19" s="39" t="n">
        <v>1.00924</v>
      </c>
      <c r="G19" s="40" t="n">
        <v>-1E-005</v>
      </c>
      <c r="H19" s="39" t="n">
        <v>1.00781</v>
      </c>
      <c r="I19" s="40" t="n">
        <v>-1E-005</v>
      </c>
      <c r="J19" s="39" t="n">
        <v>1.0003</v>
      </c>
      <c r="K19" s="40" t="n">
        <v>0</v>
      </c>
      <c r="L19" s="39" t="n">
        <v>1.00596</v>
      </c>
      <c r="M19" s="40" t="n">
        <v>-1E-005</v>
      </c>
      <c r="N19" s="39" t="n">
        <v>1.00027</v>
      </c>
      <c r="O19" s="40" t="n">
        <v>1E-005</v>
      </c>
      <c r="P19" s="39" t="n">
        <v>1.00434</v>
      </c>
      <c r="Q19" s="40" t="n">
        <v>-1E-005</v>
      </c>
      <c r="R19" s="39" t="n">
        <v>0.98252</v>
      </c>
      <c r="S19" s="40" t="n">
        <v>2E-005</v>
      </c>
      <c r="T19" s="39" t="n">
        <v>0.99556</v>
      </c>
      <c r="U19" s="40" t="n">
        <v>1E-005</v>
      </c>
      <c r="V19" s="39" t="n">
        <v>0.97817</v>
      </c>
      <c r="W19" s="40" t="n">
        <v>3E-005</v>
      </c>
      <c r="X19" s="39" t="n">
        <v>0.9888</v>
      </c>
      <c r="Y19" s="40" t="n">
        <v>1E-005</v>
      </c>
    </row>
    <row r="20" customFormat="false" ht="15" hidden="false" customHeight="false" outlineLevel="0" collapsed="false">
      <c r="A20" s="38" t="n">
        <v>75</v>
      </c>
      <c r="B20" s="39" t="n">
        <v>1.00626</v>
      </c>
      <c r="C20" s="40" t="n">
        <v>0</v>
      </c>
      <c r="D20" s="39" t="n">
        <v>1.0533</v>
      </c>
      <c r="E20" s="40" t="n">
        <v>-8E-005</v>
      </c>
      <c r="F20" s="39" t="n">
        <v>1.00972</v>
      </c>
      <c r="G20" s="40" t="n">
        <v>-1E-005</v>
      </c>
      <c r="H20" s="39" t="n">
        <v>1.0078</v>
      </c>
      <c r="I20" s="40" t="n">
        <v>-1E-005</v>
      </c>
      <c r="J20" s="39" t="n">
        <v>1.00043</v>
      </c>
      <c r="K20" s="40" t="n">
        <v>0</v>
      </c>
      <c r="L20" s="39" t="n">
        <v>1.00604</v>
      </c>
      <c r="M20" s="40" t="n">
        <v>-1E-005</v>
      </c>
      <c r="N20" s="39" t="n">
        <v>1.00052</v>
      </c>
      <c r="O20" s="40" t="n">
        <v>1E-005</v>
      </c>
      <c r="P20" s="39" t="n">
        <v>1.00445</v>
      </c>
      <c r="Q20" s="40" t="n">
        <v>-1E-005</v>
      </c>
      <c r="R20" s="39" t="n">
        <v>0.98223</v>
      </c>
      <c r="S20" s="40" t="n">
        <v>3E-005</v>
      </c>
      <c r="T20" s="39" t="n">
        <v>0.99552</v>
      </c>
      <c r="U20" s="40" t="n">
        <v>0</v>
      </c>
      <c r="V20" s="39" t="n">
        <v>0.97783</v>
      </c>
      <c r="W20" s="40" t="n">
        <v>3E-005</v>
      </c>
      <c r="X20" s="39" t="n">
        <v>0.98867</v>
      </c>
      <c r="Y20" s="40" t="n">
        <v>1E-005</v>
      </c>
    </row>
    <row r="21" customFormat="false" ht="15" hidden="false" customHeight="false" outlineLevel="0" collapsed="false">
      <c r="A21" s="38" t="n">
        <v>76</v>
      </c>
      <c r="B21" s="39" t="n">
        <v>1.00612</v>
      </c>
      <c r="C21" s="40" t="n">
        <v>0</v>
      </c>
      <c r="D21" s="39" t="n">
        <v>1.05604</v>
      </c>
      <c r="E21" s="40" t="n">
        <v>-0.00011</v>
      </c>
      <c r="F21" s="39" t="n">
        <v>1.00966</v>
      </c>
      <c r="G21" s="40" t="n">
        <v>-1E-005</v>
      </c>
      <c r="H21" s="39" t="n">
        <v>1.00802</v>
      </c>
      <c r="I21" s="40" t="n">
        <v>-1E-005</v>
      </c>
      <c r="J21" s="39" t="n">
        <v>1.00041</v>
      </c>
      <c r="K21" s="40" t="n">
        <v>0</v>
      </c>
      <c r="L21" s="39" t="n">
        <v>1.00608</v>
      </c>
      <c r="M21" s="40" t="n">
        <v>-1E-005</v>
      </c>
      <c r="N21" s="39" t="n">
        <v>1.00022</v>
      </c>
      <c r="O21" s="40" t="n">
        <v>2E-005</v>
      </c>
      <c r="P21" s="39" t="n">
        <v>1.00422</v>
      </c>
      <c r="Q21" s="40" t="n">
        <v>0</v>
      </c>
      <c r="R21" s="39" t="n">
        <v>0.98192</v>
      </c>
      <c r="S21" s="40" t="n">
        <v>3E-005</v>
      </c>
      <c r="T21" s="39" t="n">
        <v>0.99549</v>
      </c>
      <c r="U21" s="40" t="n">
        <v>0</v>
      </c>
      <c r="V21" s="39" t="n">
        <v>0.9776</v>
      </c>
      <c r="W21" s="40" t="n">
        <v>2E-005</v>
      </c>
      <c r="X21" s="39" t="n">
        <v>0.98878</v>
      </c>
      <c r="Y21" s="40" t="n">
        <v>1E-005</v>
      </c>
    </row>
    <row r="22" customFormat="false" ht="15" hidden="false" customHeight="false" outlineLevel="0" collapsed="false">
      <c r="A22" s="38" t="n">
        <v>77</v>
      </c>
      <c r="B22" s="39" t="n">
        <v>1.00599</v>
      </c>
      <c r="C22" s="40" t="n">
        <v>0</v>
      </c>
      <c r="D22" s="39" t="n">
        <v>1.05814</v>
      </c>
      <c r="E22" s="40" t="n">
        <v>-9E-005</v>
      </c>
      <c r="F22" s="39" t="n">
        <v>1.00974</v>
      </c>
      <c r="G22" s="40" t="n">
        <v>-1E-005</v>
      </c>
      <c r="H22" s="39" t="n">
        <v>1.00825</v>
      </c>
      <c r="I22" s="40" t="n">
        <v>-1E-005</v>
      </c>
      <c r="J22" s="39" t="n">
        <v>1.00037</v>
      </c>
      <c r="K22" s="40" t="n">
        <v>0</v>
      </c>
      <c r="L22" s="39" t="n">
        <v>1.0061</v>
      </c>
      <c r="M22" s="40" t="n">
        <v>-1E-005</v>
      </c>
      <c r="N22" s="39" t="n">
        <v>0.9997</v>
      </c>
      <c r="O22" s="40" t="n">
        <v>1E-005</v>
      </c>
      <c r="P22" s="39" t="n">
        <v>1.00448</v>
      </c>
      <c r="Q22" s="40" t="n">
        <v>0</v>
      </c>
      <c r="R22" s="39" t="n">
        <v>0.98162</v>
      </c>
      <c r="S22" s="40" t="n">
        <v>2E-005</v>
      </c>
      <c r="T22" s="39" t="n">
        <v>0.99551</v>
      </c>
      <c r="U22" s="40" t="n">
        <v>0</v>
      </c>
      <c r="V22" s="39" t="n">
        <v>0.97729</v>
      </c>
      <c r="W22" s="40" t="n">
        <v>2E-005</v>
      </c>
      <c r="X22" s="39" t="n">
        <v>0.98887</v>
      </c>
      <c r="Y22" s="40" t="n">
        <v>1E-005</v>
      </c>
    </row>
    <row r="23" customFormat="false" ht="15" hidden="false" customHeight="false" outlineLevel="0" collapsed="false">
      <c r="A23" s="38" t="n">
        <v>78</v>
      </c>
      <c r="B23" s="39" t="n">
        <v>1.00616</v>
      </c>
      <c r="C23" s="40" t="n">
        <v>1E-005</v>
      </c>
      <c r="D23" s="39" t="n">
        <v>1.05736</v>
      </c>
      <c r="E23" s="40" t="n">
        <v>-8E-005</v>
      </c>
      <c r="F23" s="39" t="n">
        <v>1.00973</v>
      </c>
      <c r="G23" s="40" t="n">
        <v>-1E-005</v>
      </c>
      <c r="H23" s="39" t="n">
        <v>1.00848</v>
      </c>
      <c r="I23" s="40" t="n">
        <v>-1E-005</v>
      </c>
      <c r="J23" s="39" t="n">
        <v>1.00027</v>
      </c>
      <c r="K23" s="40" t="n">
        <v>0</v>
      </c>
      <c r="L23" s="39" t="n">
        <v>1.00647</v>
      </c>
      <c r="M23" s="40" t="n">
        <v>-1E-005</v>
      </c>
      <c r="N23" s="39" t="n">
        <v>0.99965</v>
      </c>
      <c r="O23" s="40" t="n">
        <v>2E-005</v>
      </c>
      <c r="P23" s="39" t="n">
        <v>1.00454</v>
      </c>
      <c r="Q23" s="40" t="n">
        <v>0</v>
      </c>
      <c r="R23" s="39" t="n">
        <v>0.98137</v>
      </c>
      <c r="S23" s="40" t="n">
        <v>2E-005</v>
      </c>
      <c r="T23" s="39" t="n">
        <v>0.9955</v>
      </c>
      <c r="U23" s="40" t="n">
        <v>0</v>
      </c>
      <c r="V23" s="39" t="n">
        <v>0.97707</v>
      </c>
      <c r="W23" s="40" t="n">
        <v>2E-005</v>
      </c>
      <c r="X23" s="39" t="n">
        <v>0.98853</v>
      </c>
      <c r="Y23" s="40" t="n">
        <v>1E-005</v>
      </c>
    </row>
    <row r="24" customFormat="false" ht="15" hidden="false" customHeight="false" outlineLevel="0" collapsed="false">
      <c r="A24" s="38" t="n">
        <v>79</v>
      </c>
      <c r="B24" s="39" t="n">
        <v>1.00617</v>
      </c>
      <c r="C24" s="40" t="n">
        <v>1E-005</v>
      </c>
      <c r="D24" s="39" t="n">
        <v>1.0578</v>
      </c>
      <c r="E24" s="40" t="n">
        <v>-7E-005</v>
      </c>
      <c r="F24" s="39" t="n">
        <v>1.0097</v>
      </c>
      <c r="G24" s="40" t="n">
        <v>0</v>
      </c>
      <c r="H24" s="39" t="n">
        <v>1.00827</v>
      </c>
      <c r="I24" s="40" t="n">
        <v>0</v>
      </c>
      <c r="J24" s="39" t="n">
        <v>1.00027</v>
      </c>
      <c r="K24" s="40" t="n">
        <v>0</v>
      </c>
      <c r="L24" s="39" t="n">
        <v>1.00668</v>
      </c>
      <c r="M24" s="40" t="n">
        <v>-1E-005</v>
      </c>
      <c r="N24" s="39" t="n">
        <v>0.99935</v>
      </c>
      <c r="O24" s="40" t="n">
        <v>2E-005</v>
      </c>
      <c r="P24" s="39" t="n">
        <v>1.00448</v>
      </c>
      <c r="Q24" s="40" t="n">
        <v>0</v>
      </c>
      <c r="R24" s="39" t="n">
        <v>0.98109</v>
      </c>
      <c r="S24" s="40" t="n">
        <v>2E-005</v>
      </c>
      <c r="T24" s="39" t="n">
        <v>0.99553</v>
      </c>
      <c r="U24" s="40" t="n">
        <v>0</v>
      </c>
      <c r="V24" s="39" t="n">
        <v>0.97674</v>
      </c>
      <c r="W24" s="40" t="n">
        <v>2E-005</v>
      </c>
      <c r="X24" s="39" t="n">
        <v>0.98822</v>
      </c>
      <c r="Y24" s="40" t="n">
        <v>1E-005</v>
      </c>
    </row>
    <row r="25" customFormat="false" ht="15" hidden="false" customHeight="false" outlineLevel="0" collapsed="false">
      <c r="A25" s="38" t="n">
        <v>80</v>
      </c>
      <c r="B25" s="39" t="n">
        <v>1.00573</v>
      </c>
      <c r="C25" s="40" t="n">
        <v>1E-005</v>
      </c>
      <c r="D25" s="39" t="n">
        <v>1.06063</v>
      </c>
      <c r="E25" s="40" t="n">
        <v>-3E-005</v>
      </c>
      <c r="F25" s="39" t="n">
        <v>1.01006</v>
      </c>
      <c r="G25" s="40" t="n">
        <v>0</v>
      </c>
      <c r="H25" s="39" t="n">
        <v>1.00848</v>
      </c>
      <c r="I25" s="40" t="n">
        <v>1E-005</v>
      </c>
      <c r="J25" s="39" t="n">
        <v>1.00034</v>
      </c>
      <c r="K25" s="40" t="n">
        <v>0</v>
      </c>
      <c r="L25" s="39" t="n">
        <v>1.00666</v>
      </c>
      <c r="M25" s="40" t="n">
        <v>-1E-005</v>
      </c>
      <c r="N25" s="39" t="n">
        <v>0.99935</v>
      </c>
      <c r="O25" s="40" t="n">
        <v>2E-005</v>
      </c>
      <c r="P25" s="39" t="n">
        <v>1.00449</v>
      </c>
      <c r="Q25" s="40" t="n">
        <v>0</v>
      </c>
      <c r="R25" s="39" t="n">
        <v>0.98086</v>
      </c>
      <c r="S25" s="40" t="n">
        <v>1E-005</v>
      </c>
      <c r="T25" s="39" t="n">
        <v>0.99551</v>
      </c>
      <c r="U25" s="40" t="n">
        <v>0</v>
      </c>
      <c r="V25" s="39" t="n">
        <v>0.97656</v>
      </c>
      <c r="W25" s="40" t="n">
        <v>2E-005</v>
      </c>
      <c r="X25" s="39" t="n">
        <v>0.98822</v>
      </c>
      <c r="Y25" s="40" t="n">
        <v>2E-005</v>
      </c>
    </row>
    <row r="26" customFormat="false" ht="15" hidden="false" customHeight="false" outlineLevel="0" collapsed="false">
      <c r="A26" s="38" t="n">
        <v>81</v>
      </c>
      <c r="B26" s="39" t="n">
        <v>1.00577</v>
      </c>
      <c r="C26" s="40" t="n">
        <v>1E-005</v>
      </c>
      <c r="D26" s="39" t="n">
        <v>1.06109</v>
      </c>
      <c r="E26" s="40" t="n">
        <v>-7E-005</v>
      </c>
      <c r="F26" s="39" t="n">
        <v>1.00998</v>
      </c>
      <c r="G26" s="40" t="n">
        <v>0</v>
      </c>
      <c r="H26" s="39" t="n">
        <v>1.00841</v>
      </c>
      <c r="I26" s="40" t="n">
        <v>0</v>
      </c>
      <c r="J26" s="39" t="n">
        <v>1.0002</v>
      </c>
      <c r="K26" s="40" t="n">
        <v>0</v>
      </c>
      <c r="L26" s="39" t="n">
        <v>1.00686</v>
      </c>
      <c r="M26" s="40" t="n">
        <v>-1E-005</v>
      </c>
      <c r="N26" s="39" t="n">
        <v>0.99917</v>
      </c>
      <c r="O26" s="40" t="n">
        <v>2E-005</v>
      </c>
      <c r="P26" s="39" t="n">
        <v>1.00447</v>
      </c>
      <c r="Q26" s="40" t="n">
        <v>1E-005</v>
      </c>
      <c r="R26" s="39" t="n">
        <v>0.98092</v>
      </c>
      <c r="S26" s="40" t="n">
        <v>1E-005</v>
      </c>
      <c r="T26" s="39" t="n">
        <v>0.99537</v>
      </c>
      <c r="U26" s="40" t="n">
        <v>0</v>
      </c>
      <c r="V26" s="39" t="n">
        <v>0.97629</v>
      </c>
      <c r="W26" s="40" t="n">
        <v>2E-005</v>
      </c>
      <c r="X26" s="39" t="n">
        <v>0.9879</v>
      </c>
      <c r="Y26" s="40" t="n">
        <v>1E-005</v>
      </c>
    </row>
    <row r="27" customFormat="false" ht="15" hidden="false" customHeight="false" outlineLevel="0" collapsed="false">
      <c r="A27" s="38" t="n">
        <v>82</v>
      </c>
      <c r="B27" s="39" t="n">
        <v>1.00553</v>
      </c>
      <c r="C27" s="40" t="n">
        <v>2E-005</v>
      </c>
      <c r="D27" s="39" t="n">
        <v>1.06025</v>
      </c>
      <c r="E27" s="40" t="n">
        <v>-0.00011</v>
      </c>
      <c r="F27" s="39" t="n">
        <v>1.0099</v>
      </c>
      <c r="G27" s="40" t="n">
        <v>0</v>
      </c>
      <c r="H27" s="39" t="n">
        <v>1.00818</v>
      </c>
      <c r="I27" s="40" t="n">
        <v>0</v>
      </c>
      <c r="J27" s="39" t="n">
        <v>1.00012</v>
      </c>
      <c r="K27" s="40" t="n">
        <v>0</v>
      </c>
      <c r="L27" s="39" t="n">
        <v>1.00688</v>
      </c>
      <c r="M27" s="40" t="n">
        <v>0</v>
      </c>
      <c r="N27" s="39" t="n">
        <v>0.99874</v>
      </c>
      <c r="O27" s="40" t="n">
        <v>3E-005</v>
      </c>
      <c r="P27" s="39" t="n">
        <v>1.00448</v>
      </c>
      <c r="Q27" s="40" t="n">
        <v>1E-005</v>
      </c>
      <c r="R27" s="39" t="n">
        <v>0.9806</v>
      </c>
      <c r="S27" s="40" t="n">
        <v>2E-005</v>
      </c>
      <c r="T27" s="39" t="n">
        <v>0.99528</v>
      </c>
      <c r="U27" s="40" t="n">
        <v>0</v>
      </c>
      <c r="V27" s="39" t="n">
        <v>0.97619</v>
      </c>
      <c r="W27" s="40" t="n">
        <v>2E-005</v>
      </c>
      <c r="X27" s="39" t="n">
        <v>0.9878</v>
      </c>
      <c r="Y27" s="40" t="n">
        <v>1E-005</v>
      </c>
    </row>
    <row r="28" customFormat="false" ht="15" hidden="false" customHeight="false" outlineLevel="0" collapsed="false">
      <c r="A28" s="38" t="n">
        <v>83</v>
      </c>
      <c r="B28" s="39" t="n">
        <v>1.00545</v>
      </c>
      <c r="C28" s="40" t="n">
        <v>2E-005</v>
      </c>
      <c r="D28" s="39" t="n">
        <v>1.0607</v>
      </c>
      <c r="E28" s="40" t="n">
        <v>-0.00012</v>
      </c>
      <c r="F28" s="39" t="n">
        <v>1.0094</v>
      </c>
      <c r="G28" s="40" t="n">
        <v>0</v>
      </c>
      <c r="H28" s="39" t="n">
        <v>1.00808</v>
      </c>
      <c r="I28" s="40" t="n">
        <v>-1E-005</v>
      </c>
      <c r="J28" s="39" t="n">
        <v>1.00024</v>
      </c>
      <c r="K28" s="40" t="n">
        <v>0</v>
      </c>
      <c r="L28" s="39" t="n">
        <v>1.00689</v>
      </c>
      <c r="M28" s="40" t="n">
        <v>0</v>
      </c>
      <c r="N28" s="39" t="n">
        <v>0.99827</v>
      </c>
      <c r="O28" s="40" t="n">
        <v>3E-005</v>
      </c>
      <c r="P28" s="39" t="n">
        <v>1.00442</v>
      </c>
      <c r="Q28" s="40" t="n">
        <v>0</v>
      </c>
      <c r="R28" s="39" t="n">
        <v>0.98048</v>
      </c>
      <c r="S28" s="40" t="n">
        <v>2E-005</v>
      </c>
      <c r="T28" s="39" t="n">
        <v>0.99535</v>
      </c>
      <c r="U28" s="40" t="n">
        <v>1E-005</v>
      </c>
      <c r="V28" s="39" t="n">
        <v>0.97587</v>
      </c>
      <c r="W28" s="40" t="n">
        <v>2E-005</v>
      </c>
      <c r="X28" s="39" t="n">
        <v>0.98771</v>
      </c>
      <c r="Y28" s="40" t="n">
        <v>1E-005</v>
      </c>
    </row>
    <row r="29" customFormat="false" ht="15" hidden="false" customHeight="false" outlineLevel="0" collapsed="false">
      <c r="A29" s="38" t="n">
        <v>84</v>
      </c>
      <c r="B29" s="39" t="n">
        <v>1.00509</v>
      </c>
      <c r="C29" s="40" t="n">
        <v>2E-005</v>
      </c>
      <c r="D29" s="39" t="n">
        <v>1.06278</v>
      </c>
      <c r="E29" s="40" t="n">
        <v>-0.0001</v>
      </c>
      <c r="F29" s="39" t="n">
        <v>1.00946</v>
      </c>
      <c r="G29" s="40" t="n">
        <v>0</v>
      </c>
      <c r="H29" s="39" t="n">
        <v>1.00817</v>
      </c>
      <c r="I29" s="40" t="n">
        <v>-1E-005</v>
      </c>
      <c r="J29" s="39" t="n">
        <v>1.00014</v>
      </c>
      <c r="K29" s="40" t="n">
        <v>0</v>
      </c>
      <c r="L29" s="39" t="n">
        <v>1.00687</v>
      </c>
      <c r="M29" s="40" t="n">
        <v>0</v>
      </c>
      <c r="N29" s="39" t="n">
        <v>0.99796</v>
      </c>
      <c r="O29" s="40" t="n">
        <v>3E-005</v>
      </c>
      <c r="P29" s="39" t="n">
        <v>1.00424</v>
      </c>
      <c r="Q29" s="40" t="n">
        <v>0</v>
      </c>
      <c r="R29" s="39" t="n">
        <v>0.9804</v>
      </c>
      <c r="S29" s="40" t="n">
        <v>2E-005</v>
      </c>
      <c r="T29" s="39" t="n">
        <v>0.99525</v>
      </c>
      <c r="U29" s="40" t="n">
        <v>1E-005</v>
      </c>
      <c r="V29" s="39" t="n">
        <v>0.9756</v>
      </c>
      <c r="W29" s="40" t="n">
        <v>2E-005</v>
      </c>
      <c r="X29" s="39" t="n">
        <v>0.98766</v>
      </c>
      <c r="Y29" s="40" t="n">
        <v>1E-005</v>
      </c>
    </row>
    <row r="30" customFormat="false" ht="15" hidden="false" customHeight="false" outlineLevel="0" collapsed="false">
      <c r="A30" s="38" t="n">
        <v>85</v>
      </c>
      <c r="B30" s="39" t="n">
        <v>1.00477</v>
      </c>
      <c r="C30" s="40" t="n">
        <v>2E-005</v>
      </c>
      <c r="D30" s="39" t="n">
        <v>1.06679</v>
      </c>
      <c r="E30" s="40" t="n">
        <v>-0.00012</v>
      </c>
      <c r="F30" s="39" t="n">
        <v>1.00965</v>
      </c>
      <c r="G30" s="40" t="n">
        <v>0</v>
      </c>
      <c r="H30" s="39" t="n">
        <v>1.00854</v>
      </c>
      <c r="I30" s="40" t="n">
        <v>-1E-005</v>
      </c>
      <c r="J30" s="39" t="n">
        <v>1.00005</v>
      </c>
      <c r="K30" s="40" t="n">
        <v>0</v>
      </c>
      <c r="L30" s="39" t="n">
        <v>1.00699</v>
      </c>
      <c r="M30" s="40" t="n">
        <v>0</v>
      </c>
      <c r="N30" s="39" t="n">
        <v>0.9976</v>
      </c>
      <c r="O30" s="40" t="n">
        <v>3E-005</v>
      </c>
      <c r="P30" s="39" t="n">
        <v>1.00407</v>
      </c>
      <c r="Q30" s="40" t="n">
        <v>1E-005</v>
      </c>
      <c r="R30" s="39" t="n">
        <v>0.98005</v>
      </c>
      <c r="S30" s="40" t="n">
        <v>2E-005</v>
      </c>
      <c r="T30" s="39" t="n">
        <v>0.99525</v>
      </c>
      <c r="U30" s="40" t="n">
        <v>1E-005</v>
      </c>
      <c r="V30" s="39" t="n">
        <v>0.97535</v>
      </c>
      <c r="W30" s="40" t="n">
        <v>3E-005</v>
      </c>
      <c r="X30" s="39" t="n">
        <v>0.9875</v>
      </c>
      <c r="Y30" s="40" t="n">
        <v>2E-005</v>
      </c>
    </row>
    <row r="31" customFormat="false" ht="15" hidden="false" customHeight="false" outlineLevel="0" collapsed="false">
      <c r="A31" s="38" t="n">
        <v>86</v>
      </c>
      <c r="B31" s="39" t="n">
        <v>1.00457</v>
      </c>
      <c r="C31" s="40" t="n">
        <v>2E-005</v>
      </c>
      <c r="D31" s="39" t="n">
        <v>1.06806</v>
      </c>
      <c r="E31" s="40" t="n">
        <v>-0.00013</v>
      </c>
      <c r="F31" s="39" t="n">
        <v>1.00985</v>
      </c>
      <c r="G31" s="40" t="n">
        <v>0</v>
      </c>
      <c r="H31" s="39" t="n">
        <v>1.0087</v>
      </c>
      <c r="I31" s="40" t="n">
        <v>-1E-005</v>
      </c>
      <c r="J31" s="39" t="n">
        <v>0.99996</v>
      </c>
      <c r="K31" s="40" t="n">
        <v>1E-005</v>
      </c>
      <c r="L31" s="39" t="n">
        <v>1.00704</v>
      </c>
      <c r="M31" s="40" t="n">
        <v>0</v>
      </c>
      <c r="N31" s="39" t="n">
        <v>0.99741</v>
      </c>
      <c r="O31" s="40" t="n">
        <v>2E-005</v>
      </c>
      <c r="P31" s="39" t="n">
        <v>1.00426</v>
      </c>
      <c r="Q31" s="40" t="n">
        <v>1E-005</v>
      </c>
      <c r="R31" s="39" t="n">
        <v>0.97953</v>
      </c>
      <c r="S31" s="40" t="n">
        <v>1E-005</v>
      </c>
      <c r="T31" s="39" t="n">
        <v>0.99513</v>
      </c>
      <c r="U31" s="40" t="n">
        <v>1E-005</v>
      </c>
      <c r="V31" s="39" t="n">
        <v>0.97502</v>
      </c>
      <c r="W31" s="40" t="n">
        <v>3E-005</v>
      </c>
      <c r="X31" s="39" t="n">
        <v>0.98735</v>
      </c>
      <c r="Y31" s="40" t="n">
        <v>2E-005</v>
      </c>
    </row>
    <row r="32" customFormat="false" ht="15" hidden="false" customHeight="false" outlineLevel="0" collapsed="false">
      <c r="A32" s="38" t="n">
        <v>87</v>
      </c>
      <c r="B32" s="39" t="n">
        <v>1.00451</v>
      </c>
      <c r="C32" s="40" t="n">
        <v>1E-005</v>
      </c>
      <c r="D32" s="39" t="n">
        <v>1.06764</v>
      </c>
      <c r="E32" s="40" t="n">
        <v>-0.00011</v>
      </c>
      <c r="F32" s="39" t="n">
        <v>1.00988</v>
      </c>
      <c r="G32" s="40" t="n">
        <v>0</v>
      </c>
      <c r="H32" s="39" t="n">
        <v>1.00882</v>
      </c>
      <c r="I32" s="40" t="n">
        <v>-1E-005</v>
      </c>
      <c r="J32" s="39" t="n">
        <v>0.99995</v>
      </c>
      <c r="K32" s="40" t="n">
        <v>1E-005</v>
      </c>
      <c r="L32" s="39" t="n">
        <v>1.00703</v>
      </c>
      <c r="M32" s="40" t="n">
        <v>0</v>
      </c>
      <c r="N32" s="39" t="n">
        <v>0.99707</v>
      </c>
      <c r="O32" s="40" t="n">
        <v>2E-005</v>
      </c>
      <c r="P32" s="39" t="n">
        <v>1.00414</v>
      </c>
      <c r="Q32" s="40" t="n">
        <v>0</v>
      </c>
      <c r="R32" s="39" t="n">
        <v>0.97958</v>
      </c>
      <c r="S32" s="40" t="n">
        <v>1E-005</v>
      </c>
      <c r="T32" s="39" t="n">
        <v>0.99493</v>
      </c>
      <c r="U32" s="40" t="n">
        <v>1E-005</v>
      </c>
      <c r="V32" s="39" t="n">
        <v>0.97451</v>
      </c>
      <c r="W32" s="40" t="n">
        <v>2E-005</v>
      </c>
      <c r="X32" s="39" t="n">
        <v>0.98714</v>
      </c>
      <c r="Y32" s="40" t="n">
        <v>2E-005</v>
      </c>
    </row>
    <row r="33" customFormat="false" ht="15" hidden="false" customHeight="false" outlineLevel="0" collapsed="false">
      <c r="A33" s="38" t="n">
        <v>88</v>
      </c>
      <c r="B33" s="39" t="n">
        <v>1.00435</v>
      </c>
      <c r="C33" s="40" t="n">
        <v>0</v>
      </c>
      <c r="D33" s="39" t="n">
        <v>1.06857</v>
      </c>
      <c r="E33" s="40" t="n">
        <v>-5E-005</v>
      </c>
      <c r="F33" s="39" t="n">
        <v>1.00971</v>
      </c>
      <c r="G33" s="40" t="n">
        <v>1E-005</v>
      </c>
      <c r="H33" s="39" t="n">
        <v>1.00869</v>
      </c>
      <c r="I33" s="40" t="n">
        <v>-1E-005</v>
      </c>
      <c r="J33" s="39" t="n">
        <v>0.99982</v>
      </c>
      <c r="K33" s="40" t="n">
        <v>1E-005</v>
      </c>
      <c r="L33" s="39" t="n">
        <v>1.00708</v>
      </c>
      <c r="M33" s="40" t="n">
        <v>0</v>
      </c>
      <c r="N33" s="39" t="n">
        <v>0.99664</v>
      </c>
      <c r="O33" s="40" t="n">
        <v>2E-005</v>
      </c>
      <c r="P33" s="39" t="n">
        <v>1.0041</v>
      </c>
      <c r="Q33" s="40" t="n">
        <v>0</v>
      </c>
      <c r="R33" s="39" t="n">
        <v>0.97964</v>
      </c>
      <c r="S33" s="40" t="n">
        <v>1E-005</v>
      </c>
      <c r="T33" s="39" t="n">
        <v>0.99486</v>
      </c>
      <c r="U33" s="40" t="n">
        <v>1E-005</v>
      </c>
      <c r="V33" s="39" t="n">
        <v>0.97434</v>
      </c>
      <c r="W33" s="40" t="n">
        <v>2E-005</v>
      </c>
      <c r="X33" s="39" t="n">
        <v>0.98677</v>
      </c>
      <c r="Y33" s="40" t="n">
        <v>2E-005</v>
      </c>
    </row>
    <row r="34" customFormat="false" ht="15" hidden="false" customHeight="false" outlineLevel="0" collapsed="false">
      <c r="A34" s="38" t="n">
        <v>89</v>
      </c>
      <c r="B34" s="39" t="n">
        <v>1.00398</v>
      </c>
      <c r="C34" s="40" t="n">
        <v>1E-005</v>
      </c>
      <c r="D34" s="39" t="n">
        <v>1.06961</v>
      </c>
      <c r="E34" s="40" t="n">
        <v>-4E-005</v>
      </c>
      <c r="F34" s="39" t="n">
        <v>1.00915</v>
      </c>
      <c r="G34" s="40" t="n">
        <v>2E-005</v>
      </c>
      <c r="H34" s="39" t="n">
        <v>1.00886</v>
      </c>
      <c r="I34" s="40" t="n">
        <v>0</v>
      </c>
      <c r="J34" s="39" t="n">
        <v>0.99952</v>
      </c>
      <c r="K34" s="40" t="n">
        <v>1E-005</v>
      </c>
      <c r="L34" s="39" t="n">
        <v>1.00696</v>
      </c>
      <c r="M34" s="40" t="n">
        <v>0</v>
      </c>
      <c r="N34" s="39" t="n">
        <v>0.99662</v>
      </c>
      <c r="O34" s="40" t="n">
        <v>2E-005</v>
      </c>
      <c r="P34" s="39" t="n">
        <v>1.00394</v>
      </c>
      <c r="Q34" s="40" t="n">
        <v>0</v>
      </c>
      <c r="R34" s="39" t="n">
        <v>0.97946</v>
      </c>
      <c r="S34" s="40" t="n">
        <v>1E-005</v>
      </c>
      <c r="T34" s="39" t="n">
        <v>0.9948</v>
      </c>
      <c r="U34" s="40" t="n">
        <v>1E-005</v>
      </c>
      <c r="V34" s="39" t="n">
        <v>0.97416</v>
      </c>
      <c r="W34" s="40" t="n">
        <v>2E-005</v>
      </c>
      <c r="X34" s="39" t="n">
        <v>0.9865</v>
      </c>
      <c r="Y34" s="40" t="n">
        <v>2E-005</v>
      </c>
    </row>
    <row r="35" customFormat="false" ht="15" hidden="false" customHeight="false" outlineLevel="0" collapsed="false">
      <c r="A35" s="38" t="n">
        <v>90</v>
      </c>
      <c r="B35" s="39" t="n">
        <v>1.00432</v>
      </c>
      <c r="C35" s="40" t="n">
        <v>2E-005</v>
      </c>
      <c r="D35" s="39" t="n">
        <v>1.07018</v>
      </c>
      <c r="E35" s="40" t="n">
        <v>-6E-005</v>
      </c>
      <c r="F35" s="39" t="n">
        <v>1.00909</v>
      </c>
      <c r="G35" s="40" t="n">
        <v>3E-005</v>
      </c>
      <c r="H35" s="39" t="n">
        <v>1.00874</v>
      </c>
      <c r="I35" s="40" t="n">
        <v>0</v>
      </c>
      <c r="J35" s="39" t="n">
        <v>0.99923</v>
      </c>
      <c r="K35" s="40" t="n">
        <v>1E-005</v>
      </c>
      <c r="L35" s="39" t="n">
        <v>1.00708</v>
      </c>
      <c r="M35" s="40" t="n">
        <v>1E-005</v>
      </c>
      <c r="N35" s="39" t="n">
        <v>0.99634</v>
      </c>
      <c r="O35" s="40" t="n">
        <v>2E-005</v>
      </c>
      <c r="P35" s="39" t="n">
        <v>1.00397</v>
      </c>
      <c r="Q35" s="40" t="n">
        <v>1E-005</v>
      </c>
      <c r="R35" s="39" t="n">
        <v>0.97932</v>
      </c>
      <c r="S35" s="40" t="n">
        <v>1E-005</v>
      </c>
      <c r="T35" s="39" t="n">
        <v>0.99476</v>
      </c>
      <c r="U35" s="40" t="n">
        <v>1E-005</v>
      </c>
      <c r="V35" s="39" t="n">
        <v>0.97389</v>
      </c>
      <c r="W35" s="40" t="n">
        <v>2E-005</v>
      </c>
      <c r="X35" s="39" t="n">
        <v>0.98655</v>
      </c>
      <c r="Y35" s="40" t="n">
        <v>1E-005</v>
      </c>
    </row>
    <row r="36" customFormat="false" ht="15" hidden="false" customHeight="false" outlineLevel="0" collapsed="false">
      <c r="A36" s="38" t="n">
        <v>91</v>
      </c>
      <c r="B36" s="39" t="n">
        <v>1.00424</v>
      </c>
      <c r="C36" s="40" t="n">
        <v>2E-005</v>
      </c>
      <c r="D36" s="39" t="n">
        <v>1.07085</v>
      </c>
      <c r="E36" s="40" t="n">
        <v>-7E-005</v>
      </c>
      <c r="F36" s="39" t="n">
        <v>1.00874</v>
      </c>
      <c r="G36" s="40" t="n">
        <v>3E-005</v>
      </c>
      <c r="H36" s="39" t="n">
        <v>1.00892</v>
      </c>
      <c r="I36" s="40" t="n">
        <v>0</v>
      </c>
      <c r="J36" s="39" t="n">
        <v>0.99929</v>
      </c>
      <c r="K36" s="40" t="n">
        <v>1E-005</v>
      </c>
      <c r="L36" s="39" t="n">
        <v>1.00699</v>
      </c>
      <c r="M36" s="40" t="n">
        <v>0</v>
      </c>
      <c r="N36" s="39" t="n">
        <v>0.99594</v>
      </c>
      <c r="O36" s="40" t="n">
        <v>2E-005</v>
      </c>
      <c r="P36" s="39" t="n">
        <v>1.00402</v>
      </c>
      <c r="Q36" s="40" t="n">
        <v>1E-005</v>
      </c>
      <c r="R36" s="39" t="n">
        <v>0.97912</v>
      </c>
      <c r="S36" s="40" t="n">
        <v>2E-005</v>
      </c>
      <c r="T36" s="39" t="n">
        <v>0.99479</v>
      </c>
      <c r="U36" s="40" t="n">
        <v>1E-005</v>
      </c>
      <c r="V36" s="39" t="n">
        <v>0.97374</v>
      </c>
      <c r="W36" s="40" t="n">
        <v>2E-005</v>
      </c>
      <c r="X36" s="39" t="n">
        <v>0.98652</v>
      </c>
      <c r="Y36" s="40" t="n">
        <v>1E-005</v>
      </c>
    </row>
    <row r="37" customFormat="false" ht="15" hidden="false" customHeight="false" outlineLevel="0" collapsed="false">
      <c r="A37" s="38" t="n">
        <v>92</v>
      </c>
      <c r="B37" s="39" t="n">
        <v>1.00397</v>
      </c>
      <c r="C37" s="40" t="n">
        <v>2E-005</v>
      </c>
      <c r="D37" s="39" t="n">
        <v>1.07103</v>
      </c>
      <c r="E37" s="40" t="n">
        <v>-7E-005</v>
      </c>
      <c r="F37" s="39" t="n">
        <v>1.00855</v>
      </c>
      <c r="G37" s="40" t="n">
        <v>2E-005</v>
      </c>
      <c r="H37" s="39" t="n">
        <v>1.00902</v>
      </c>
      <c r="I37" s="40" t="n">
        <v>-1E-005</v>
      </c>
      <c r="J37" s="39" t="n">
        <v>0.99927</v>
      </c>
      <c r="K37" s="40" t="n">
        <v>1E-005</v>
      </c>
      <c r="L37" s="39" t="n">
        <v>1.00677</v>
      </c>
      <c r="M37" s="40" t="n">
        <v>0</v>
      </c>
      <c r="N37" s="39" t="n">
        <v>0.99565</v>
      </c>
      <c r="O37" s="40" t="n">
        <v>2E-005</v>
      </c>
      <c r="P37" s="39" t="n">
        <v>1.00391</v>
      </c>
      <c r="Q37" s="40" t="n">
        <v>1E-005</v>
      </c>
      <c r="R37" s="39" t="n">
        <v>0.97873</v>
      </c>
      <c r="S37" s="40" t="n">
        <v>2E-005</v>
      </c>
      <c r="T37" s="39" t="n">
        <v>0.9946</v>
      </c>
      <c r="U37" s="40" t="n">
        <v>1E-005</v>
      </c>
      <c r="V37" s="39" t="n">
        <v>0.97352</v>
      </c>
      <c r="W37" s="40" t="n">
        <v>2E-005</v>
      </c>
      <c r="X37" s="39" t="n">
        <v>0.98622</v>
      </c>
      <c r="Y37" s="40" t="n">
        <v>1E-005</v>
      </c>
    </row>
    <row r="38" customFormat="false" ht="15" hidden="false" customHeight="false" outlineLevel="0" collapsed="false">
      <c r="A38" s="38" t="n">
        <v>93</v>
      </c>
      <c r="B38" s="39" t="n">
        <v>1.00332</v>
      </c>
      <c r="C38" s="40" t="n">
        <v>2E-005</v>
      </c>
      <c r="D38" s="39" t="n">
        <v>1.07286</v>
      </c>
      <c r="E38" s="40" t="n">
        <v>-7E-005</v>
      </c>
      <c r="F38" s="39" t="n">
        <v>1.00819</v>
      </c>
      <c r="G38" s="40" t="n">
        <v>1E-005</v>
      </c>
      <c r="H38" s="39" t="n">
        <v>1.00906</v>
      </c>
      <c r="I38" s="40" t="n">
        <v>0</v>
      </c>
      <c r="J38" s="39" t="n">
        <v>0.99906</v>
      </c>
      <c r="K38" s="40" t="n">
        <v>1E-005</v>
      </c>
      <c r="L38" s="39" t="n">
        <v>1.00679</v>
      </c>
      <c r="M38" s="40" t="n">
        <v>0</v>
      </c>
      <c r="N38" s="39" t="n">
        <v>0.9954</v>
      </c>
      <c r="O38" s="40" t="n">
        <v>3E-005</v>
      </c>
      <c r="P38" s="39" t="n">
        <v>1.00359</v>
      </c>
      <c r="Q38" s="40" t="n">
        <v>1E-005</v>
      </c>
      <c r="R38" s="39" t="n">
        <v>0.97853</v>
      </c>
      <c r="S38" s="40" t="n">
        <v>2E-005</v>
      </c>
      <c r="T38" s="39" t="n">
        <v>0.99433</v>
      </c>
      <c r="U38" s="40" t="n">
        <v>1E-005</v>
      </c>
      <c r="V38" s="39" t="n">
        <v>0.97323</v>
      </c>
      <c r="W38" s="40" t="n">
        <v>2E-005</v>
      </c>
      <c r="X38" s="39" t="n">
        <v>0.98603</v>
      </c>
      <c r="Y38" s="40" t="n">
        <v>1E-005</v>
      </c>
    </row>
    <row r="39" customFormat="false" ht="15" hidden="false" customHeight="false" outlineLevel="0" collapsed="false">
      <c r="A39" s="38" t="n">
        <v>94</v>
      </c>
      <c r="B39" s="39" t="n">
        <v>1.00281</v>
      </c>
      <c r="C39" s="40" t="n">
        <v>3E-005</v>
      </c>
      <c r="D39" s="39" t="n">
        <v>1.07401</v>
      </c>
      <c r="E39" s="40" t="n">
        <v>-7E-005</v>
      </c>
      <c r="F39" s="39" t="n">
        <v>1.00814</v>
      </c>
      <c r="G39" s="40" t="n">
        <v>1E-005</v>
      </c>
      <c r="H39" s="39" t="n">
        <v>1.00907</v>
      </c>
      <c r="I39" s="40" t="n">
        <v>0</v>
      </c>
      <c r="J39" s="39" t="n">
        <v>0.99895</v>
      </c>
      <c r="K39" s="40" t="n">
        <v>1E-005</v>
      </c>
      <c r="L39" s="39" t="n">
        <v>1.00667</v>
      </c>
      <c r="M39" s="40" t="n">
        <v>0</v>
      </c>
      <c r="N39" s="39" t="n">
        <v>0.99511</v>
      </c>
      <c r="O39" s="40" t="n">
        <v>3E-005</v>
      </c>
      <c r="P39" s="39" t="n">
        <v>1.00348</v>
      </c>
      <c r="Q39" s="40" t="n">
        <v>0</v>
      </c>
      <c r="R39" s="39" t="n">
        <v>0.97841</v>
      </c>
      <c r="S39" s="40" t="n">
        <v>2E-005</v>
      </c>
      <c r="T39" s="39" t="n">
        <v>0.99434</v>
      </c>
      <c r="U39" s="40" t="n">
        <v>1E-005</v>
      </c>
      <c r="V39" s="39" t="n">
        <v>0.97304</v>
      </c>
      <c r="W39" s="40" t="n">
        <v>2E-005</v>
      </c>
      <c r="X39" s="39" t="n">
        <v>0.98582</v>
      </c>
      <c r="Y39" s="40" t="n">
        <v>1E-005</v>
      </c>
    </row>
    <row r="40" customFormat="false" ht="15" hidden="false" customHeight="false" outlineLevel="0" collapsed="false">
      <c r="A40" s="38" t="n">
        <v>95</v>
      </c>
      <c r="B40" s="39" t="n">
        <v>1.00289</v>
      </c>
      <c r="C40" s="40" t="n">
        <v>3E-005</v>
      </c>
      <c r="D40" s="39" t="n">
        <v>1.07371</v>
      </c>
      <c r="E40" s="40" t="n">
        <v>-6E-005</v>
      </c>
      <c r="F40" s="39" t="n">
        <v>1.00781</v>
      </c>
      <c r="G40" s="40" t="n">
        <v>2E-005</v>
      </c>
      <c r="H40" s="39" t="n">
        <v>1.00906</v>
      </c>
      <c r="I40" s="40" t="n">
        <v>0</v>
      </c>
      <c r="J40" s="39" t="n">
        <v>0.99908</v>
      </c>
      <c r="K40" s="40" t="n">
        <v>1E-005</v>
      </c>
      <c r="L40" s="39" t="n">
        <v>1.00688</v>
      </c>
      <c r="M40" s="40" t="n">
        <v>0</v>
      </c>
      <c r="N40" s="39" t="n">
        <v>0.99478</v>
      </c>
      <c r="O40" s="40" t="n">
        <v>3E-005</v>
      </c>
      <c r="P40" s="39" t="n">
        <v>1.00357</v>
      </c>
      <c r="Q40" s="40" t="n">
        <v>1E-005</v>
      </c>
      <c r="R40" s="39" t="n">
        <v>0.97807</v>
      </c>
      <c r="S40" s="40" t="n">
        <v>2E-005</v>
      </c>
      <c r="T40" s="39" t="n">
        <v>0.99431</v>
      </c>
      <c r="U40" s="40" t="n">
        <v>1E-005</v>
      </c>
      <c r="V40" s="39" t="n">
        <v>0.97286</v>
      </c>
      <c r="W40" s="40" t="n">
        <v>2E-005</v>
      </c>
      <c r="X40" s="39" t="n">
        <v>0.98563</v>
      </c>
      <c r="Y40" s="40" t="n">
        <v>2E-005</v>
      </c>
    </row>
    <row r="41" customFormat="false" ht="15" hidden="false" customHeight="false" outlineLevel="0" collapsed="false">
      <c r="A41" s="38" t="n">
        <v>96</v>
      </c>
      <c r="B41" s="39" t="n">
        <v>1.00275</v>
      </c>
      <c r="C41" s="40" t="n">
        <v>2E-005</v>
      </c>
      <c r="D41" s="39" t="n">
        <v>1.075</v>
      </c>
      <c r="E41" s="40" t="n">
        <v>-6E-005</v>
      </c>
      <c r="F41" s="39" t="n">
        <v>1.00804</v>
      </c>
      <c r="G41" s="40" t="n">
        <v>2E-005</v>
      </c>
      <c r="H41" s="39" t="n">
        <v>1.00905</v>
      </c>
      <c r="I41" s="40" t="n">
        <v>0</v>
      </c>
      <c r="J41" s="39" t="n">
        <v>0.99882</v>
      </c>
      <c r="K41" s="40" t="n">
        <v>0</v>
      </c>
      <c r="L41" s="39" t="n">
        <v>1.00703</v>
      </c>
      <c r="M41" s="40" t="n">
        <v>0</v>
      </c>
      <c r="N41" s="39" t="n">
        <v>0.99446</v>
      </c>
      <c r="O41" s="40" t="n">
        <v>3E-005</v>
      </c>
      <c r="P41" s="39" t="n">
        <v>1.00357</v>
      </c>
      <c r="Q41" s="40" t="n">
        <v>1E-005</v>
      </c>
      <c r="R41" s="39" t="n">
        <v>0.97778</v>
      </c>
      <c r="S41" s="40" t="n">
        <v>2E-005</v>
      </c>
      <c r="T41" s="39" t="n">
        <v>0.9942</v>
      </c>
      <c r="U41" s="40" t="n">
        <v>0</v>
      </c>
      <c r="V41" s="39" t="n">
        <v>0.97262</v>
      </c>
      <c r="W41" s="40" t="n">
        <v>2E-005</v>
      </c>
      <c r="X41" s="39" t="n">
        <v>0.98549</v>
      </c>
      <c r="Y41" s="40" t="n">
        <v>2E-005</v>
      </c>
    </row>
    <row r="42" customFormat="false" ht="15" hidden="false" customHeight="false" outlineLevel="0" collapsed="false">
      <c r="A42" s="38" t="n">
        <v>97</v>
      </c>
      <c r="B42" s="39" t="n">
        <v>1.00211</v>
      </c>
      <c r="C42" s="40" t="n">
        <v>2E-005</v>
      </c>
      <c r="D42" s="39" t="n">
        <v>1.07617</v>
      </c>
      <c r="E42" s="40" t="n">
        <v>-6E-005</v>
      </c>
      <c r="F42" s="39" t="n">
        <v>1.00771</v>
      </c>
      <c r="G42" s="40" t="n">
        <v>3E-005</v>
      </c>
      <c r="H42" s="39" t="n">
        <v>1.009</v>
      </c>
      <c r="I42" s="40" t="n">
        <v>0</v>
      </c>
      <c r="J42" s="39" t="n">
        <v>0.99858</v>
      </c>
      <c r="K42" s="40" t="n">
        <v>0</v>
      </c>
      <c r="L42" s="39" t="n">
        <v>1.00673</v>
      </c>
      <c r="M42" s="40" t="n">
        <v>0</v>
      </c>
      <c r="N42" s="39" t="n">
        <v>0.99414</v>
      </c>
      <c r="O42" s="40" t="n">
        <v>3E-005</v>
      </c>
      <c r="P42" s="39" t="n">
        <v>1.00346</v>
      </c>
      <c r="Q42" s="40" t="n">
        <v>1E-005</v>
      </c>
      <c r="R42" s="39" t="n">
        <v>0.97761</v>
      </c>
      <c r="S42" s="40" t="n">
        <v>2E-005</v>
      </c>
      <c r="T42" s="39" t="n">
        <v>0.99426</v>
      </c>
      <c r="U42" s="40" t="n">
        <v>0</v>
      </c>
      <c r="V42" s="39" t="n">
        <v>0.97237</v>
      </c>
      <c r="W42" s="40" t="n">
        <v>2E-005</v>
      </c>
      <c r="X42" s="39" t="n">
        <v>0.98538</v>
      </c>
      <c r="Y42" s="40" t="n">
        <v>2E-005</v>
      </c>
    </row>
    <row r="43" customFormat="false" ht="15" hidden="false" customHeight="false" outlineLevel="0" collapsed="false">
      <c r="A43" s="38" t="n">
        <v>98</v>
      </c>
      <c r="B43" s="39" t="n">
        <v>1.00174</v>
      </c>
      <c r="C43" s="40" t="n">
        <v>2E-005</v>
      </c>
      <c r="D43" s="39" t="n">
        <v>1.0762</v>
      </c>
      <c r="E43" s="40" t="n">
        <v>-7E-005</v>
      </c>
      <c r="F43" s="39" t="n">
        <v>1.00696</v>
      </c>
      <c r="G43" s="40" t="n">
        <v>3E-005</v>
      </c>
      <c r="H43" s="39" t="n">
        <v>1.00911</v>
      </c>
      <c r="I43" s="40" t="n">
        <v>0</v>
      </c>
      <c r="J43" s="39" t="n">
        <v>0.99883</v>
      </c>
      <c r="K43" s="40" t="n">
        <v>1E-005</v>
      </c>
      <c r="L43" s="39" t="n">
        <v>1.00684</v>
      </c>
      <c r="M43" s="40" t="n">
        <v>0</v>
      </c>
      <c r="N43" s="39" t="n">
        <v>0.99361</v>
      </c>
      <c r="O43" s="40" t="n">
        <v>3E-005</v>
      </c>
      <c r="P43" s="39" t="n">
        <v>1.00342</v>
      </c>
      <c r="Q43" s="40" t="n">
        <v>1E-005</v>
      </c>
      <c r="R43" s="39" t="n">
        <v>0.97754</v>
      </c>
      <c r="S43" s="40" t="n">
        <v>2E-005</v>
      </c>
      <c r="T43" s="39" t="n">
        <v>0.9942</v>
      </c>
      <c r="U43" s="40" t="n">
        <v>1E-005</v>
      </c>
      <c r="V43" s="39" t="n">
        <v>0.97197</v>
      </c>
      <c r="W43" s="40" t="n">
        <v>3E-005</v>
      </c>
      <c r="X43" s="39" t="n">
        <v>0.98516</v>
      </c>
      <c r="Y43" s="40" t="n">
        <v>2E-005</v>
      </c>
    </row>
    <row r="44" customFormat="false" ht="15" hidden="false" customHeight="false" outlineLevel="0" collapsed="false">
      <c r="A44" s="38" t="n">
        <v>99</v>
      </c>
      <c r="B44" s="39" t="n">
        <v>1.00179</v>
      </c>
      <c r="C44" s="40" t="n">
        <v>2E-005</v>
      </c>
      <c r="D44" s="39" t="n">
        <v>1.07682</v>
      </c>
      <c r="E44" s="40" t="n">
        <v>-9E-005</v>
      </c>
      <c r="F44" s="39" t="n">
        <v>1.00646</v>
      </c>
      <c r="G44" s="40" t="n">
        <v>4E-005</v>
      </c>
      <c r="H44" s="39" t="n">
        <v>1.00919</v>
      </c>
      <c r="I44" s="40" t="n">
        <v>-1E-005</v>
      </c>
      <c r="J44" s="39" t="n">
        <v>0.99884</v>
      </c>
      <c r="K44" s="40" t="n">
        <v>1E-005</v>
      </c>
      <c r="L44" s="39" t="n">
        <v>1.0066</v>
      </c>
      <c r="M44" s="40" t="n">
        <v>1E-005</v>
      </c>
      <c r="N44" s="39" t="n">
        <v>0.99333</v>
      </c>
      <c r="O44" s="40" t="n">
        <v>4E-005</v>
      </c>
      <c r="P44" s="39" t="n">
        <v>1.00301</v>
      </c>
      <c r="Q44" s="40" t="n">
        <v>1E-005</v>
      </c>
      <c r="R44" s="39" t="n">
        <v>0.9773</v>
      </c>
      <c r="S44" s="40" t="n">
        <v>2E-005</v>
      </c>
      <c r="T44" s="39" t="n">
        <v>0.99414</v>
      </c>
      <c r="U44" s="40" t="n">
        <v>1E-005</v>
      </c>
      <c r="V44" s="39" t="n">
        <v>0.97168</v>
      </c>
      <c r="W44" s="40" t="n">
        <v>3E-005</v>
      </c>
      <c r="X44" s="39" t="n">
        <v>0.98481</v>
      </c>
      <c r="Y44" s="40" t="n">
        <v>2E-005</v>
      </c>
    </row>
    <row r="45" customFormat="false" ht="15" hidden="false" customHeight="false" outlineLevel="0" collapsed="false">
      <c r="A45" s="38" t="n">
        <v>100</v>
      </c>
      <c r="B45" s="39" t="n">
        <v>1.00154</v>
      </c>
      <c r="C45" s="40" t="n">
        <v>2E-005</v>
      </c>
      <c r="D45" s="39" t="n">
        <v>1.07831</v>
      </c>
      <c r="E45" s="40" t="n">
        <v>-0.00011</v>
      </c>
      <c r="F45" s="39" t="n">
        <v>1.00604</v>
      </c>
      <c r="G45" s="40" t="n">
        <v>3E-005</v>
      </c>
      <c r="H45" s="39" t="n">
        <v>1.00904</v>
      </c>
      <c r="I45" s="40" t="n">
        <v>-1E-005</v>
      </c>
      <c r="J45" s="39" t="n">
        <v>0.9987</v>
      </c>
      <c r="K45" s="40" t="n">
        <v>1E-005</v>
      </c>
      <c r="L45" s="39" t="n">
        <v>1.00645</v>
      </c>
      <c r="M45" s="40" t="n">
        <v>1E-005</v>
      </c>
      <c r="N45" s="39" t="n">
        <v>0.99284</v>
      </c>
      <c r="O45" s="40" t="n">
        <v>4E-005</v>
      </c>
      <c r="P45" s="39" t="n">
        <v>1.00281</v>
      </c>
      <c r="Q45" s="40" t="n">
        <v>2E-005</v>
      </c>
      <c r="R45" s="39" t="n">
        <v>0.97712</v>
      </c>
      <c r="S45" s="40" t="n">
        <v>2E-005</v>
      </c>
      <c r="T45" s="39" t="n">
        <v>0.99408</v>
      </c>
      <c r="U45" s="40" t="n">
        <v>0</v>
      </c>
      <c r="V45" s="39" t="n">
        <v>0.97143</v>
      </c>
      <c r="W45" s="40" t="n">
        <v>3E-005</v>
      </c>
      <c r="X45" s="39" t="n">
        <v>0.98446</v>
      </c>
      <c r="Y45" s="40" t="n">
        <v>2E-005</v>
      </c>
    </row>
    <row r="46" customFormat="false" ht="15" hidden="false" customHeight="false" outlineLevel="0" collapsed="false">
      <c r="A46" s="38" t="n">
        <v>101</v>
      </c>
      <c r="B46" s="39" t="n">
        <v>1.00104</v>
      </c>
      <c r="C46" s="40" t="n">
        <v>1E-005</v>
      </c>
      <c r="D46" s="39" t="n">
        <v>1.08016</v>
      </c>
      <c r="E46" s="40" t="n">
        <v>-0.00013</v>
      </c>
      <c r="F46" s="39" t="n">
        <v>1.00581</v>
      </c>
      <c r="G46" s="40" t="n">
        <v>3E-005</v>
      </c>
      <c r="H46" s="39" t="n">
        <v>1.00931</v>
      </c>
      <c r="I46" s="40" t="n">
        <v>-2E-005</v>
      </c>
      <c r="J46" s="39" t="n">
        <v>0.99832</v>
      </c>
      <c r="K46" s="40" t="n">
        <v>1E-005</v>
      </c>
      <c r="L46" s="39" t="n">
        <v>1.00674</v>
      </c>
      <c r="M46" s="40" t="n">
        <v>1E-005</v>
      </c>
      <c r="N46" s="39" t="n">
        <v>0.99244</v>
      </c>
      <c r="O46" s="40" t="n">
        <v>3E-005</v>
      </c>
      <c r="P46" s="39" t="n">
        <v>1.00275</v>
      </c>
      <c r="Q46" s="40" t="n">
        <v>2E-005</v>
      </c>
      <c r="R46" s="39" t="n">
        <v>0.97685</v>
      </c>
      <c r="S46" s="40" t="n">
        <v>2E-005</v>
      </c>
      <c r="T46" s="39" t="n">
        <v>0.99378</v>
      </c>
      <c r="U46" s="40" t="n">
        <v>1E-005</v>
      </c>
      <c r="V46" s="39" t="n">
        <v>0.97102</v>
      </c>
      <c r="W46" s="40" t="n">
        <v>2E-005</v>
      </c>
      <c r="X46" s="39" t="n">
        <v>0.98425</v>
      </c>
      <c r="Y46" s="40" t="n">
        <v>2E-005</v>
      </c>
    </row>
    <row r="47" customFormat="false" ht="15" hidden="false" customHeight="false" outlineLevel="0" collapsed="false">
      <c r="A47" s="38" t="n">
        <v>102</v>
      </c>
      <c r="B47" s="39" t="n">
        <v>1.00115</v>
      </c>
      <c r="C47" s="40" t="n">
        <v>1E-005</v>
      </c>
      <c r="D47" s="39" t="n">
        <v>1.08114</v>
      </c>
      <c r="E47" s="40" t="n">
        <v>-0.00013</v>
      </c>
      <c r="F47" s="39" t="n">
        <v>1.00549</v>
      </c>
      <c r="G47" s="40" t="n">
        <v>2E-005</v>
      </c>
      <c r="H47" s="39" t="n">
        <v>1.0098</v>
      </c>
      <c r="I47" s="40" t="n">
        <v>-2E-005</v>
      </c>
      <c r="J47" s="39" t="n">
        <v>0.99805</v>
      </c>
      <c r="K47" s="40" t="n">
        <v>2E-005</v>
      </c>
      <c r="L47" s="39" t="n">
        <v>1.00644</v>
      </c>
      <c r="M47" s="40" t="n">
        <v>1E-005</v>
      </c>
      <c r="N47" s="39" t="n">
        <v>0.99199</v>
      </c>
      <c r="O47" s="40" t="n">
        <v>4E-005</v>
      </c>
      <c r="P47" s="39" t="n">
        <v>1.00283</v>
      </c>
      <c r="Q47" s="40" t="n">
        <v>2E-005</v>
      </c>
      <c r="R47" s="39" t="n">
        <v>0.97667</v>
      </c>
      <c r="S47" s="40" t="n">
        <v>2E-005</v>
      </c>
      <c r="T47" s="39" t="n">
        <v>0.99372</v>
      </c>
      <c r="U47" s="40" t="n">
        <v>1E-005</v>
      </c>
      <c r="V47" s="39" t="n">
        <v>0.97071</v>
      </c>
      <c r="W47" s="40" t="n">
        <v>2E-005</v>
      </c>
      <c r="X47" s="39" t="n">
        <v>0.98411</v>
      </c>
      <c r="Y47" s="40" t="n">
        <v>1E-005</v>
      </c>
    </row>
    <row r="48" customFormat="false" ht="15" hidden="false" customHeight="false" outlineLevel="0" collapsed="false">
      <c r="A48" s="38" t="n">
        <v>103</v>
      </c>
      <c r="B48" s="39" t="n">
        <v>1.0011</v>
      </c>
      <c r="C48" s="40" t="n">
        <v>2E-005</v>
      </c>
      <c r="D48" s="39" t="n">
        <v>1.08236</v>
      </c>
      <c r="E48" s="40" t="n">
        <v>-0.00013</v>
      </c>
      <c r="F48" s="39" t="n">
        <v>1.00534</v>
      </c>
      <c r="G48" s="40" t="n">
        <v>3E-005</v>
      </c>
      <c r="H48" s="39" t="n">
        <v>1.01004</v>
      </c>
      <c r="I48" s="40" t="n">
        <v>-2E-005</v>
      </c>
      <c r="J48" s="39" t="n">
        <v>0.99794</v>
      </c>
      <c r="K48" s="40" t="n">
        <v>2E-005</v>
      </c>
      <c r="L48" s="39" t="n">
        <v>1.00621</v>
      </c>
      <c r="M48" s="40" t="n">
        <v>1E-005</v>
      </c>
      <c r="N48" s="39" t="n">
        <v>0.99135</v>
      </c>
      <c r="O48" s="40" t="n">
        <v>4E-005</v>
      </c>
      <c r="P48" s="39" t="n">
        <v>1.00245</v>
      </c>
      <c r="Q48" s="40" t="n">
        <v>1E-005</v>
      </c>
      <c r="R48" s="39" t="n">
        <v>0.97644</v>
      </c>
      <c r="S48" s="40" t="n">
        <v>2E-005</v>
      </c>
      <c r="T48" s="39" t="n">
        <v>0.99387</v>
      </c>
      <c r="U48" s="40" t="n">
        <v>1E-005</v>
      </c>
      <c r="V48" s="39" t="n">
        <v>0.97052</v>
      </c>
      <c r="W48" s="40" t="n">
        <v>2E-005</v>
      </c>
      <c r="X48" s="39" t="n">
        <v>0.98422</v>
      </c>
      <c r="Y48" s="40" t="n">
        <v>1E-005</v>
      </c>
    </row>
    <row r="49" customFormat="false" ht="15" hidden="false" customHeight="false" outlineLevel="0" collapsed="false">
      <c r="A49" s="38" t="n">
        <v>104</v>
      </c>
      <c r="B49" s="39" t="n">
        <v>1.00073</v>
      </c>
      <c r="C49" s="40" t="n">
        <v>2E-005</v>
      </c>
      <c r="D49" s="39" t="n">
        <v>1.08501</v>
      </c>
      <c r="E49" s="40" t="n">
        <v>-0.0001</v>
      </c>
      <c r="F49" s="39" t="n">
        <v>1.00534</v>
      </c>
      <c r="G49" s="40" t="n">
        <v>3E-005</v>
      </c>
      <c r="H49" s="39" t="n">
        <v>1.01029</v>
      </c>
      <c r="I49" s="40" t="n">
        <v>-2E-005</v>
      </c>
      <c r="J49" s="39" t="n">
        <v>0.9979</v>
      </c>
      <c r="K49" s="40" t="n">
        <v>2E-005</v>
      </c>
      <c r="L49" s="39" t="n">
        <v>1.00637</v>
      </c>
      <c r="M49" s="40" t="n">
        <v>1E-005</v>
      </c>
      <c r="N49" s="39" t="n">
        <v>0.99118</v>
      </c>
      <c r="O49" s="40" t="n">
        <v>4E-005</v>
      </c>
      <c r="P49" s="39" t="n">
        <v>1.0021</v>
      </c>
      <c r="Q49" s="40" t="n">
        <v>2E-005</v>
      </c>
      <c r="R49" s="39" t="n">
        <v>0.97623</v>
      </c>
      <c r="S49" s="40" t="n">
        <v>2E-005</v>
      </c>
      <c r="T49" s="39" t="n">
        <v>0.99382</v>
      </c>
      <c r="U49" s="40" t="n">
        <v>2E-005</v>
      </c>
      <c r="V49" s="39" t="n">
        <v>0.97026</v>
      </c>
      <c r="W49" s="40" t="n">
        <v>2E-005</v>
      </c>
      <c r="X49" s="39" t="n">
        <v>0.98409</v>
      </c>
      <c r="Y49" s="40" t="n">
        <v>1E-005</v>
      </c>
    </row>
    <row r="50" customFormat="false" ht="15" hidden="false" customHeight="false" outlineLevel="0" collapsed="false">
      <c r="A50" s="38" t="n">
        <v>105</v>
      </c>
      <c r="B50" s="39" t="n">
        <v>1.00075</v>
      </c>
      <c r="C50" s="40" t="n">
        <v>2E-005</v>
      </c>
      <c r="D50" s="39" t="n">
        <v>1.08614</v>
      </c>
      <c r="E50" s="40" t="n">
        <v>-7E-005</v>
      </c>
      <c r="F50" s="39" t="n">
        <v>1.00465</v>
      </c>
      <c r="G50" s="40" t="n">
        <v>3E-005</v>
      </c>
      <c r="H50" s="39" t="n">
        <v>1.01058</v>
      </c>
      <c r="I50" s="40" t="n">
        <v>-1E-005</v>
      </c>
      <c r="J50" s="39" t="n">
        <v>0.99769</v>
      </c>
      <c r="K50" s="40" t="n">
        <v>2E-005</v>
      </c>
      <c r="L50" s="39" t="n">
        <v>1.00606</v>
      </c>
      <c r="M50" s="40" t="n">
        <v>1E-005</v>
      </c>
      <c r="N50" s="39" t="n">
        <v>0.99088</v>
      </c>
      <c r="O50" s="40" t="n">
        <v>3E-005</v>
      </c>
      <c r="P50" s="39" t="n">
        <v>1.00201</v>
      </c>
      <c r="Q50" s="40" t="n">
        <v>2E-005</v>
      </c>
      <c r="R50" s="39" t="n">
        <v>0.97612</v>
      </c>
      <c r="S50" s="40" t="n">
        <v>2E-005</v>
      </c>
      <c r="T50" s="39" t="n">
        <v>0.99345</v>
      </c>
      <c r="U50" s="40" t="n">
        <v>1E-005</v>
      </c>
      <c r="V50" s="39" t="n">
        <v>0.97007</v>
      </c>
      <c r="W50" s="40" t="n">
        <v>2E-005</v>
      </c>
      <c r="X50" s="39" t="n">
        <v>0.98383</v>
      </c>
      <c r="Y50" s="40" t="n">
        <v>1E-005</v>
      </c>
    </row>
    <row r="51" customFormat="false" ht="15" hidden="false" customHeight="false" outlineLevel="0" collapsed="false">
      <c r="A51" s="38" t="n">
        <v>106</v>
      </c>
      <c r="B51" s="39" t="n">
        <v>1.00039</v>
      </c>
      <c r="C51" s="40" t="n">
        <v>3E-005</v>
      </c>
      <c r="D51" s="39" t="n">
        <v>1.08541</v>
      </c>
      <c r="E51" s="40" t="n">
        <v>-4E-005</v>
      </c>
      <c r="F51" s="39" t="n">
        <v>1.00399</v>
      </c>
      <c r="G51" s="40" t="n">
        <v>4E-005</v>
      </c>
      <c r="H51" s="39" t="n">
        <v>1.01048</v>
      </c>
      <c r="I51" s="40" t="n">
        <v>0</v>
      </c>
      <c r="J51" s="39" t="n">
        <v>0.9975</v>
      </c>
      <c r="K51" s="40" t="n">
        <v>2E-005</v>
      </c>
      <c r="L51" s="39" t="n">
        <v>1.00598</v>
      </c>
      <c r="M51" s="40" t="n">
        <v>0</v>
      </c>
      <c r="N51" s="39" t="n">
        <v>0.99013</v>
      </c>
      <c r="O51" s="40" t="n">
        <v>3E-005</v>
      </c>
      <c r="P51" s="39" t="n">
        <v>1.00179</v>
      </c>
      <c r="Q51" s="40" t="n">
        <v>3E-005</v>
      </c>
      <c r="R51" s="39" t="n">
        <v>0.97589</v>
      </c>
      <c r="S51" s="40" t="n">
        <v>2E-005</v>
      </c>
      <c r="T51" s="39" t="n">
        <v>0.99305</v>
      </c>
      <c r="U51" s="40" t="n">
        <v>2E-005</v>
      </c>
      <c r="V51" s="39" t="n">
        <v>0.96989</v>
      </c>
      <c r="W51" s="40" t="n">
        <v>3E-005</v>
      </c>
      <c r="X51" s="39" t="n">
        <v>0.98371</v>
      </c>
      <c r="Y51" s="40" t="n">
        <v>2E-005</v>
      </c>
    </row>
    <row r="52" customFormat="false" ht="15" hidden="false" customHeight="false" outlineLevel="0" collapsed="false">
      <c r="A52" s="38" t="n">
        <v>107</v>
      </c>
      <c r="B52" s="39" t="n">
        <v>0.99966</v>
      </c>
      <c r="C52" s="40" t="n">
        <v>3E-005</v>
      </c>
      <c r="D52" s="39" t="n">
        <v>1.08669</v>
      </c>
      <c r="E52" s="40" t="n">
        <v>-2E-005</v>
      </c>
      <c r="F52" s="39" t="n">
        <v>1.00336</v>
      </c>
      <c r="G52" s="40" t="n">
        <v>4E-005</v>
      </c>
      <c r="H52" s="39" t="n">
        <v>1.01044</v>
      </c>
      <c r="I52" s="40" t="n">
        <v>0</v>
      </c>
      <c r="J52" s="39" t="n">
        <v>0.99707</v>
      </c>
      <c r="K52" s="40" t="n">
        <v>2E-005</v>
      </c>
      <c r="L52" s="39" t="n">
        <v>1.00604</v>
      </c>
      <c r="M52" s="40" t="n">
        <v>0</v>
      </c>
      <c r="N52" s="39" t="n">
        <v>0.98981</v>
      </c>
      <c r="O52" s="40" t="n">
        <v>3E-005</v>
      </c>
      <c r="P52" s="39" t="n">
        <v>1.00145</v>
      </c>
      <c r="Q52" s="40" t="n">
        <v>2E-005</v>
      </c>
      <c r="R52" s="39" t="n">
        <v>0.9757</v>
      </c>
      <c r="S52" s="40" t="n">
        <v>2E-005</v>
      </c>
      <c r="T52" s="39" t="n">
        <v>0.99294</v>
      </c>
      <c r="U52" s="40" t="n">
        <v>2E-005</v>
      </c>
      <c r="V52" s="39" t="n">
        <v>0.96941</v>
      </c>
      <c r="W52" s="40" t="n">
        <v>3E-005</v>
      </c>
      <c r="X52" s="39" t="n">
        <v>0.98362</v>
      </c>
      <c r="Y52" s="40" t="n">
        <v>3E-005</v>
      </c>
    </row>
    <row r="53" customFormat="false" ht="15" hidden="false" customHeight="false" outlineLevel="0" collapsed="false">
      <c r="A53" s="38" t="n">
        <v>108</v>
      </c>
      <c r="B53" s="39" t="n">
        <v>0.99946</v>
      </c>
      <c r="C53" s="40" t="n">
        <v>2E-005</v>
      </c>
      <c r="D53" s="39" t="n">
        <v>1.08606</v>
      </c>
      <c r="E53" s="40" t="n">
        <v>2E-005</v>
      </c>
      <c r="F53" s="39" t="n">
        <v>1.00316</v>
      </c>
      <c r="G53" s="40" t="n">
        <v>4E-005</v>
      </c>
      <c r="H53" s="39" t="n">
        <v>1.01035</v>
      </c>
      <c r="I53" s="40" t="n">
        <v>1E-005</v>
      </c>
      <c r="J53" s="39" t="n">
        <v>0.9969</v>
      </c>
      <c r="K53" s="40" t="n">
        <v>2E-005</v>
      </c>
      <c r="L53" s="39" t="n">
        <v>1.00599</v>
      </c>
      <c r="M53" s="40" t="n">
        <v>1E-005</v>
      </c>
      <c r="N53" s="39" t="n">
        <v>0.98944</v>
      </c>
      <c r="O53" s="40" t="n">
        <v>4E-005</v>
      </c>
      <c r="P53" s="39" t="n">
        <v>1.00119</v>
      </c>
      <c r="Q53" s="40" t="n">
        <v>2E-005</v>
      </c>
      <c r="R53" s="39" t="n">
        <v>0.97552</v>
      </c>
      <c r="S53" s="40" t="n">
        <v>2E-005</v>
      </c>
      <c r="T53" s="39" t="n">
        <v>0.99273</v>
      </c>
      <c r="U53" s="40" t="n">
        <v>1E-005</v>
      </c>
      <c r="V53" s="39" t="n">
        <v>0.96909</v>
      </c>
      <c r="W53" s="40" t="n">
        <v>3E-005</v>
      </c>
      <c r="X53" s="39" t="n">
        <v>0.98326</v>
      </c>
      <c r="Y53" s="40" t="n">
        <v>3E-005</v>
      </c>
    </row>
    <row r="54" customFormat="false" ht="15" hidden="false" customHeight="false" outlineLevel="0" collapsed="false">
      <c r="A54" s="38" t="n">
        <v>109</v>
      </c>
      <c r="B54" s="39" t="n">
        <v>0.99934</v>
      </c>
      <c r="C54" s="40" t="n">
        <v>3E-005</v>
      </c>
      <c r="D54" s="39" t="n">
        <v>1.08608</v>
      </c>
      <c r="E54" s="40" t="n">
        <v>3E-005</v>
      </c>
      <c r="F54" s="39" t="n">
        <v>1.00303</v>
      </c>
      <c r="G54" s="40" t="n">
        <v>4E-005</v>
      </c>
      <c r="H54" s="39" t="n">
        <v>1.0103</v>
      </c>
      <c r="I54" s="40" t="n">
        <v>2E-005</v>
      </c>
      <c r="J54" s="39" t="n">
        <v>0.99671</v>
      </c>
      <c r="K54" s="40" t="n">
        <v>2E-005</v>
      </c>
      <c r="L54" s="39" t="n">
        <v>1.00597</v>
      </c>
      <c r="M54" s="40" t="n">
        <v>1E-005</v>
      </c>
      <c r="N54" s="39" t="n">
        <v>0.98904</v>
      </c>
      <c r="O54" s="40" t="n">
        <v>4E-005</v>
      </c>
      <c r="P54" s="39" t="n">
        <v>1.00081</v>
      </c>
      <c r="Q54" s="40" t="n">
        <v>2E-005</v>
      </c>
      <c r="R54" s="39" t="n">
        <v>0.97518</v>
      </c>
      <c r="S54" s="40" t="n">
        <v>2E-005</v>
      </c>
      <c r="T54" s="39" t="n">
        <v>0.99271</v>
      </c>
      <c r="U54" s="40" t="n">
        <v>1E-005</v>
      </c>
      <c r="V54" s="39" t="n">
        <v>0.96866</v>
      </c>
      <c r="W54" s="40" t="n">
        <v>3E-005</v>
      </c>
      <c r="X54" s="39" t="n">
        <v>0.98278</v>
      </c>
      <c r="Y54" s="40" t="n">
        <v>3E-005</v>
      </c>
    </row>
    <row r="55" customFormat="false" ht="15" hidden="false" customHeight="false" outlineLevel="0" collapsed="false">
      <c r="A55" s="38" t="n">
        <v>110</v>
      </c>
      <c r="B55" s="39" t="n">
        <v>0.99908</v>
      </c>
      <c r="C55" s="40" t="n">
        <v>3E-005</v>
      </c>
      <c r="D55" s="39" t="n">
        <v>1.0856</v>
      </c>
      <c r="E55" s="40" t="n">
        <v>1E-005</v>
      </c>
      <c r="F55" s="39" t="n">
        <v>1.00251</v>
      </c>
      <c r="G55" s="40" t="n">
        <v>3E-005</v>
      </c>
      <c r="H55" s="39" t="n">
        <v>1.01013</v>
      </c>
      <c r="I55" s="40" t="n">
        <v>3E-005</v>
      </c>
      <c r="J55" s="39" t="n">
        <v>0.99633</v>
      </c>
      <c r="K55" s="40" t="n">
        <v>1E-005</v>
      </c>
      <c r="L55" s="39" t="n">
        <v>1.00602</v>
      </c>
      <c r="M55" s="40" t="n">
        <v>1E-005</v>
      </c>
      <c r="N55" s="39" t="n">
        <v>0.98862</v>
      </c>
      <c r="O55" s="40" t="n">
        <v>4E-005</v>
      </c>
      <c r="P55" s="39" t="n">
        <v>1.00067</v>
      </c>
      <c r="Q55" s="40" t="n">
        <v>2E-005</v>
      </c>
      <c r="R55" s="39" t="n">
        <v>0.97491</v>
      </c>
      <c r="S55" s="40" t="n">
        <v>2E-005</v>
      </c>
      <c r="T55" s="39" t="n">
        <v>0.99262</v>
      </c>
      <c r="U55" s="40" t="n">
        <v>1E-005</v>
      </c>
      <c r="V55" s="39" t="n">
        <v>0.96841</v>
      </c>
      <c r="W55" s="40" t="n">
        <v>3E-005</v>
      </c>
      <c r="X55" s="39" t="n">
        <v>0.9823</v>
      </c>
      <c r="Y55" s="40" t="n">
        <v>3E-005</v>
      </c>
    </row>
    <row r="56" customFormat="false" ht="15" hidden="false" customHeight="false" outlineLevel="0" collapsed="false">
      <c r="A56" s="38" t="n">
        <v>111</v>
      </c>
      <c r="B56" s="39" t="n">
        <v>0.99893</v>
      </c>
      <c r="C56" s="40" t="n">
        <v>3E-005</v>
      </c>
      <c r="D56" s="39" t="n">
        <v>1.08609</v>
      </c>
      <c r="E56" s="40" t="n">
        <v>1E-005</v>
      </c>
      <c r="F56" s="39" t="n">
        <v>1.00213</v>
      </c>
      <c r="G56" s="40" t="n">
        <v>3E-005</v>
      </c>
      <c r="H56" s="39" t="n">
        <v>1.00981</v>
      </c>
      <c r="I56" s="40" t="n">
        <v>3E-005</v>
      </c>
      <c r="J56" s="39" t="n">
        <v>0.99624</v>
      </c>
      <c r="K56" s="40" t="n">
        <v>1E-005</v>
      </c>
      <c r="L56" s="39" t="n">
        <v>1.00577</v>
      </c>
      <c r="M56" s="40" t="n">
        <v>2E-005</v>
      </c>
      <c r="N56" s="39" t="n">
        <v>0.98818</v>
      </c>
      <c r="O56" s="40" t="n">
        <v>4E-005</v>
      </c>
      <c r="P56" s="39" t="n">
        <v>1.00073</v>
      </c>
      <c r="Q56" s="40" t="n">
        <v>2E-005</v>
      </c>
      <c r="R56" s="39" t="n">
        <v>0.97465</v>
      </c>
      <c r="S56" s="40" t="n">
        <v>2E-005</v>
      </c>
      <c r="T56" s="39" t="n">
        <v>0.99246</v>
      </c>
      <c r="U56" s="40" t="n">
        <v>1E-005</v>
      </c>
      <c r="V56" s="39" t="n">
        <v>0.96825</v>
      </c>
      <c r="W56" s="40" t="n">
        <v>2E-005</v>
      </c>
      <c r="X56" s="39" t="n">
        <v>0.98207</v>
      </c>
      <c r="Y56" s="40" t="n">
        <v>3E-005</v>
      </c>
    </row>
    <row r="57" customFormat="false" ht="15" hidden="false" customHeight="false" outlineLevel="0" collapsed="false">
      <c r="A57" s="38" t="n">
        <v>112</v>
      </c>
      <c r="B57" s="39" t="n">
        <v>0.9985</v>
      </c>
      <c r="C57" s="40" t="n">
        <v>4E-005</v>
      </c>
      <c r="D57" s="39" t="n">
        <v>1.08523</v>
      </c>
      <c r="E57" s="40" t="n">
        <v>1E-005</v>
      </c>
      <c r="F57" s="39" t="n">
        <v>1.00148</v>
      </c>
      <c r="G57" s="40" t="n">
        <v>3E-005</v>
      </c>
      <c r="H57" s="39" t="n">
        <v>1.00941</v>
      </c>
      <c r="I57" s="40" t="n">
        <v>3E-005</v>
      </c>
      <c r="J57" s="39" t="n">
        <v>0.99608</v>
      </c>
      <c r="K57" s="40" t="n">
        <v>1E-005</v>
      </c>
      <c r="L57" s="39" t="n">
        <v>1.00545</v>
      </c>
      <c r="M57" s="40" t="n">
        <v>2E-005</v>
      </c>
      <c r="N57" s="39" t="n">
        <v>0.98755</v>
      </c>
      <c r="O57" s="40" t="n">
        <v>5E-005</v>
      </c>
      <c r="P57" s="39" t="n">
        <v>1.00052</v>
      </c>
      <c r="Q57" s="40" t="n">
        <v>2E-005</v>
      </c>
      <c r="R57" s="39" t="n">
        <v>0.97451</v>
      </c>
      <c r="S57" s="40" t="n">
        <v>2E-005</v>
      </c>
      <c r="T57" s="39" t="n">
        <v>0.99233</v>
      </c>
      <c r="U57" s="40" t="n">
        <v>2E-005</v>
      </c>
      <c r="V57" s="39" t="n">
        <v>0.96799</v>
      </c>
      <c r="W57" s="40" t="n">
        <v>2E-005</v>
      </c>
      <c r="X57" s="39" t="n">
        <v>0.98191</v>
      </c>
      <c r="Y57" s="40" t="n">
        <v>2E-005</v>
      </c>
    </row>
    <row r="58" customFormat="false" ht="15" hidden="false" customHeight="false" outlineLevel="0" collapsed="false">
      <c r="A58" s="38" t="n">
        <v>113</v>
      </c>
      <c r="B58" s="39" t="n">
        <v>0.99767</v>
      </c>
      <c r="C58" s="40" t="n">
        <v>4E-005</v>
      </c>
      <c r="D58" s="39" t="n">
        <v>1.08533</v>
      </c>
      <c r="E58" s="40" t="n">
        <v>-2E-005</v>
      </c>
      <c r="F58" s="39" t="n">
        <v>1.00108</v>
      </c>
      <c r="G58" s="40" t="n">
        <v>4E-005</v>
      </c>
      <c r="H58" s="39" t="n">
        <v>1.0088</v>
      </c>
      <c r="I58" s="40" t="n">
        <v>3E-005</v>
      </c>
      <c r="J58" s="39" t="n">
        <v>0.99605</v>
      </c>
      <c r="K58" s="40" t="n">
        <v>1E-005</v>
      </c>
      <c r="L58" s="39" t="n">
        <v>1.00524</v>
      </c>
      <c r="M58" s="40" t="n">
        <v>2E-005</v>
      </c>
      <c r="N58" s="39" t="n">
        <v>0.98708</v>
      </c>
      <c r="O58" s="40" t="n">
        <v>4E-005</v>
      </c>
      <c r="P58" s="39" t="n">
        <v>0.99995</v>
      </c>
      <c r="Q58" s="40" t="n">
        <v>2E-005</v>
      </c>
      <c r="R58" s="39" t="n">
        <v>0.97422</v>
      </c>
      <c r="S58" s="40" t="n">
        <v>2E-005</v>
      </c>
      <c r="T58" s="39" t="n">
        <v>0.99202</v>
      </c>
      <c r="U58" s="40" t="n">
        <v>2E-005</v>
      </c>
      <c r="V58" s="39" t="n">
        <v>0.96767</v>
      </c>
      <c r="W58" s="40" t="n">
        <v>3E-005</v>
      </c>
      <c r="X58" s="39" t="n">
        <v>0.98153</v>
      </c>
      <c r="Y58" s="40" t="n">
        <v>2E-005</v>
      </c>
    </row>
    <row r="59" customFormat="false" ht="15" hidden="false" customHeight="false" outlineLevel="0" collapsed="false">
      <c r="A59" s="38" t="n">
        <v>114</v>
      </c>
      <c r="B59" s="39" t="n">
        <v>0.99732</v>
      </c>
      <c r="C59" s="40" t="n">
        <v>3E-005</v>
      </c>
      <c r="D59" s="39" t="n">
        <v>1.08626</v>
      </c>
      <c r="E59" s="40" t="n">
        <v>-2E-005</v>
      </c>
      <c r="F59" s="39" t="n">
        <v>1.00105</v>
      </c>
      <c r="G59" s="40" t="n">
        <v>4E-005</v>
      </c>
      <c r="H59" s="39" t="n">
        <v>1.00847</v>
      </c>
      <c r="I59" s="40" t="n">
        <v>3E-005</v>
      </c>
      <c r="J59" s="39" t="n">
        <v>0.99589</v>
      </c>
      <c r="K59" s="40" t="n">
        <v>1E-005</v>
      </c>
      <c r="L59" s="39" t="n">
        <v>1.00512</v>
      </c>
      <c r="M59" s="40" t="n">
        <v>2E-005</v>
      </c>
      <c r="N59" s="39" t="n">
        <v>0.98639</v>
      </c>
      <c r="O59" s="40" t="n">
        <v>4E-005</v>
      </c>
      <c r="P59" s="39" t="n">
        <v>0.99972</v>
      </c>
      <c r="Q59" s="40" t="n">
        <v>2E-005</v>
      </c>
      <c r="R59" s="39" t="n">
        <v>0.97403</v>
      </c>
      <c r="S59" s="40" t="n">
        <v>2E-005</v>
      </c>
      <c r="T59" s="39" t="n">
        <v>0.99171</v>
      </c>
      <c r="U59" s="40" t="n">
        <v>2E-005</v>
      </c>
      <c r="V59" s="39" t="n">
        <v>0.96726</v>
      </c>
      <c r="W59" s="40" t="n">
        <v>3E-005</v>
      </c>
      <c r="X59" s="39" t="n">
        <v>0.98136</v>
      </c>
      <c r="Y59" s="40" t="n">
        <v>2E-005</v>
      </c>
    </row>
    <row r="60" customFormat="false" ht="15" hidden="false" customHeight="false" outlineLevel="0" collapsed="false">
      <c r="A60" s="38" t="n">
        <v>115</v>
      </c>
      <c r="B60" s="39" t="n">
        <v>0.99692</v>
      </c>
      <c r="C60" s="40" t="n">
        <v>3E-005</v>
      </c>
      <c r="D60" s="39" t="n">
        <v>1.08646</v>
      </c>
      <c r="E60" s="40" t="n">
        <v>0</v>
      </c>
      <c r="F60" s="39" t="n">
        <v>1.0006</v>
      </c>
      <c r="G60" s="40" t="n">
        <v>3E-005</v>
      </c>
      <c r="H60" s="39" t="n">
        <v>1.00852</v>
      </c>
      <c r="I60" s="40" t="n">
        <v>2E-005</v>
      </c>
      <c r="J60" s="39" t="n">
        <v>0.99553</v>
      </c>
      <c r="K60" s="40" t="n">
        <v>1E-005</v>
      </c>
      <c r="L60" s="39" t="n">
        <v>1.00478</v>
      </c>
      <c r="M60" s="40" t="n">
        <v>1E-005</v>
      </c>
      <c r="N60" s="39" t="n">
        <v>0.98603</v>
      </c>
      <c r="O60" s="40" t="n">
        <v>4E-005</v>
      </c>
      <c r="P60" s="39" t="n">
        <v>0.99963</v>
      </c>
      <c r="Q60" s="40" t="n">
        <v>2E-005</v>
      </c>
      <c r="R60" s="39" t="n">
        <v>0.97373</v>
      </c>
      <c r="S60" s="40" t="n">
        <v>2E-005</v>
      </c>
      <c r="T60" s="39" t="n">
        <v>0.99157</v>
      </c>
      <c r="U60" s="40" t="n">
        <v>2E-005</v>
      </c>
      <c r="V60" s="39" t="n">
        <v>0.96705</v>
      </c>
      <c r="W60" s="40" t="n">
        <v>3E-005</v>
      </c>
      <c r="X60" s="39" t="n">
        <v>0.98113</v>
      </c>
      <c r="Y60" s="40" t="n">
        <v>2E-005</v>
      </c>
    </row>
    <row r="61" customFormat="false" ht="15" hidden="false" customHeight="false" outlineLevel="0" collapsed="false">
      <c r="A61" s="38" t="n">
        <v>116</v>
      </c>
      <c r="B61" s="39" t="n">
        <v>0.99656</v>
      </c>
      <c r="C61" s="40" t="n">
        <v>4E-005</v>
      </c>
      <c r="D61" s="39" t="n">
        <v>1.08587</v>
      </c>
      <c r="E61" s="40" t="n">
        <v>-1E-005</v>
      </c>
      <c r="F61" s="39" t="n">
        <v>0.99987</v>
      </c>
      <c r="G61" s="40" t="n">
        <v>3E-005</v>
      </c>
      <c r="H61" s="39" t="n">
        <v>1.00821</v>
      </c>
      <c r="I61" s="40" t="n">
        <v>2E-005</v>
      </c>
      <c r="J61" s="39" t="n">
        <v>0.99535</v>
      </c>
      <c r="K61" s="40" t="n">
        <v>2E-005</v>
      </c>
      <c r="L61" s="39" t="n">
        <v>1.0046</v>
      </c>
      <c r="M61" s="40" t="n">
        <v>1E-005</v>
      </c>
      <c r="N61" s="39" t="n">
        <v>0.98558</v>
      </c>
      <c r="O61" s="40" t="n">
        <v>4E-005</v>
      </c>
      <c r="P61" s="39" t="n">
        <v>0.99924</v>
      </c>
      <c r="Q61" s="40" t="n">
        <v>2E-005</v>
      </c>
      <c r="R61" s="39" t="n">
        <v>0.97347</v>
      </c>
      <c r="S61" s="40" t="n">
        <v>2E-005</v>
      </c>
      <c r="T61" s="39" t="n">
        <v>0.99141</v>
      </c>
      <c r="U61" s="40" t="n">
        <v>2E-005</v>
      </c>
      <c r="V61" s="39" t="n">
        <v>0.96662</v>
      </c>
      <c r="W61" s="40" t="n">
        <v>3E-005</v>
      </c>
      <c r="X61" s="39" t="n">
        <v>0.9808</v>
      </c>
      <c r="Y61" s="40" t="n">
        <v>1E-005</v>
      </c>
    </row>
    <row r="62" customFormat="false" ht="15" hidden="false" customHeight="false" outlineLevel="0" collapsed="false">
      <c r="A62" s="38" t="n">
        <v>117</v>
      </c>
      <c r="B62" s="39" t="n">
        <v>0.99644</v>
      </c>
      <c r="C62" s="40" t="n">
        <v>3E-005</v>
      </c>
      <c r="D62" s="39" t="n">
        <v>1.08708</v>
      </c>
      <c r="E62" s="40" t="n">
        <v>-1E-005</v>
      </c>
      <c r="F62" s="39" t="n">
        <v>0.99954</v>
      </c>
      <c r="G62" s="40" t="n">
        <v>3E-005</v>
      </c>
      <c r="H62" s="39" t="n">
        <v>1.00807</v>
      </c>
      <c r="I62" s="40" t="n">
        <v>2E-005</v>
      </c>
      <c r="J62" s="39" t="n">
        <v>0.99526</v>
      </c>
      <c r="K62" s="40" t="n">
        <v>2E-005</v>
      </c>
      <c r="L62" s="39" t="n">
        <v>1.00476</v>
      </c>
      <c r="M62" s="40" t="n">
        <v>0</v>
      </c>
      <c r="N62" s="39" t="n">
        <v>0.98547</v>
      </c>
      <c r="O62" s="40" t="n">
        <v>4E-005</v>
      </c>
      <c r="P62" s="39" t="n">
        <v>0.99905</v>
      </c>
      <c r="Q62" s="40" t="n">
        <v>2E-005</v>
      </c>
      <c r="R62" s="39" t="n">
        <v>0.97334</v>
      </c>
      <c r="S62" s="40" t="n">
        <v>2E-005</v>
      </c>
      <c r="T62" s="39" t="n">
        <v>0.99114</v>
      </c>
      <c r="U62" s="40" t="n">
        <v>2E-005</v>
      </c>
      <c r="V62" s="39" t="n">
        <v>0.96627</v>
      </c>
      <c r="W62" s="40" t="n">
        <v>3E-005</v>
      </c>
      <c r="X62" s="39" t="n">
        <v>0.98081</v>
      </c>
      <c r="Y62" s="40" t="n">
        <v>1E-005</v>
      </c>
    </row>
    <row r="63" customFormat="false" ht="15" hidden="false" customHeight="false" outlineLevel="0" collapsed="false">
      <c r="A63" s="38" t="n">
        <v>118</v>
      </c>
      <c r="B63" s="39" t="n">
        <v>0.9963</v>
      </c>
      <c r="C63" s="40" t="n">
        <v>3E-005</v>
      </c>
      <c r="D63" s="39" t="n">
        <v>1.08647</v>
      </c>
      <c r="E63" s="40" t="n">
        <v>3E-005</v>
      </c>
      <c r="F63" s="39" t="n">
        <v>0.99913</v>
      </c>
      <c r="G63" s="40" t="n">
        <v>3E-005</v>
      </c>
      <c r="H63" s="39" t="n">
        <v>1.0078</v>
      </c>
      <c r="I63" s="40" t="n">
        <v>2E-005</v>
      </c>
      <c r="J63" s="39" t="n">
        <v>0.99512</v>
      </c>
      <c r="K63" s="40" t="n">
        <v>2E-005</v>
      </c>
      <c r="L63" s="39" t="n">
        <v>1.00469</v>
      </c>
      <c r="M63" s="40" t="n">
        <v>0</v>
      </c>
      <c r="N63" s="39" t="n">
        <v>0.98502</v>
      </c>
      <c r="O63" s="40" t="n">
        <v>4E-005</v>
      </c>
      <c r="P63" s="39" t="n">
        <v>0.99878</v>
      </c>
      <c r="Q63" s="40" t="n">
        <v>2E-005</v>
      </c>
      <c r="R63" s="39" t="n">
        <v>0.97304</v>
      </c>
      <c r="S63" s="40" t="n">
        <v>2E-005</v>
      </c>
      <c r="T63" s="39" t="n">
        <v>0.99105</v>
      </c>
      <c r="U63" s="40" t="n">
        <v>2E-005</v>
      </c>
      <c r="V63" s="39" t="n">
        <v>0.96609</v>
      </c>
      <c r="W63" s="40" t="n">
        <v>3E-005</v>
      </c>
      <c r="X63" s="39" t="n">
        <v>0.98057</v>
      </c>
      <c r="Y63" s="40" t="n">
        <v>2E-005</v>
      </c>
    </row>
    <row r="64" customFormat="false" ht="15" hidden="false" customHeight="false" outlineLevel="0" collapsed="false">
      <c r="A64" s="38" t="n">
        <v>119</v>
      </c>
      <c r="B64" s="39" t="n">
        <v>0.99542</v>
      </c>
      <c r="C64" s="40" t="n">
        <v>3E-005</v>
      </c>
      <c r="D64" s="39" t="n">
        <v>1.08465</v>
      </c>
      <c r="E64" s="40" t="n">
        <v>3E-005</v>
      </c>
      <c r="F64" s="39" t="n">
        <v>0.99911</v>
      </c>
      <c r="G64" s="40" t="n">
        <v>2E-005</v>
      </c>
      <c r="H64" s="39" t="n">
        <v>1.00739</v>
      </c>
      <c r="I64" s="40" t="n">
        <v>3E-005</v>
      </c>
      <c r="J64" s="39" t="n">
        <v>0.99486</v>
      </c>
      <c r="K64" s="40" t="n">
        <v>2E-005</v>
      </c>
      <c r="L64" s="39" t="n">
        <v>1.00472</v>
      </c>
      <c r="M64" s="40" t="n">
        <v>0</v>
      </c>
      <c r="N64" s="39" t="n">
        <v>0.98413</v>
      </c>
      <c r="O64" s="40" t="n">
        <v>5E-005</v>
      </c>
      <c r="P64" s="39" t="n">
        <v>0.99853</v>
      </c>
      <c r="Q64" s="40" t="n">
        <v>3E-005</v>
      </c>
      <c r="R64" s="39" t="n">
        <v>0.97253</v>
      </c>
      <c r="S64" s="40" t="n">
        <v>2E-005</v>
      </c>
      <c r="T64" s="39" t="n">
        <v>0.99095</v>
      </c>
      <c r="U64" s="40" t="n">
        <v>2E-005</v>
      </c>
      <c r="V64" s="39" t="n">
        <v>0.96567</v>
      </c>
      <c r="W64" s="40" t="n">
        <v>3E-005</v>
      </c>
      <c r="X64" s="39" t="n">
        <v>0.98048</v>
      </c>
      <c r="Y64" s="40" t="n">
        <v>2E-005</v>
      </c>
    </row>
    <row r="65" customFormat="false" ht="15" hidden="false" customHeight="false" outlineLevel="0" collapsed="false">
      <c r="A65" s="38" t="n">
        <v>120</v>
      </c>
      <c r="B65" s="39" t="n">
        <v>0.99446</v>
      </c>
      <c r="C65" s="40" t="n">
        <v>3E-005</v>
      </c>
      <c r="D65" s="39" t="n">
        <v>1.08636</v>
      </c>
      <c r="E65" s="40" t="n">
        <v>3E-005</v>
      </c>
      <c r="F65" s="39" t="n">
        <v>0.9988</v>
      </c>
      <c r="G65" s="40" t="n">
        <v>2E-005</v>
      </c>
      <c r="H65" s="39" t="n">
        <v>1.00718</v>
      </c>
      <c r="I65" s="40" t="n">
        <v>3E-005</v>
      </c>
      <c r="J65" s="39" t="n">
        <v>0.9945</v>
      </c>
      <c r="K65" s="40" t="n">
        <v>2E-005</v>
      </c>
      <c r="L65" s="39" t="n">
        <v>1.00482</v>
      </c>
      <c r="M65" s="40" t="n">
        <v>1E-005</v>
      </c>
      <c r="N65" s="39" t="n">
        <v>0.98353</v>
      </c>
      <c r="O65" s="40" t="n">
        <v>5E-005</v>
      </c>
      <c r="P65" s="39" t="n">
        <v>0.9979</v>
      </c>
      <c r="Q65" s="40" t="n">
        <v>3E-005</v>
      </c>
      <c r="R65" s="39" t="n">
        <v>0.97241</v>
      </c>
      <c r="S65" s="40" t="n">
        <v>3E-005</v>
      </c>
      <c r="T65" s="39" t="n">
        <v>0.99061</v>
      </c>
      <c r="U65" s="40" t="n">
        <v>1E-005</v>
      </c>
      <c r="V65" s="39" t="n">
        <v>0.96522</v>
      </c>
      <c r="W65" s="40" t="n">
        <v>3E-005</v>
      </c>
      <c r="X65" s="39" t="n">
        <v>0.98019</v>
      </c>
      <c r="Y65" s="40" t="n">
        <v>2E-005</v>
      </c>
    </row>
    <row r="66" customFormat="false" ht="15" hidden="false" customHeight="false" outlineLevel="0" collapsed="false">
      <c r="A66" s="38" t="n">
        <v>121</v>
      </c>
      <c r="B66" s="39" t="n">
        <v>0.99474</v>
      </c>
      <c r="C66" s="40" t="n">
        <v>4E-005</v>
      </c>
      <c r="D66" s="39" t="n">
        <v>1.08615</v>
      </c>
      <c r="E66" s="40" t="n">
        <v>3E-005</v>
      </c>
      <c r="F66" s="39" t="n">
        <v>0.99862</v>
      </c>
      <c r="G66" s="40" t="n">
        <v>2E-005</v>
      </c>
      <c r="H66" s="39" t="n">
        <v>1.00678</v>
      </c>
      <c r="I66" s="40" t="n">
        <v>4E-005</v>
      </c>
      <c r="J66" s="39" t="n">
        <v>0.99425</v>
      </c>
      <c r="K66" s="40" t="n">
        <v>2E-005</v>
      </c>
      <c r="L66" s="39" t="n">
        <v>1.0047</v>
      </c>
      <c r="M66" s="40" t="n">
        <v>1E-005</v>
      </c>
      <c r="N66" s="39" t="n">
        <v>0.98312</v>
      </c>
      <c r="O66" s="40" t="n">
        <v>5E-005</v>
      </c>
      <c r="P66" s="39" t="n">
        <v>0.99777</v>
      </c>
      <c r="Q66" s="40" t="n">
        <v>3E-005</v>
      </c>
      <c r="R66" s="39" t="n">
        <v>0.97219</v>
      </c>
      <c r="S66" s="40" t="n">
        <v>3E-005</v>
      </c>
      <c r="T66" s="39" t="n">
        <v>0.99041</v>
      </c>
      <c r="U66" s="40" t="n">
        <v>2E-005</v>
      </c>
      <c r="V66" s="39" t="n">
        <v>0.96484</v>
      </c>
      <c r="W66" s="40" t="n">
        <v>4E-005</v>
      </c>
      <c r="X66" s="39" t="n">
        <v>0.97989</v>
      </c>
      <c r="Y66" s="40" t="n">
        <v>3E-005</v>
      </c>
    </row>
    <row r="67" customFormat="false" ht="15" hidden="false" customHeight="false" outlineLevel="0" collapsed="false">
      <c r="A67" s="38" t="n">
        <v>122</v>
      </c>
      <c r="B67" s="39" t="n">
        <v>0.99459</v>
      </c>
      <c r="C67" s="40" t="n">
        <v>3E-005</v>
      </c>
      <c r="D67" s="39" t="n">
        <v>1.08405</v>
      </c>
      <c r="E67" s="40" t="n">
        <v>4E-005</v>
      </c>
      <c r="F67" s="39" t="n">
        <v>0.99851</v>
      </c>
      <c r="G67" s="40" t="n">
        <v>2E-005</v>
      </c>
      <c r="H67" s="39" t="n">
        <v>1.00637</v>
      </c>
      <c r="I67" s="40" t="n">
        <v>3E-005</v>
      </c>
      <c r="J67" s="39" t="n">
        <v>0.994</v>
      </c>
      <c r="K67" s="40" t="n">
        <v>2E-005</v>
      </c>
      <c r="L67" s="39" t="n">
        <v>1.00442</v>
      </c>
      <c r="M67" s="40" t="n">
        <v>1E-005</v>
      </c>
      <c r="N67" s="39" t="n">
        <v>0.98234</v>
      </c>
      <c r="O67" s="40" t="n">
        <v>5E-005</v>
      </c>
      <c r="P67" s="39" t="n">
        <v>0.99755</v>
      </c>
      <c r="Q67" s="40" t="n">
        <v>2E-005</v>
      </c>
      <c r="R67" s="39" t="n">
        <v>0.9719</v>
      </c>
      <c r="S67" s="40" t="n">
        <v>3E-005</v>
      </c>
      <c r="T67" s="39" t="n">
        <v>0.99016</v>
      </c>
      <c r="U67" s="40" t="n">
        <v>2E-005</v>
      </c>
      <c r="V67" s="39" t="n">
        <v>0.96444</v>
      </c>
      <c r="W67" s="40" t="n">
        <v>4E-005</v>
      </c>
      <c r="X67" s="39" t="n">
        <v>0.97926</v>
      </c>
      <c r="Y67" s="40" t="n">
        <v>3E-005</v>
      </c>
    </row>
    <row r="68" customFormat="false" ht="15" hidden="false" customHeight="false" outlineLevel="0" collapsed="false">
      <c r="A68" s="38" t="n">
        <v>123</v>
      </c>
      <c r="B68" s="39" t="n">
        <v>0.9939</v>
      </c>
      <c r="C68" s="40" t="n">
        <v>3E-005</v>
      </c>
      <c r="D68" s="39" t="n">
        <v>1.08398</v>
      </c>
      <c r="E68" s="40" t="n">
        <v>2E-005</v>
      </c>
      <c r="F68" s="39" t="n">
        <v>0.99793</v>
      </c>
      <c r="G68" s="40" t="n">
        <v>2E-005</v>
      </c>
      <c r="H68" s="39" t="n">
        <v>1.00578</v>
      </c>
      <c r="I68" s="40" t="n">
        <v>3E-005</v>
      </c>
      <c r="J68" s="39" t="n">
        <v>0.99372</v>
      </c>
      <c r="K68" s="40" t="n">
        <v>3E-005</v>
      </c>
      <c r="L68" s="39" t="n">
        <v>1.00392</v>
      </c>
      <c r="M68" s="40" t="n">
        <v>1E-005</v>
      </c>
      <c r="N68" s="39" t="n">
        <v>0.98183</v>
      </c>
      <c r="O68" s="40" t="n">
        <v>5E-005</v>
      </c>
      <c r="P68" s="39" t="n">
        <v>0.99715</v>
      </c>
      <c r="Q68" s="40" t="n">
        <v>2E-005</v>
      </c>
      <c r="R68" s="39" t="n">
        <v>0.9715</v>
      </c>
      <c r="S68" s="40" t="n">
        <v>3E-005</v>
      </c>
      <c r="T68" s="39" t="n">
        <v>0.99014</v>
      </c>
      <c r="U68" s="40" t="n">
        <v>2E-005</v>
      </c>
      <c r="V68" s="39" t="n">
        <v>0.96395</v>
      </c>
      <c r="W68" s="40" t="n">
        <v>4E-005</v>
      </c>
      <c r="X68" s="39" t="n">
        <v>0.97895</v>
      </c>
      <c r="Y68" s="40" t="n">
        <v>4E-005</v>
      </c>
    </row>
    <row r="69" customFormat="false" ht="15" hidden="false" customHeight="false" outlineLevel="0" collapsed="false">
      <c r="A69" s="38" t="n">
        <v>124</v>
      </c>
      <c r="B69" s="39" t="n">
        <v>0.99343</v>
      </c>
      <c r="C69" s="40" t="n">
        <v>3E-005</v>
      </c>
      <c r="D69" s="39" t="n">
        <v>1.08456</v>
      </c>
      <c r="E69" s="40" t="n">
        <v>3E-005</v>
      </c>
      <c r="F69" s="39" t="n">
        <v>0.99744</v>
      </c>
      <c r="G69" s="40" t="n">
        <v>2E-005</v>
      </c>
      <c r="H69" s="39" t="n">
        <v>1.00535</v>
      </c>
      <c r="I69" s="40" t="n">
        <v>3E-005</v>
      </c>
      <c r="J69" s="39" t="n">
        <v>0.99343</v>
      </c>
      <c r="K69" s="40" t="n">
        <v>2E-005</v>
      </c>
      <c r="L69" s="39" t="n">
        <v>1.00379</v>
      </c>
      <c r="M69" s="40" t="n">
        <v>2E-005</v>
      </c>
      <c r="N69" s="39" t="n">
        <v>0.98139</v>
      </c>
      <c r="O69" s="40" t="n">
        <v>5E-005</v>
      </c>
      <c r="P69" s="39" t="n">
        <v>0.99677</v>
      </c>
      <c r="Q69" s="40" t="n">
        <v>3E-005</v>
      </c>
      <c r="R69" s="39" t="n">
        <v>0.97088</v>
      </c>
      <c r="S69" s="40" t="n">
        <v>3E-005</v>
      </c>
      <c r="T69" s="39" t="n">
        <v>0.98993</v>
      </c>
      <c r="U69" s="40" t="n">
        <v>2E-005</v>
      </c>
      <c r="V69" s="39" t="n">
        <v>0.96352</v>
      </c>
      <c r="W69" s="40" t="n">
        <v>3E-005</v>
      </c>
      <c r="X69" s="39" t="n">
        <v>0.97879</v>
      </c>
      <c r="Y69" s="40" t="n">
        <v>4E-005</v>
      </c>
    </row>
    <row r="70" customFormat="false" ht="15" hidden="false" customHeight="false" outlineLevel="0" collapsed="false">
      <c r="A70" s="38" t="n">
        <v>125</v>
      </c>
      <c r="B70" s="39" t="n">
        <v>0.99302</v>
      </c>
      <c r="C70" s="40" t="n">
        <v>5E-005</v>
      </c>
      <c r="D70" s="39" t="n">
        <v>1.08378</v>
      </c>
      <c r="E70" s="40" t="n">
        <v>2E-005</v>
      </c>
      <c r="F70" s="39" t="n">
        <v>0.99736</v>
      </c>
      <c r="G70" s="40" t="n">
        <v>3E-005</v>
      </c>
      <c r="H70" s="39" t="n">
        <v>1.00529</v>
      </c>
      <c r="I70" s="40" t="n">
        <v>3E-005</v>
      </c>
      <c r="J70" s="39" t="n">
        <v>0.99307</v>
      </c>
      <c r="K70" s="40" t="n">
        <v>2E-005</v>
      </c>
      <c r="L70" s="39" t="n">
        <v>1.0038</v>
      </c>
      <c r="M70" s="40" t="n">
        <v>2E-005</v>
      </c>
      <c r="N70" s="39" t="n">
        <v>0.98053</v>
      </c>
      <c r="O70" s="40" t="n">
        <v>5E-005</v>
      </c>
      <c r="P70" s="39" t="n">
        <v>0.99665</v>
      </c>
      <c r="Q70" s="40" t="n">
        <v>3E-005</v>
      </c>
      <c r="R70" s="39" t="n">
        <v>0.97054</v>
      </c>
      <c r="S70" s="40" t="n">
        <v>3E-005</v>
      </c>
      <c r="T70" s="39" t="n">
        <v>0.98942</v>
      </c>
      <c r="U70" s="40" t="n">
        <v>2E-005</v>
      </c>
      <c r="V70" s="39" t="n">
        <v>0.96309</v>
      </c>
      <c r="W70" s="40" t="n">
        <v>3E-005</v>
      </c>
      <c r="X70" s="39" t="n">
        <v>0.97821</v>
      </c>
      <c r="Y70" s="40" t="n">
        <v>3E-005</v>
      </c>
    </row>
    <row r="71" customFormat="false" ht="15" hidden="false" customHeight="false" outlineLevel="0" collapsed="false">
      <c r="A71" s="38" t="n">
        <v>126</v>
      </c>
      <c r="B71" s="39" t="n">
        <v>0.99286</v>
      </c>
      <c r="C71" s="40" t="n">
        <v>5E-005</v>
      </c>
      <c r="D71" s="39" t="n">
        <v>1.08305</v>
      </c>
      <c r="E71" s="40" t="n">
        <v>1E-005</v>
      </c>
      <c r="F71" s="39" t="n">
        <v>0.99733</v>
      </c>
      <c r="G71" s="40" t="n">
        <v>3E-005</v>
      </c>
      <c r="H71" s="39" t="n">
        <v>1.00538</v>
      </c>
      <c r="I71" s="40" t="n">
        <v>2E-005</v>
      </c>
      <c r="J71" s="39" t="n">
        <v>0.99289</v>
      </c>
      <c r="K71" s="40" t="n">
        <v>1E-005</v>
      </c>
      <c r="L71" s="39" t="n">
        <v>1.00401</v>
      </c>
      <c r="M71" s="40" t="n">
        <v>2E-005</v>
      </c>
      <c r="N71" s="39" t="n">
        <v>0.98014</v>
      </c>
      <c r="O71" s="40" t="n">
        <v>6E-005</v>
      </c>
      <c r="P71" s="39" t="n">
        <v>0.99638</v>
      </c>
      <c r="Q71" s="40" t="n">
        <v>3E-005</v>
      </c>
      <c r="R71" s="39" t="n">
        <v>0.97023</v>
      </c>
      <c r="S71" s="40" t="n">
        <v>3E-005</v>
      </c>
      <c r="T71" s="39" t="n">
        <v>0.98911</v>
      </c>
      <c r="U71" s="40" t="n">
        <v>2E-005</v>
      </c>
      <c r="V71" s="39" t="n">
        <v>0.96273</v>
      </c>
      <c r="W71" s="40" t="n">
        <v>3E-005</v>
      </c>
      <c r="X71" s="39" t="n">
        <v>0.97765</v>
      </c>
      <c r="Y71" s="40" t="n">
        <v>3E-005</v>
      </c>
    </row>
    <row r="72" customFormat="false" ht="15" hidden="false" customHeight="false" outlineLevel="0" collapsed="false">
      <c r="A72" s="38" t="n">
        <v>127</v>
      </c>
      <c r="B72" s="39" t="n">
        <v>0.99195</v>
      </c>
      <c r="C72" s="40" t="n">
        <v>4E-005</v>
      </c>
      <c r="D72" s="39" t="n">
        <v>1.08344</v>
      </c>
      <c r="E72" s="40" t="n">
        <v>5E-005</v>
      </c>
      <c r="F72" s="39" t="n">
        <v>0.9968</v>
      </c>
      <c r="G72" s="40" t="n">
        <v>3E-005</v>
      </c>
      <c r="H72" s="39" t="n">
        <v>1.00488</v>
      </c>
      <c r="I72" s="40" t="n">
        <v>2E-005</v>
      </c>
      <c r="J72" s="39" t="n">
        <v>0.99251</v>
      </c>
      <c r="K72" s="40" t="n">
        <v>3E-005</v>
      </c>
      <c r="L72" s="39" t="n">
        <v>1.0034</v>
      </c>
      <c r="M72" s="40" t="n">
        <v>1E-005</v>
      </c>
      <c r="N72" s="39" t="n">
        <v>0.97939</v>
      </c>
      <c r="O72" s="40" t="n">
        <v>6E-005</v>
      </c>
      <c r="P72" s="39" t="n">
        <v>0.99589</v>
      </c>
      <c r="Q72" s="40" t="n">
        <v>3E-005</v>
      </c>
      <c r="R72" s="39" t="n">
        <v>0.96997</v>
      </c>
      <c r="S72" s="40" t="n">
        <v>3E-005</v>
      </c>
      <c r="T72" s="39" t="n">
        <v>0.98898</v>
      </c>
      <c r="U72" s="40" t="n">
        <v>2E-005</v>
      </c>
      <c r="V72" s="39" t="n">
        <v>0.96238</v>
      </c>
      <c r="W72" s="40" t="n">
        <v>3E-005</v>
      </c>
      <c r="X72" s="39" t="n">
        <v>0.97736</v>
      </c>
      <c r="Y72" s="40" t="n">
        <v>3E-005</v>
      </c>
    </row>
    <row r="73" customFormat="false" ht="15" hidden="false" customHeight="false" outlineLevel="0" collapsed="false">
      <c r="A73" s="38" t="n">
        <v>128</v>
      </c>
      <c r="B73" s="39" t="n">
        <v>0.99146</v>
      </c>
      <c r="C73" s="40" t="n">
        <v>4E-005</v>
      </c>
      <c r="D73" s="39" t="n">
        <v>1.08392</v>
      </c>
      <c r="E73" s="40" t="n">
        <v>5E-005</v>
      </c>
      <c r="F73" s="39" t="n">
        <v>0.99649</v>
      </c>
      <c r="G73" s="40" t="n">
        <v>3E-005</v>
      </c>
      <c r="H73" s="39" t="n">
        <v>1.00427</v>
      </c>
      <c r="I73" s="40" t="n">
        <v>2E-005</v>
      </c>
      <c r="J73" s="39" t="n">
        <v>0.99244</v>
      </c>
      <c r="K73" s="40" t="n">
        <v>5E-005</v>
      </c>
      <c r="L73" s="39" t="n">
        <v>1.00318</v>
      </c>
      <c r="M73" s="40" t="n">
        <v>2E-005</v>
      </c>
      <c r="N73" s="39" t="n">
        <v>0.97877</v>
      </c>
      <c r="O73" s="40" t="n">
        <v>5E-005</v>
      </c>
      <c r="P73" s="39" t="n">
        <v>0.99518</v>
      </c>
      <c r="Q73" s="40" t="n">
        <v>3E-005</v>
      </c>
      <c r="R73" s="39" t="n">
        <v>0.96959</v>
      </c>
      <c r="S73" s="40" t="n">
        <v>3E-005</v>
      </c>
      <c r="T73" s="39" t="n">
        <v>0.98885</v>
      </c>
      <c r="U73" s="40" t="n">
        <v>3E-005</v>
      </c>
      <c r="V73" s="39" t="n">
        <v>0.96191</v>
      </c>
      <c r="W73" s="40" t="n">
        <v>3E-005</v>
      </c>
      <c r="X73" s="39" t="n">
        <v>0.97713</v>
      </c>
      <c r="Y73" s="40" t="n">
        <v>3E-005</v>
      </c>
    </row>
    <row r="74" customFormat="false" ht="15" hidden="false" customHeight="false" outlineLevel="0" collapsed="false">
      <c r="A74" s="38" t="n">
        <v>129</v>
      </c>
      <c r="B74" s="39" t="n">
        <v>0.99092</v>
      </c>
      <c r="C74" s="40" t="n">
        <v>4E-005</v>
      </c>
      <c r="D74" s="39" t="n">
        <v>1.08237</v>
      </c>
      <c r="E74" s="40" t="n">
        <v>3E-005</v>
      </c>
      <c r="F74" s="39" t="n">
        <v>0.99599</v>
      </c>
      <c r="G74" s="40" t="n">
        <v>3E-005</v>
      </c>
      <c r="H74" s="39" t="n">
        <v>1.0041</v>
      </c>
      <c r="I74" s="40" t="n">
        <v>3E-005</v>
      </c>
      <c r="J74" s="39" t="n">
        <v>0.99233</v>
      </c>
      <c r="K74" s="40" t="n">
        <v>6E-005</v>
      </c>
      <c r="L74" s="39" t="n">
        <v>1.00296</v>
      </c>
      <c r="M74" s="40" t="n">
        <v>2E-005</v>
      </c>
      <c r="N74" s="39" t="n">
        <v>0.97789</v>
      </c>
      <c r="O74" s="40" t="n">
        <v>5E-005</v>
      </c>
      <c r="P74" s="39" t="n">
        <v>0.99509</v>
      </c>
      <c r="Q74" s="40" t="n">
        <v>3E-005</v>
      </c>
      <c r="R74" s="39" t="n">
        <v>0.96903</v>
      </c>
      <c r="S74" s="40" t="n">
        <v>2E-005</v>
      </c>
      <c r="T74" s="39" t="n">
        <v>0.98852</v>
      </c>
      <c r="U74" s="40" t="n">
        <v>2E-005</v>
      </c>
      <c r="V74" s="39" t="n">
        <v>0.96151</v>
      </c>
      <c r="W74" s="40" t="n">
        <v>3E-005</v>
      </c>
      <c r="X74" s="39" t="n">
        <v>0.97679</v>
      </c>
      <c r="Y74" s="40" t="n">
        <v>3E-005</v>
      </c>
    </row>
    <row r="75" customFormat="false" ht="15" hidden="false" customHeight="false" outlineLevel="0" collapsed="false">
      <c r="A75" s="38" t="n">
        <v>130</v>
      </c>
      <c r="B75" s="39" t="n">
        <v>0.99075</v>
      </c>
      <c r="C75" s="40" t="n">
        <v>4E-005</v>
      </c>
      <c r="D75" s="39" t="n">
        <v>1.08123</v>
      </c>
      <c r="E75" s="40" t="n">
        <v>6E-005</v>
      </c>
      <c r="F75" s="39" t="n">
        <v>0.99563</v>
      </c>
      <c r="G75" s="40" t="n">
        <v>4E-005</v>
      </c>
      <c r="H75" s="39" t="n">
        <v>1.00395</v>
      </c>
      <c r="I75" s="40" t="n">
        <v>3E-005</v>
      </c>
      <c r="J75" s="39" t="n">
        <v>0.99189</v>
      </c>
      <c r="K75" s="40" t="n">
        <v>7E-005</v>
      </c>
      <c r="L75" s="39" t="n">
        <v>1.00272</v>
      </c>
      <c r="M75" s="40" t="n">
        <v>2E-005</v>
      </c>
      <c r="N75" s="39" t="n">
        <v>0.97713</v>
      </c>
      <c r="O75" s="40" t="n">
        <v>6E-005</v>
      </c>
      <c r="P75" s="39" t="n">
        <v>0.99476</v>
      </c>
      <c r="Q75" s="40" t="n">
        <v>3E-005</v>
      </c>
      <c r="R75" s="39" t="n">
        <v>0.96885</v>
      </c>
      <c r="S75" s="40" t="n">
        <v>2E-005</v>
      </c>
      <c r="T75" s="39" t="n">
        <v>0.98802</v>
      </c>
      <c r="U75" s="40" t="n">
        <v>3E-005</v>
      </c>
      <c r="V75" s="39" t="n">
        <v>0.96107</v>
      </c>
      <c r="W75" s="40" t="n">
        <v>4E-005</v>
      </c>
      <c r="X75" s="39" t="n">
        <v>0.97647</v>
      </c>
      <c r="Y75" s="40" t="n">
        <v>3E-005</v>
      </c>
    </row>
    <row r="76" customFormat="false" ht="15" hidden="false" customHeight="false" outlineLevel="0" collapsed="false">
      <c r="A76" s="38" t="n">
        <v>131</v>
      </c>
      <c r="B76" s="39" t="n">
        <v>0.99043</v>
      </c>
      <c r="C76" s="40" t="n">
        <v>3E-005</v>
      </c>
      <c r="D76" s="39" t="n">
        <v>1.07975</v>
      </c>
      <c r="E76" s="40" t="n">
        <v>7E-005</v>
      </c>
      <c r="F76" s="39" t="n">
        <v>0.99515</v>
      </c>
      <c r="G76" s="40" t="n">
        <v>3E-005</v>
      </c>
      <c r="H76" s="39" t="n">
        <v>1.0037</v>
      </c>
      <c r="I76" s="40" t="n">
        <v>2E-005</v>
      </c>
      <c r="J76" s="39" t="n">
        <v>0.98935</v>
      </c>
      <c r="K76" s="40" t="n">
        <v>7E-005</v>
      </c>
      <c r="L76" s="39" t="n">
        <v>1.00257</v>
      </c>
      <c r="M76" s="40" t="n">
        <v>1E-005</v>
      </c>
      <c r="N76" s="39" t="n">
        <v>0.9768</v>
      </c>
      <c r="O76" s="40" t="n">
        <v>5E-005</v>
      </c>
      <c r="P76" s="39" t="n">
        <v>0.99442</v>
      </c>
      <c r="Q76" s="40" t="n">
        <v>3E-005</v>
      </c>
      <c r="R76" s="39" t="n">
        <v>0.96855</v>
      </c>
      <c r="S76" s="40" t="n">
        <v>2E-005</v>
      </c>
      <c r="T76" s="39" t="n">
        <v>0.98773</v>
      </c>
      <c r="U76" s="40" t="n">
        <v>3E-005</v>
      </c>
      <c r="V76" s="39" t="n">
        <v>0.96062</v>
      </c>
      <c r="W76" s="40" t="n">
        <v>4E-005</v>
      </c>
      <c r="X76" s="39" t="n">
        <v>0.97602</v>
      </c>
      <c r="Y76" s="40" t="n">
        <v>3E-005</v>
      </c>
    </row>
    <row r="77" customFormat="false" ht="15" hidden="false" customHeight="false" outlineLevel="0" collapsed="false">
      <c r="A77" s="38" t="n">
        <v>132</v>
      </c>
      <c r="B77" s="39" t="n">
        <v>0.9898</v>
      </c>
      <c r="C77" s="40" t="n">
        <v>3E-005</v>
      </c>
      <c r="D77" s="39" t="n">
        <v>1.08145</v>
      </c>
      <c r="E77" s="40" t="n">
        <v>5E-005</v>
      </c>
      <c r="F77" s="39" t="n">
        <v>0.99486</v>
      </c>
      <c r="G77" s="40" t="n">
        <v>2E-005</v>
      </c>
      <c r="H77" s="39" t="n">
        <v>1.00344</v>
      </c>
      <c r="I77" s="40" t="n">
        <v>1E-005</v>
      </c>
      <c r="J77" s="39" t="n">
        <v>0.98854</v>
      </c>
      <c r="K77" s="40" t="n">
        <v>6E-005</v>
      </c>
      <c r="L77" s="39" t="n">
        <v>1.00239</v>
      </c>
      <c r="M77" s="40" t="n">
        <v>1E-005</v>
      </c>
      <c r="N77" s="39" t="n">
        <v>0.97645</v>
      </c>
      <c r="O77" s="40" t="n">
        <v>5E-005</v>
      </c>
      <c r="P77" s="39" t="n">
        <v>0.99394</v>
      </c>
      <c r="Q77" s="40" t="n">
        <v>3E-005</v>
      </c>
      <c r="R77" s="39" t="n">
        <v>0.96831</v>
      </c>
      <c r="S77" s="40" t="n">
        <v>2E-005</v>
      </c>
      <c r="T77" s="39" t="n">
        <v>0.98722</v>
      </c>
      <c r="U77" s="40" t="n">
        <v>3E-005</v>
      </c>
      <c r="V77" s="39" t="n">
        <v>0.96013</v>
      </c>
      <c r="W77" s="40" t="n">
        <v>4E-005</v>
      </c>
      <c r="X77" s="39" t="n">
        <v>0.97554</v>
      </c>
      <c r="Y77" s="40" t="n">
        <v>4E-005</v>
      </c>
    </row>
    <row r="78" customFormat="false" ht="15" hidden="false" customHeight="false" outlineLevel="0" collapsed="false">
      <c r="A78" s="38" t="n">
        <v>133</v>
      </c>
      <c r="B78" s="39" t="n">
        <v>0.98947</v>
      </c>
      <c r="C78" s="40" t="n">
        <v>4E-005</v>
      </c>
      <c r="D78" s="39" t="n">
        <v>1.0809</v>
      </c>
      <c r="E78" s="40" t="n">
        <v>1E-005</v>
      </c>
      <c r="F78" s="39" t="n">
        <v>0.99468</v>
      </c>
      <c r="G78" s="40" t="n">
        <v>2E-005</v>
      </c>
      <c r="H78" s="39" t="n">
        <v>1.00319</v>
      </c>
      <c r="I78" s="40" t="n">
        <v>1E-005</v>
      </c>
      <c r="J78" s="39" t="n">
        <v>0.9884</v>
      </c>
      <c r="K78" s="40" t="n">
        <v>5E-005</v>
      </c>
      <c r="L78" s="39" t="n">
        <v>1.00229</v>
      </c>
      <c r="M78" s="40" t="n">
        <v>2E-005</v>
      </c>
      <c r="N78" s="39" t="n">
        <v>0.97542</v>
      </c>
      <c r="O78" s="40" t="n">
        <v>5E-005</v>
      </c>
      <c r="P78" s="39" t="n">
        <v>0.99363</v>
      </c>
      <c r="Q78" s="40" t="n">
        <v>3E-005</v>
      </c>
      <c r="R78" s="39" t="n">
        <v>0.9683</v>
      </c>
      <c r="S78" s="40" t="n">
        <v>2E-005</v>
      </c>
      <c r="T78" s="39" t="n">
        <v>0.98715</v>
      </c>
      <c r="U78" s="40" t="n">
        <v>3E-005</v>
      </c>
      <c r="V78" s="39" t="n">
        <v>0.95981</v>
      </c>
      <c r="W78" s="40" t="n">
        <v>4E-005</v>
      </c>
      <c r="X78" s="39" t="n">
        <v>0.97512</v>
      </c>
      <c r="Y78" s="40" t="n">
        <v>3E-005</v>
      </c>
    </row>
    <row r="79" customFormat="false" ht="15" hidden="false" customHeight="false" outlineLevel="0" collapsed="false">
      <c r="A79" s="38" t="n">
        <v>134</v>
      </c>
      <c r="B79" s="39" t="n">
        <v>0.989</v>
      </c>
      <c r="C79" s="40" t="n">
        <v>4E-005</v>
      </c>
      <c r="D79" s="39" t="n">
        <v>1.07858</v>
      </c>
      <c r="E79" s="40" t="n">
        <v>0</v>
      </c>
      <c r="F79" s="39" t="n">
        <v>0.99437</v>
      </c>
      <c r="G79" s="40" t="n">
        <v>2E-005</v>
      </c>
      <c r="H79" s="39" t="n">
        <v>1.0029</v>
      </c>
      <c r="I79" s="40" t="n">
        <v>1E-005</v>
      </c>
      <c r="J79" s="39" t="n">
        <v>0.98842</v>
      </c>
      <c r="K79" s="40" t="n">
        <v>3E-005</v>
      </c>
      <c r="L79" s="39" t="n">
        <v>1.0021</v>
      </c>
      <c r="M79" s="40" t="n">
        <v>2E-005</v>
      </c>
      <c r="N79" s="39" t="n">
        <v>0.97464</v>
      </c>
      <c r="O79" s="40" t="n">
        <v>6E-005</v>
      </c>
      <c r="P79" s="39" t="n">
        <v>0.99319</v>
      </c>
      <c r="Q79" s="40" t="n">
        <v>3E-005</v>
      </c>
      <c r="R79" s="39" t="n">
        <v>0.96796</v>
      </c>
      <c r="S79" s="40" t="n">
        <v>3E-005</v>
      </c>
      <c r="T79" s="39" t="n">
        <v>0.98686</v>
      </c>
      <c r="U79" s="40" t="n">
        <v>2E-005</v>
      </c>
      <c r="V79" s="39" t="n">
        <v>0.95919</v>
      </c>
      <c r="W79" s="40" t="n">
        <v>4E-005</v>
      </c>
      <c r="X79" s="39" t="n">
        <v>0.97476</v>
      </c>
      <c r="Y79" s="40" t="n">
        <v>4E-005</v>
      </c>
    </row>
    <row r="80" customFormat="false" ht="15" hidden="false" customHeight="false" outlineLevel="0" collapsed="false">
      <c r="A80" s="38" t="n">
        <v>135</v>
      </c>
      <c r="B80" s="39" t="n">
        <v>0.98842</v>
      </c>
      <c r="C80" s="40" t="n">
        <v>4E-005</v>
      </c>
      <c r="D80" s="39" t="n">
        <v>1.07902</v>
      </c>
      <c r="E80" s="40" t="n">
        <v>-1E-005</v>
      </c>
      <c r="F80" s="39" t="n">
        <v>0.99445</v>
      </c>
      <c r="G80" s="40" t="n">
        <v>2E-005</v>
      </c>
      <c r="H80" s="39" t="n">
        <v>1.00312</v>
      </c>
      <c r="I80" s="40" t="n">
        <v>1E-005</v>
      </c>
      <c r="J80" s="39" t="n">
        <v>0.98806</v>
      </c>
      <c r="K80" s="40" t="n">
        <v>1E-005</v>
      </c>
      <c r="L80" s="39" t="n">
        <v>1.00189</v>
      </c>
      <c r="M80" s="40" t="n">
        <v>1E-005</v>
      </c>
      <c r="N80" s="39" t="n">
        <v>0.9743</v>
      </c>
      <c r="O80" s="40" t="n">
        <v>6E-005</v>
      </c>
      <c r="P80" s="39" t="n">
        <v>0.99299</v>
      </c>
      <c r="Q80" s="40" t="n">
        <v>3E-005</v>
      </c>
      <c r="R80" s="39" t="n">
        <v>0.96737</v>
      </c>
      <c r="S80" s="40" t="n">
        <v>3E-005</v>
      </c>
      <c r="T80" s="39" t="n">
        <v>0.98646</v>
      </c>
      <c r="U80" s="40" t="n">
        <v>3E-005</v>
      </c>
      <c r="V80" s="39" t="n">
        <v>0.95874</v>
      </c>
      <c r="W80" s="40" t="n">
        <v>4E-005</v>
      </c>
      <c r="X80" s="39" t="n">
        <v>0.97422</v>
      </c>
      <c r="Y80" s="40" t="n">
        <v>4E-005</v>
      </c>
    </row>
    <row r="81" customFormat="false" ht="15" hidden="false" customHeight="false" outlineLevel="0" collapsed="false">
      <c r="A81" s="38" t="n">
        <v>136</v>
      </c>
      <c r="B81" s="39" t="n">
        <v>0.98789</v>
      </c>
      <c r="C81" s="40" t="n">
        <v>3E-005</v>
      </c>
      <c r="D81" s="39" t="n">
        <v>1.08084</v>
      </c>
      <c r="E81" s="40" t="n">
        <v>0</v>
      </c>
      <c r="F81" s="39" t="n">
        <v>0.99423</v>
      </c>
      <c r="G81" s="40" t="n">
        <v>2E-005</v>
      </c>
      <c r="H81" s="39" t="n">
        <v>1.00296</v>
      </c>
      <c r="I81" s="40" t="n">
        <v>1E-005</v>
      </c>
      <c r="J81" s="39" t="n">
        <v>0.98799</v>
      </c>
      <c r="K81" s="40" t="n">
        <v>1E-005</v>
      </c>
      <c r="L81" s="39" t="n">
        <v>1.00187</v>
      </c>
      <c r="M81" s="40" t="n">
        <v>1E-005</v>
      </c>
      <c r="N81" s="39" t="n">
        <v>0.97342</v>
      </c>
      <c r="O81" s="40" t="n">
        <v>6E-005</v>
      </c>
      <c r="P81" s="39" t="n">
        <v>0.9927</v>
      </c>
      <c r="Q81" s="40" t="n">
        <v>3E-005</v>
      </c>
      <c r="R81" s="39" t="n">
        <v>0.96689</v>
      </c>
      <c r="S81" s="40" t="n">
        <v>4E-005</v>
      </c>
      <c r="T81" s="39" t="n">
        <v>0.98596</v>
      </c>
      <c r="U81" s="40" t="n">
        <v>3E-005</v>
      </c>
      <c r="V81" s="39" t="n">
        <v>0.95841</v>
      </c>
      <c r="W81" s="40" t="n">
        <v>4E-005</v>
      </c>
      <c r="X81" s="39" t="n">
        <v>0.97391</v>
      </c>
      <c r="Y81" s="40" t="n">
        <v>4E-005</v>
      </c>
    </row>
    <row r="82" customFormat="false" ht="15" hidden="false" customHeight="false" outlineLevel="0" collapsed="false">
      <c r="A82" s="38" t="n">
        <v>137</v>
      </c>
      <c r="B82" s="39" t="n">
        <v>0.98751</v>
      </c>
      <c r="C82" s="40" t="n">
        <v>4E-005</v>
      </c>
      <c r="D82" s="39" t="n">
        <v>1.08061</v>
      </c>
      <c r="E82" s="40" t="n">
        <v>-2E-005</v>
      </c>
      <c r="F82" s="39" t="n">
        <v>0.99388</v>
      </c>
      <c r="G82" s="40" t="n">
        <v>3E-005</v>
      </c>
      <c r="H82" s="39" t="n">
        <v>1.00278</v>
      </c>
      <c r="I82" s="40" t="n">
        <v>0</v>
      </c>
      <c r="J82" s="39" t="n">
        <v>0.98781</v>
      </c>
      <c r="K82" s="40" t="n">
        <v>2E-005</v>
      </c>
      <c r="L82" s="39" t="n">
        <v>1.00134</v>
      </c>
      <c r="M82" s="40" t="n">
        <v>2E-005</v>
      </c>
      <c r="N82" s="39" t="n">
        <v>0.97263</v>
      </c>
      <c r="O82" s="40" t="n">
        <v>5E-005</v>
      </c>
      <c r="P82" s="39" t="n">
        <v>0.99236</v>
      </c>
      <c r="Q82" s="40" t="n">
        <v>2E-005</v>
      </c>
      <c r="R82" s="39" t="n">
        <v>0.96666</v>
      </c>
      <c r="S82" s="40" t="n">
        <v>4E-005</v>
      </c>
      <c r="T82" s="39" t="n">
        <v>0.98576</v>
      </c>
      <c r="U82" s="40" t="n">
        <v>3E-005</v>
      </c>
      <c r="V82" s="39" t="n">
        <v>0.95794</v>
      </c>
      <c r="W82" s="40" t="n">
        <v>4E-005</v>
      </c>
      <c r="X82" s="39" t="n">
        <v>0.9736</v>
      </c>
      <c r="Y82" s="40" t="n">
        <v>4E-005</v>
      </c>
    </row>
    <row r="83" customFormat="false" ht="15" hidden="false" customHeight="false" outlineLevel="0" collapsed="false">
      <c r="A83" s="38" t="n">
        <v>138</v>
      </c>
      <c r="B83" s="39" t="n">
        <v>0.98706</v>
      </c>
      <c r="C83" s="40" t="n">
        <v>4E-005</v>
      </c>
      <c r="D83" s="39" t="n">
        <v>1.0801</v>
      </c>
      <c r="E83" s="40" t="n">
        <v>-2E-005</v>
      </c>
      <c r="F83" s="39" t="n">
        <v>0.99326</v>
      </c>
      <c r="G83" s="40" t="n">
        <v>3E-005</v>
      </c>
      <c r="H83" s="39" t="n">
        <v>1.00287</v>
      </c>
      <c r="I83" s="40" t="n">
        <v>0</v>
      </c>
      <c r="J83" s="39" t="n">
        <v>0.98743</v>
      </c>
      <c r="K83" s="40" t="n">
        <v>3E-005</v>
      </c>
      <c r="L83" s="39" t="n">
        <v>1.00125</v>
      </c>
      <c r="M83" s="40" t="n">
        <v>1E-005</v>
      </c>
      <c r="N83" s="39" t="n">
        <v>0.97193</v>
      </c>
      <c r="O83" s="40" t="n">
        <v>6E-005</v>
      </c>
      <c r="P83" s="39" t="n">
        <v>0.99208</v>
      </c>
      <c r="Q83" s="40" t="n">
        <v>3E-005</v>
      </c>
      <c r="R83" s="39" t="n">
        <v>0.96613</v>
      </c>
      <c r="S83" s="40" t="n">
        <v>4E-005</v>
      </c>
      <c r="T83" s="39" t="n">
        <v>0.98556</v>
      </c>
      <c r="U83" s="40" t="n">
        <v>3E-005</v>
      </c>
      <c r="V83" s="39" t="n">
        <v>0.95727</v>
      </c>
      <c r="W83" s="40" t="n">
        <v>4E-005</v>
      </c>
      <c r="X83" s="39" t="n">
        <v>0.97267</v>
      </c>
      <c r="Y83" s="40" t="n">
        <v>4E-005</v>
      </c>
    </row>
    <row r="84" customFormat="false" ht="15" hidden="false" customHeight="false" outlineLevel="0" collapsed="false">
      <c r="A84" s="38" t="n">
        <v>139</v>
      </c>
      <c r="B84" s="39" t="n">
        <v>0.98673</v>
      </c>
      <c r="C84" s="40" t="n">
        <v>4E-005</v>
      </c>
      <c r="D84" s="39" t="n">
        <v>1.08103</v>
      </c>
      <c r="E84" s="40" t="n">
        <v>1E-005</v>
      </c>
      <c r="F84" s="39" t="n">
        <v>0.99288</v>
      </c>
      <c r="G84" s="40" t="n">
        <v>2E-005</v>
      </c>
      <c r="H84" s="39" t="n">
        <v>1.00266</v>
      </c>
      <c r="I84" s="40" t="n">
        <v>0</v>
      </c>
      <c r="J84" s="39" t="n">
        <v>0.98697</v>
      </c>
      <c r="K84" s="40" t="n">
        <v>2E-005</v>
      </c>
      <c r="L84" s="39" t="n">
        <v>1.00138</v>
      </c>
      <c r="M84" s="40" t="n">
        <v>2E-005</v>
      </c>
      <c r="N84" s="39" t="n">
        <v>0.97155</v>
      </c>
      <c r="O84" s="40" t="n">
        <v>6E-005</v>
      </c>
      <c r="P84" s="39" t="n">
        <v>0.99161</v>
      </c>
      <c r="Q84" s="40" t="n">
        <v>2E-005</v>
      </c>
      <c r="R84" s="39" t="n">
        <v>0.96565</v>
      </c>
      <c r="S84" s="40" t="n">
        <v>3E-005</v>
      </c>
      <c r="T84" s="39" t="n">
        <v>0.98499</v>
      </c>
      <c r="U84" s="40" t="n">
        <v>3E-005</v>
      </c>
      <c r="V84" s="39" t="n">
        <v>0.95671</v>
      </c>
      <c r="W84" s="40" t="n">
        <v>4E-005</v>
      </c>
      <c r="X84" s="39" t="n">
        <v>0.97225</v>
      </c>
      <c r="Y84" s="40" t="n">
        <v>4E-005</v>
      </c>
    </row>
    <row r="85" customFormat="false" ht="15" hidden="false" customHeight="false" outlineLevel="0" collapsed="false">
      <c r="A85" s="38" t="n">
        <v>140</v>
      </c>
      <c r="B85" s="39" t="n">
        <v>0.98644</v>
      </c>
      <c r="C85" s="40" t="n">
        <v>4E-005</v>
      </c>
      <c r="D85" s="39" t="n">
        <v>1.08041</v>
      </c>
      <c r="E85" s="40" t="n">
        <v>2E-005</v>
      </c>
      <c r="F85" s="39" t="n">
        <v>0.9926</v>
      </c>
      <c r="G85" s="40" t="n">
        <v>2E-005</v>
      </c>
      <c r="H85" s="39" t="n">
        <v>1.0027</v>
      </c>
      <c r="I85" s="40" t="n">
        <v>0</v>
      </c>
      <c r="J85" s="39" t="n">
        <v>0.98676</v>
      </c>
      <c r="K85" s="40" t="n">
        <v>2E-005</v>
      </c>
      <c r="L85" s="39" t="n">
        <v>1.0011</v>
      </c>
      <c r="M85" s="40" t="n">
        <v>2E-005</v>
      </c>
      <c r="N85" s="39" t="n">
        <v>0.97107</v>
      </c>
      <c r="O85" s="40" t="n">
        <v>6E-005</v>
      </c>
      <c r="P85" s="39" t="n">
        <v>0.99136</v>
      </c>
      <c r="Q85" s="40" t="n">
        <v>3E-005</v>
      </c>
      <c r="R85" s="39" t="n">
        <v>0.96508</v>
      </c>
      <c r="S85" s="40" t="n">
        <v>3E-005</v>
      </c>
      <c r="T85" s="39" t="n">
        <v>0.98474</v>
      </c>
      <c r="U85" s="40" t="n">
        <v>3E-005</v>
      </c>
      <c r="V85" s="39" t="n">
        <v>0.95633</v>
      </c>
      <c r="W85" s="40" t="n">
        <v>4E-005</v>
      </c>
      <c r="X85" s="39" t="n">
        <v>0.97194</v>
      </c>
      <c r="Y85" s="40" t="n">
        <v>4E-005</v>
      </c>
    </row>
    <row r="86" customFormat="false" ht="15" hidden="false" customHeight="false" outlineLevel="0" collapsed="false">
      <c r="A86" s="38" t="n">
        <v>141</v>
      </c>
      <c r="B86" s="39" t="n">
        <v>0.9856</v>
      </c>
      <c r="C86" s="40" t="n">
        <v>4E-005</v>
      </c>
      <c r="D86" s="39" t="n">
        <v>1.08064</v>
      </c>
      <c r="E86" s="40" t="n">
        <v>1E-005</v>
      </c>
      <c r="F86" s="39" t="n">
        <v>0.99251</v>
      </c>
      <c r="G86" s="40" t="n">
        <v>1E-005</v>
      </c>
      <c r="H86" s="39" t="n">
        <v>1.0028</v>
      </c>
      <c r="I86" s="40" t="n">
        <v>1E-005</v>
      </c>
      <c r="J86" s="39" t="n">
        <v>0.98643</v>
      </c>
      <c r="K86" s="40" t="n">
        <v>2E-005</v>
      </c>
      <c r="L86" s="39" t="n">
        <v>1.0007</v>
      </c>
      <c r="M86" s="40" t="n">
        <v>1E-005</v>
      </c>
      <c r="N86" s="39" t="n">
        <v>0.96993</v>
      </c>
      <c r="O86" s="40" t="n">
        <v>6E-005</v>
      </c>
      <c r="P86" s="39" t="n">
        <v>0.99122</v>
      </c>
      <c r="Q86" s="40" t="n">
        <v>3E-005</v>
      </c>
      <c r="R86" s="39" t="n">
        <v>0.96461</v>
      </c>
      <c r="S86" s="40" t="n">
        <v>3E-005</v>
      </c>
      <c r="T86" s="39" t="n">
        <v>0.98448</v>
      </c>
      <c r="U86" s="40" t="n">
        <v>3E-005</v>
      </c>
      <c r="V86" s="39" t="n">
        <v>0.95577</v>
      </c>
      <c r="W86" s="40" t="n">
        <v>4E-005</v>
      </c>
      <c r="X86" s="39" t="n">
        <v>0.97167</v>
      </c>
      <c r="Y86" s="40" t="n">
        <v>4E-005</v>
      </c>
    </row>
    <row r="87" customFormat="false" ht="15" hidden="false" customHeight="false" outlineLevel="0" collapsed="false">
      <c r="A87" s="38" t="n">
        <v>142</v>
      </c>
      <c r="B87" s="39" t="n">
        <v>0.98481</v>
      </c>
      <c r="C87" s="40" t="n">
        <v>4E-005</v>
      </c>
      <c r="D87" s="39" t="n">
        <v>1.07925</v>
      </c>
      <c r="E87" s="40" t="n">
        <v>-1E-005</v>
      </c>
      <c r="F87" s="39" t="n">
        <v>0.99233</v>
      </c>
      <c r="G87" s="40" t="n">
        <v>0</v>
      </c>
      <c r="H87" s="39" t="n">
        <v>1.00281</v>
      </c>
      <c r="I87" s="40" t="n">
        <v>1E-005</v>
      </c>
      <c r="J87" s="39" t="n">
        <v>0.9864</v>
      </c>
      <c r="K87" s="40" t="n">
        <v>2E-005</v>
      </c>
      <c r="L87" s="39" t="n">
        <v>1.00069</v>
      </c>
      <c r="M87" s="40" t="n">
        <v>2E-005</v>
      </c>
      <c r="N87" s="39" t="n">
        <v>0.96908</v>
      </c>
      <c r="O87" s="40" t="n">
        <v>6E-005</v>
      </c>
      <c r="P87" s="39" t="n">
        <v>0.9908</v>
      </c>
      <c r="Q87" s="40" t="n">
        <v>3E-005</v>
      </c>
      <c r="R87" s="39" t="n">
        <v>0.96438</v>
      </c>
      <c r="S87" s="40" t="n">
        <v>3E-005</v>
      </c>
      <c r="T87" s="39" t="n">
        <v>0.98385</v>
      </c>
      <c r="U87" s="40" t="n">
        <v>3E-005</v>
      </c>
      <c r="V87" s="39" t="n">
        <v>0.9553</v>
      </c>
      <c r="W87" s="40" t="n">
        <v>4E-005</v>
      </c>
      <c r="X87" s="39" t="n">
        <v>0.97126</v>
      </c>
      <c r="Y87" s="40" t="n">
        <v>3E-005</v>
      </c>
    </row>
    <row r="88" customFormat="false" ht="15" hidden="false" customHeight="false" outlineLevel="0" collapsed="false">
      <c r="A88" s="38" t="n">
        <v>143</v>
      </c>
      <c r="B88" s="39" t="n">
        <v>0.98446</v>
      </c>
      <c r="C88" s="40" t="n">
        <v>3E-005</v>
      </c>
      <c r="D88" s="39" t="n">
        <v>1.07982</v>
      </c>
      <c r="E88" s="40" t="n">
        <v>1E-005</v>
      </c>
      <c r="F88" s="39" t="n">
        <v>0.99264</v>
      </c>
      <c r="G88" s="40" t="n">
        <v>1E-005</v>
      </c>
      <c r="H88" s="39" t="n">
        <v>1.0026</v>
      </c>
      <c r="I88" s="40" t="n">
        <v>1E-005</v>
      </c>
      <c r="J88" s="39" t="n">
        <v>0.98613</v>
      </c>
      <c r="K88" s="40" t="n">
        <v>2E-005</v>
      </c>
      <c r="L88" s="39" t="n">
        <v>1.00034</v>
      </c>
      <c r="M88" s="40" t="n">
        <v>2E-005</v>
      </c>
      <c r="N88" s="39" t="n">
        <v>0.96866</v>
      </c>
      <c r="O88" s="40" t="n">
        <v>6E-005</v>
      </c>
      <c r="P88" s="39" t="n">
        <v>0.99048</v>
      </c>
      <c r="Q88" s="40" t="n">
        <v>3E-005</v>
      </c>
      <c r="R88" s="39" t="n">
        <v>0.96425</v>
      </c>
      <c r="S88" s="40" t="n">
        <v>3E-005</v>
      </c>
      <c r="T88" s="39" t="n">
        <v>0.98353</v>
      </c>
      <c r="U88" s="40" t="n">
        <v>3E-005</v>
      </c>
      <c r="V88" s="39" t="n">
        <v>0.95482</v>
      </c>
      <c r="W88" s="40" t="n">
        <v>4E-005</v>
      </c>
      <c r="X88" s="39" t="n">
        <v>0.97066</v>
      </c>
      <c r="Y88" s="40" t="n">
        <v>4E-005</v>
      </c>
    </row>
    <row r="89" customFormat="false" ht="15" hidden="false" customHeight="false" outlineLevel="0" collapsed="false">
      <c r="A89" s="38" t="n">
        <v>144</v>
      </c>
      <c r="B89" s="39" t="n">
        <v>0.98439</v>
      </c>
      <c r="C89" s="40" t="n">
        <v>3E-005</v>
      </c>
      <c r="D89" s="39" t="n">
        <v>1.08042</v>
      </c>
      <c r="E89" s="40" t="n">
        <v>0</v>
      </c>
      <c r="F89" s="39" t="n">
        <v>0.99254</v>
      </c>
      <c r="G89" s="40" t="n">
        <v>2E-005</v>
      </c>
      <c r="H89" s="39" t="n">
        <v>1.00233</v>
      </c>
      <c r="I89" s="40" t="n">
        <v>1E-005</v>
      </c>
      <c r="J89" s="39" t="n">
        <v>0.98581</v>
      </c>
      <c r="K89" s="40" t="n">
        <v>2E-005</v>
      </c>
      <c r="L89" s="39" t="n">
        <v>1.00016</v>
      </c>
      <c r="M89" s="40" t="n">
        <v>2E-005</v>
      </c>
      <c r="N89" s="39" t="n">
        <v>0.96809</v>
      </c>
      <c r="O89" s="40" t="n">
        <v>5E-005</v>
      </c>
      <c r="P89" s="39" t="n">
        <v>0.99016</v>
      </c>
      <c r="Q89" s="40" t="n">
        <v>3E-005</v>
      </c>
      <c r="R89" s="39" t="n">
        <v>0.96381</v>
      </c>
      <c r="S89" s="40" t="n">
        <v>3E-005</v>
      </c>
      <c r="T89" s="39" t="n">
        <v>0.98318</v>
      </c>
      <c r="U89" s="40" t="n">
        <v>4E-005</v>
      </c>
      <c r="V89" s="39" t="n">
        <v>0.95439</v>
      </c>
      <c r="W89" s="40" t="n">
        <v>5E-005</v>
      </c>
      <c r="X89" s="39" t="n">
        <v>0.97027</v>
      </c>
      <c r="Y89" s="40" t="n">
        <v>4E-005</v>
      </c>
    </row>
    <row r="90" customFormat="false" ht="15" hidden="false" customHeight="false" outlineLevel="0" collapsed="false">
      <c r="A90" s="38" t="n">
        <v>145</v>
      </c>
      <c r="B90" s="39" t="n">
        <v>0.98389</v>
      </c>
      <c r="C90" s="40" t="n">
        <v>2E-005</v>
      </c>
      <c r="D90" s="39" t="n">
        <v>1.08047</v>
      </c>
      <c r="E90" s="40" t="n">
        <v>0</v>
      </c>
      <c r="F90" s="39" t="n">
        <v>0.99202</v>
      </c>
      <c r="G90" s="40" t="n">
        <v>3E-005</v>
      </c>
      <c r="H90" s="39" t="n">
        <v>1.00204</v>
      </c>
      <c r="I90" s="40" t="n">
        <v>1E-005</v>
      </c>
      <c r="J90" s="39" t="n">
        <v>0.98566</v>
      </c>
      <c r="K90" s="40" t="n">
        <v>2E-005</v>
      </c>
      <c r="L90" s="39" t="n">
        <v>1.00008</v>
      </c>
      <c r="M90" s="40" t="n">
        <v>2E-005</v>
      </c>
      <c r="N90" s="39" t="n">
        <v>0.96739</v>
      </c>
      <c r="O90" s="40" t="n">
        <v>5E-005</v>
      </c>
      <c r="P90" s="39" t="n">
        <v>0.98954</v>
      </c>
      <c r="Q90" s="40" t="n">
        <v>3E-005</v>
      </c>
      <c r="R90" s="39" t="n">
        <v>0.96338</v>
      </c>
      <c r="S90" s="40" t="n">
        <v>3E-005</v>
      </c>
      <c r="T90" s="39" t="n">
        <v>0.98286</v>
      </c>
      <c r="U90" s="40" t="n">
        <v>4E-005</v>
      </c>
      <c r="V90" s="39" t="n">
        <v>0.95356</v>
      </c>
      <c r="W90" s="40" t="n">
        <v>5E-005</v>
      </c>
      <c r="X90" s="39" t="n">
        <v>0.9697</v>
      </c>
      <c r="Y90" s="40" t="n">
        <v>4E-005</v>
      </c>
    </row>
    <row r="91" customFormat="false" ht="15" hidden="false" customHeight="false" outlineLevel="0" collapsed="false">
      <c r="A91" s="38" t="n">
        <v>146</v>
      </c>
      <c r="B91" s="39" t="n">
        <v>0.98365</v>
      </c>
      <c r="C91" s="40" t="n">
        <v>2E-005</v>
      </c>
      <c r="D91" s="39" t="n">
        <v>1.0808</v>
      </c>
      <c r="E91" s="40" t="n">
        <v>-2E-005</v>
      </c>
      <c r="F91" s="39" t="n">
        <v>0.99178</v>
      </c>
      <c r="G91" s="40" t="n">
        <v>3E-005</v>
      </c>
      <c r="H91" s="39" t="n">
        <v>1.00222</v>
      </c>
      <c r="I91" s="40" t="n">
        <v>1E-005</v>
      </c>
      <c r="J91" s="39" t="n">
        <v>0.98543</v>
      </c>
      <c r="K91" s="40" t="n">
        <v>2E-005</v>
      </c>
      <c r="L91" s="39" t="n">
        <v>0.99974</v>
      </c>
      <c r="M91" s="40" t="n">
        <v>1E-005</v>
      </c>
      <c r="N91" s="39" t="n">
        <v>0.96664</v>
      </c>
      <c r="O91" s="40" t="n">
        <v>5E-005</v>
      </c>
      <c r="P91" s="39" t="n">
        <v>0.98927</v>
      </c>
      <c r="Q91" s="40" t="n">
        <v>3E-005</v>
      </c>
      <c r="R91" s="39" t="n">
        <v>0.96292</v>
      </c>
      <c r="S91" s="40" t="n">
        <v>4E-005</v>
      </c>
      <c r="T91" s="39" t="n">
        <v>0.98217</v>
      </c>
      <c r="U91" s="40" t="n">
        <v>4E-005</v>
      </c>
      <c r="V91" s="39" t="n">
        <v>0.95299</v>
      </c>
      <c r="W91" s="40" t="n">
        <v>5E-005</v>
      </c>
      <c r="X91" s="39" t="n">
        <v>0.96917</v>
      </c>
      <c r="Y91" s="40" t="n">
        <v>4E-005</v>
      </c>
    </row>
    <row r="92" customFormat="false" ht="15" hidden="false" customHeight="false" outlineLevel="0" collapsed="false">
      <c r="A92" s="38" t="n">
        <v>147</v>
      </c>
      <c r="B92" s="39" t="n">
        <v>0.98364</v>
      </c>
      <c r="C92" s="40" t="n">
        <v>3E-005</v>
      </c>
      <c r="D92" s="39" t="n">
        <v>1.08022</v>
      </c>
      <c r="E92" s="40" t="n">
        <v>-2E-005</v>
      </c>
      <c r="F92" s="39" t="n">
        <v>0.99116</v>
      </c>
      <c r="G92" s="40" t="n">
        <v>3E-005</v>
      </c>
      <c r="H92" s="39" t="n">
        <v>1.00209</v>
      </c>
      <c r="I92" s="40" t="n">
        <v>1E-005</v>
      </c>
      <c r="J92" s="39" t="n">
        <v>0.98504</v>
      </c>
      <c r="K92" s="40" t="n">
        <v>2E-005</v>
      </c>
      <c r="L92" s="39" t="n">
        <v>0.99934</v>
      </c>
      <c r="M92" s="40" t="n">
        <v>1E-005</v>
      </c>
      <c r="N92" s="39" t="n">
        <v>0.96626</v>
      </c>
      <c r="O92" s="40" t="n">
        <v>6E-005</v>
      </c>
      <c r="P92" s="39" t="n">
        <v>0.98882</v>
      </c>
      <c r="Q92" s="40" t="n">
        <v>3E-005</v>
      </c>
      <c r="R92" s="39" t="n">
        <v>0.96228</v>
      </c>
      <c r="S92" s="40" t="n">
        <v>5E-005</v>
      </c>
      <c r="T92" s="39" t="n">
        <v>0.98156</v>
      </c>
      <c r="U92" s="40" t="n">
        <v>4E-005</v>
      </c>
      <c r="V92" s="39" t="n">
        <v>0.95244</v>
      </c>
      <c r="W92" s="40" t="n">
        <v>5E-005</v>
      </c>
      <c r="X92" s="39" t="n">
        <v>0.96871</v>
      </c>
      <c r="Y92" s="40" t="n">
        <v>4E-005</v>
      </c>
    </row>
    <row r="93" customFormat="false" ht="15" hidden="false" customHeight="false" outlineLevel="0" collapsed="false">
      <c r="A93" s="38" t="n">
        <v>148</v>
      </c>
      <c r="B93" s="39" t="n">
        <v>0.98283</v>
      </c>
      <c r="C93" s="40" t="n">
        <v>3E-005</v>
      </c>
      <c r="D93" s="39" t="n">
        <v>1.07959</v>
      </c>
      <c r="E93" s="40" t="n">
        <v>0</v>
      </c>
      <c r="F93" s="39" t="n">
        <v>0.99047</v>
      </c>
      <c r="G93" s="40" t="n">
        <v>3E-005</v>
      </c>
      <c r="H93" s="39" t="n">
        <v>1.00191</v>
      </c>
      <c r="I93" s="40" t="n">
        <v>1E-005</v>
      </c>
      <c r="J93" s="39" t="n">
        <v>0.98481</v>
      </c>
      <c r="K93" s="40" t="n">
        <v>2E-005</v>
      </c>
      <c r="L93" s="39" t="n">
        <v>0.99936</v>
      </c>
      <c r="M93" s="40" t="n">
        <v>1E-005</v>
      </c>
      <c r="N93" s="39" t="n">
        <v>0.96555</v>
      </c>
      <c r="O93" s="40" t="n">
        <v>6E-005</v>
      </c>
      <c r="P93" s="39" t="n">
        <v>0.9886</v>
      </c>
      <c r="Q93" s="40" t="n">
        <v>3E-005</v>
      </c>
      <c r="R93" s="39" t="n">
        <v>0.96186</v>
      </c>
      <c r="S93" s="40" t="n">
        <v>5E-005</v>
      </c>
      <c r="T93" s="39" t="n">
        <v>0.98092</v>
      </c>
      <c r="U93" s="40" t="n">
        <v>5E-005</v>
      </c>
      <c r="V93" s="39" t="n">
        <v>0.95194</v>
      </c>
      <c r="W93" s="40" t="n">
        <v>5E-005</v>
      </c>
      <c r="X93" s="39" t="n">
        <v>0.96808</v>
      </c>
      <c r="Y93" s="40" t="n">
        <v>4E-005</v>
      </c>
    </row>
    <row r="94" customFormat="false" ht="15" hidden="false" customHeight="false" outlineLevel="0" collapsed="false">
      <c r="A94" s="38" t="n">
        <v>149</v>
      </c>
      <c r="B94" s="39" t="n">
        <v>0.98242</v>
      </c>
      <c r="C94" s="40" t="n">
        <v>4E-005</v>
      </c>
      <c r="D94" s="39" t="n">
        <v>1.08088</v>
      </c>
      <c r="E94" s="40" t="n">
        <v>2E-005</v>
      </c>
      <c r="F94" s="39" t="n">
        <v>0.99069</v>
      </c>
      <c r="G94" s="40" t="n">
        <v>2E-005</v>
      </c>
      <c r="H94" s="39" t="n">
        <v>1.00194</v>
      </c>
      <c r="I94" s="40" t="n">
        <v>1E-005</v>
      </c>
      <c r="J94" s="39" t="n">
        <v>0.98462</v>
      </c>
      <c r="K94" s="40" t="n">
        <v>2E-005</v>
      </c>
      <c r="L94" s="39" t="n">
        <v>0.99949</v>
      </c>
      <c r="M94" s="40" t="n">
        <v>1E-005</v>
      </c>
      <c r="N94" s="39" t="n">
        <v>0.96469</v>
      </c>
      <c r="O94" s="40" t="n">
        <v>5E-005</v>
      </c>
      <c r="P94" s="39" t="n">
        <v>0.98837</v>
      </c>
      <c r="Q94" s="40" t="n">
        <v>2E-005</v>
      </c>
      <c r="R94" s="39" t="n">
        <v>0.96122</v>
      </c>
      <c r="S94" s="40" t="n">
        <v>5E-005</v>
      </c>
      <c r="T94" s="39" t="n">
        <v>0.98056</v>
      </c>
      <c r="U94" s="40" t="n">
        <v>4E-005</v>
      </c>
      <c r="V94" s="39" t="n">
        <v>0.95143</v>
      </c>
      <c r="W94" s="40" t="n">
        <v>5E-005</v>
      </c>
      <c r="X94" s="39" t="n">
        <v>0.96781</v>
      </c>
      <c r="Y94" s="40" t="n">
        <v>4E-005</v>
      </c>
    </row>
    <row r="95" customFormat="false" ht="15" hidden="false" customHeight="false" outlineLevel="0" collapsed="false">
      <c r="A95" s="38" t="n">
        <v>150</v>
      </c>
      <c r="B95" s="39" t="n">
        <v>0.98227</v>
      </c>
      <c r="C95" s="40" t="n">
        <v>3E-005</v>
      </c>
      <c r="D95" s="39" t="n">
        <v>1.08095</v>
      </c>
      <c r="E95" s="40" t="n">
        <v>-1E-005</v>
      </c>
      <c r="F95" s="39" t="n">
        <v>0.99073</v>
      </c>
      <c r="G95" s="40" t="n">
        <v>2E-005</v>
      </c>
      <c r="H95" s="39" t="n">
        <v>1.00163</v>
      </c>
      <c r="I95" s="40" t="n">
        <v>2E-005</v>
      </c>
      <c r="J95" s="39" t="n">
        <v>0.98434</v>
      </c>
      <c r="K95" s="40" t="n">
        <v>2E-005</v>
      </c>
      <c r="L95" s="39" t="n">
        <v>0.99958</v>
      </c>
      <c r="M95" s="40" t="n">
        <v>1E-005</v>
      </c>
      <c r="N95" s="39" t="n">
        <v>0.96381</v>
      </c>
      <c r="O95" s="40" t="n">
        <v>5E-005</v>
      </c>
      <c r="P95" s="39" t="n">
        <v>0.988</v>
      </c>
      <c r="Q95" s="40" t="n">
        <v>2E-005</v>
      </c>
      <c r="R95" s="39" t="n">
        <v>0.96061</v>
      </c>
      <c r="S95" s="40" t="n">
        <v>4E-005</v>
      </c>
      <c r="T95" s="39" t="n">
        <v>0.98015</v>
      </c>
      <c r="U95" s="40" t="n">
        <v>4E-005</v>
      </c>
      <c r="V95" s="39" t="n">
        <v>0.95072</v>
      </c>
      <c r="W95" s="40" t="n">
        <v>5E-005</v>
      </c>
      <c r="X95" s="39" t="n">
        <v>0.96742</v>
      </c>
      <c r="Y95" s="40" t="n">
        <v>5E-005</v>
      </c>
    </row>
    <row r="96" customFormat="false" ht="15" hidden="false" customHeight="false" outlineLevel="0" collapsed="false">
      <c r="A96" s="38" t="n">
        <v>151</v>
      </c>
      <c r="B96" s="39" t="n">
        <v>0.9815</v>
      </c>
      <c r="C96" s="40" t="n">
        <v>4E-005</v>
      </c>
      <c r="D96" s="39" t="n">
        <v>1.08126</v>
      </c>
      <c r="E96" s="40" t="n">
        <v>-2E-005</v>
      </c>
      <c r="F96" s="39" t="n">
        <v>0.99015</v>
      </c>
      <c r="G96" s="40" t="n">
        <v>2E-005</v>
      </c>
      <c r="H96" s="39" t="n">
        <v>1.00138</v>
      </c>
      <c r="I96" s="40" t="n">
        <v>2E-005</v>
      </c>
      <c r="J96" s="39" t="n">
        <v>0.98409</v>
      </c>
      <c r="K96" s="40" t="n">
        <v>2E-005</v>
      </c>
      <c r="L96" s="39" t="n">
        <v>0.99923</v>
      </c>
      <c r="M96" s="40" t="n">
        <v>1E-005</v>
      </c>
      <c r="N96" s="39" t="n">
        <v>0.96323</v>
      </c>
      <c r="O96" s="40" t="n">
        <v>5E-005</v>
      </c>
      <c r="P96" s="39" t="n">
        <v>0.98768</v>
      </c>
      <c r="Q96" s="40" t="n">
        <v>2E-005</v>
      </c>
      <c r="R96" s="39" t="n">
        <v>0.96019</v>
      </c>
      <c r="S96" s="40" t="n">
        <v>4E-005</v>
      </c>
      <c r="T96" s="39" t="n">
        <v>0.97978</v>
      </c>
      <c r="U96" s="40" t="n">
        <v>4E-005</v>
      </c>
      <c r="V96" s="39" t="n">
        <v>0.95009</v>
      </c>
      <c r="W96" s="40" t="n">
        <v>6E-005</v>
      </c>
      <c r="X96" s="39" t="n">
        <v>0.96667</v>
      </c>
      <c r="Y96" s="40" t="n">
        <v>5E-005</v>
      </c>
    </row>
    <row r="97" customFormat="false" ht="15" hidden="false" customHeight="false" outlineLevel="0" collapsed="false">
      <c r="A97" s="38" t="n">
        <v>152</v>
      </c>
      <c r="B97" s="39" t="n">
        <v>0.9812</v>
      </c>
      <c r="C97" s="40" t="n">
        <v>4E-005</v>
      </c>
      <c r="D97" s="39" t="n">
        <v>1.0798</v>
      </c>
      <c r="E97" s="40" t="n">
        <v>-1E-005</v>
      </c>
      <c r="F97" s="39" t="n">
        <v>0.98988</v>
      </c>
      <c r="G97" s="40" t="n">
        <v>3E-005</v>
      </c>
      <c r="H97" s="39" t="n">
        <v>1.00118</v>
      </c>
      <c r="I97" s="40" t="n">
        <v>2E-005</v>
      </c>
      <c r="J97" s="39" t="n">
        <v>0.98388</v>
      </c>
      <c r="K97" s="40" t="n">
        <v>2E-005</v>
      </c>
      <c r="L97" s="39" t="n">
        <v>0.99888</v>
      </c>
      <c r="M97" s="40" t="n">
        <v>2E-005</v>
      </c>
      <c r="N97" s="39" t="n">
        <v>0.96283</v>
      </c>
      <c r="O97" s="40" t="n">
        <v>5E-005</v>
      </c>
      <c r="P97" s="39" t="n">
        <v>0.98734</v>
      </c>
      <c r="Q97" s="40" t="n">
        <v>2E-005</v>
      </c>
      <c r="R97" s="39" t="n">
        <v>0.95956</v>
      </c>
      <c r="S97" s="40" t="n">
        <v>4E-005</v>
      </c>
      <c r="T97" s="39" t="n">
        <v>0.9791</v>
      </c>
      <c r="U97" s="40" t="n">
        <v>4E-005</v>
      </c>
      <c r="V97" s="39" t="n">
        <v>0.94936</v>
      </c>
      <c r="W97" s="40" t="n">
        <v>6E-005</v>
      </c>
      <c r="X97" s="39" t="n">
        <v>0.96612</v>
      </c>
      <c r="Y97" s="40" t="n">
        <v>5E-005</v>
      </c>
    </row>
    <row r="98" customFormat="false" ht="15" hidden="false" customHeight="false" outlineLevel="0" collapsed="false">
      <c r="A98" s="38" t="n">
        <v>153</v>
      </c>
      <c r="B98" s="39" t="n">
        <v>0.98078</v>
      </c>
      <c r="C98" s="40" t="n">
        <v>3E-005</v>
      </c>
      <c r="D98" s="39" t="n">
        <v>1.07993</v>
      </c>
      <c r="E98" s="40" t="n">
        <v>-1E-005</v>
      </c>
      <c r="F98" s="39" t="n">
        <v>0.98961</v>
      </c>
      <c r="G98" s="40" t="n">
        <v>4E-005</v>
      </c>
      <c r="H98" s="39" t="n">
        <v>1.00114</v>
      </c>
      <c r="I98" s="40" t="n">
        <v>2E-005</v>
      </c>
      <c r="J98" s="39" t="n">
        <v>0.98359</v>
      </c>
      <c r="K98" s="40" t="n">
        <v>2E-005</v>
      </c>
      <c r="L98" s="39" t="n">
        <v>0.99861</v>
      </c>
      <c r="M98" s="40" t="n">
        <v>2E-005</v>
      </c>
      <c r="N98" s="39" t="n">
        <v>0.96263</v>
      </c>
      <c r="O98" s="40" t="n">
        <v>4E-005</v>
      </c>
      <c r="P98" s="39" t="n">
        <v>0.98729</v>
      </c>
      <c r="Q98" s="40" t="n">
        <v>2E-005</v>
      </c>
      <c r="R98" s="39" t="n">
        <v>0.95915</v>
      </c>
      <c r="S98" s="40" t="n">
        <v>5E-005</v>
      </c>
      <c r="T98" s="39" t="n">
        <v>0.97874</v>
      </c>
      <c r="U98" s="40" t="n">
        <v>4E-005</v>
      </c>
      <c r="V98" s="39" t="n">
        <v>0.94853</v>
      </c>
      <c r="W98" s="40" t="n">
        <v>6E-005</v>
      </c>
      <c r="X98" s="39" t="n">
        <v>0.96524</v>
      </c>
      <c r="Y98" s="40" t="n">
        <v>5E-005</v>
      </c>
    </row>
    <row r="99" customFormat="false" ht="15" hidden="false" customHeight="false" outlineLevel="0" collapsed="false">
      <c r="A99" s="38" t="n">
        <v>154</v>
      </c>
      <c r="B99" s="39" t="n">
        <v>0.98042</v>
      </c>
      <c r="C99" s="40" t="n">
        <v>4E-005</v>
      </c>
      <c r="D99" s="39" t="n">
        <v>1.08175</v>
      </c>
      <c r="E99" s="40" t="n">
        <v>-1E-005</v>
      </c>
      <c r="F99" s="39" t="n">
        <v>0.98906</v>
      </c>
      <c r="G99" s="40" t="n">
        <v>5E-005</v>
      </c>
      <c r="H99" s="39" t="n">
        <v>1.00073</v>
      </c>
      <c r="I99" s="40" t="n">
        <v>1E-005</v>
      </c>
      <c r="J99" s="39" t="n">
        <v>0.98358</v>
      </c>
      <c r="K99" s="40" t="n">
        <v>1E-005</v>
      </c>
      <c r="L99" s="39" t="n">
        <v>0.99841</v>
      </c>
      <c r="M99" s="40" t="n">
        <v>2E-005</v>
      </c>
      <c r="N99" s="39" t="n">
        <v>0.96163</v>
      </c>
      <c r="O99" s="40" t="n">
        <v>4E-005</v>
      </c>
      <c r="P99" s="39" t="n">
        <v>0.98699</v>
      </c>
      <c r="Q99" s="40" t="n">
        <v>2E-005</v>
      </c>
      <c r="R99" s="39" t="n">
        <v>0.95879</v>
      </c>
      <c r="S99" s="40" t="n">
        <v>5E-005</v>
      </c>
      <c r="T99" s="39" t="n">
        <v>0.97832</v>
      </c>
      <c r="U99" s="40" t="n">
        <v>4E-005</v>
      </c>
      <c r="V99" s="39" t="n">
        <v>0.94798</v>
      </c>
      <c r="W99" s="40" t="n">
        <v>5E-005</v>
      </c>
      <c r="X99" s="39" t="n">
        <v>0.9647</v>
      </c>
      <c r="Y99" s="40" t="n">
        <v>5E-005</v>
      </c>
    </row>
    <row r="100" customFormat="false" ht="15" hidden="false" customHeight="false" outlineLevel="0" collapsed="false">
      <c r="A100" s="38" t="n">
        <v>155</v>
      </c>
      <c r="B100" s="39" t="n">
        <v>0.97972</v>
      </c>
      <c r="C100" s="40" t="n">
        <v>3E-005</v>
      </c>
      <c r="D100" s="39" t="n">
        <v>1.08257</v>
      </c>
      <c r="E100" s="40" t="n">
        <v>-1E-005</v>
      </c>
      <c r="F100" s="39" t="n">
        <v>0.98805</v>
      </c>
      <c r="G100" s="40" t="n">
        <v>3E-005</v>
      </c>
      <c r="H100" s="39" t="n">
        <v>1.00054</v>
      </c>
      <c r="I100" s="40" t="n">
        <v>1E-005</v>
      </c>
      <c r="J100" s="39" t="n">
        <v>0.98329</v>
      </c>
      <c r="K100" s="40" t="n">
        <v>1E-005</v>
      </c>
      <c r="L100" s="39" t="n">
        <v>0.99843</v>
      </c>
      <c r="M100" s="40" t="n">
        <v>1E-005</v>
      </c>
      <c r="N100" s="39" t="n">
        <v>0.96116</v>
      </c>
      <c r="O100" s="40" t="n">
        <v>5E-005</v>
      </c>
      <c r="P100" s="39" t="n">
        <v>0.98672</v>
      </c>
      <c r="Q100" s="40" t="n">
        <v>2E-005</v>
      </c>
      <c r="R100" s="39" t="n">
        <v>0.95797</v>
      </c>
      <c r="S100" s="40" t="n">
        <v>5E-005</v>
      </c>
      <c r="T100" s="39" t="n">
        <v>0.97754</v>
      </c>
      <c r="U100" s="40" t="n">
        <v>4E-005</v>
      </c>
      <c r="V100" s="39" t="n">
        <v>0.94739</v>
      </c>
      <c r="W100" s="40" t="n">
        <v>6E-005</v>
      </c>
      <c r="X100" s="39" t="n">
        <v>0.96409</v>
      </c>
      <c r="Y100" s="40" t="n">
        <v>5E-005</v>
      </c>
    </row>
    <row r="101" customFormat="false" ht="15" hidden="false" customHeight="false" outlineLevel="0" collapsed="false">
      <c r="A101" s="38" t="n">
        <v>156</v>
      </c>
      <c r="B101" s="39" t="n">
        <v>0.97937</v>
      </c>
      <c r="C101" s="40" t="n">
        <v>4E-005</v>
      </c>
      <c r="D101" s="39" t="n">
        <v>1.08016</v>
      </c>
      <c r="E101" s="40" t="n">
        <v>-1E-005</v>
      </c>
      <c r="F101" s="39" t="n">
        <v>0.98765</v>
      </c>
      <c r="G101" s="40" t="n">
        <v>2E-005</v>
      </c>
      <c r="H101" s="39" t="n">
        <v>1.00054</v>
      </c>
      <c r="I101" s="40" t="n">
        <v>1E-005</v>
      </c>
      <c r="J101" s="39" t="n">
        <v>0.983</v>
      </c>
      <c r="K101" s="40" t="n">
        <v>2E-005</v>
      </c>
      <c r="L101" s="39" t="n">
        <v>0.99809</v>
      </c>
      <c r="M101" s="40" t="n">
        <v>1E-005</v>
      </c>
      <c r="N101" s="39" t="n">
        <v>0.96073</v>
      </c>
      <c r="O101" s="40" t="n">
        <v>5E-005</v>
      </c>
      <c r="P101" s="39" t="n">
        <v>0.98638</v>
      </c>
      <c r="Q101" s="40" t="n">
        <v>2E-005</v>
      </c>
      <c r="R101" s="39" t="n">
        <v>0.95734</v>
      </c>
      <c r="S101" s="40" t="n">
        <v>5E-005</v>
      </c>
      <c r="T101" s="39" t="n">
        <v>0.97712</v>
      </c>
      <c r="U101" s="40" t="n">
        <v>4E-005</v>
      </c>
      <c r="V101" s="39" t="n">
        <v>0.94682</v>
      </c>
      <c r="W101" s="40" t="n">
        <v>6E-005</v>
      </c>
      <c r="X101" s="39" t="n">
        <v>0.96351</v>
      </c>
      <c r="Y101" s="40" t="n">
        <v>5E-005</v>
      </c>
    </row>
    <row r="102" customFormat="false" ht="15" hidden="false" customHeight="false" outlineLevel="0" collapsed="false">
      <c r="A102" s="38" t="n">
        <v>157</v>
      </c>
      <c r="B102" s="39" t="n">
        <v>0.97908</v>
      </c>
      <c r="C102" s="40" t="n">
        <v>4E-005</v>
      </c>
      <c r="D102" s="39" t="n">
        <v>1.08203</v>
      </c>
      <c r="E102" s="40" t="n">
        <v>1E-005</v>
      </c>
      <c r="F102" s="39" t="n">
        <v>0.98783</v>
      </c>
      <c r="G102" s="40" t="n">
        <v>3E-005</v>
      </c>
      <c r="H102" s="39" t="n">
        <v>1.00055</v>
      </c>
      <c r="I102" s="40" t="n">
        <v>1E-005</v>
      </c>
      <c r="J102" s="39" t="n">
        <v>0.98298</v>
      </c>
      <c r="K102" s="40" t="n">
        <v>2E-005</v>
      </c>
      <c r="L102" s="39" t="n">
        <v>0.99792</v>
      </c>
      <c r="M102" s="40" t="n">
        <v>0</v>
      </c>
      <c r="N102" s="39" t="n">
        <v>0.95981</v>
      </c>
      <c r="O102" s="40" t="n">
        <v>6E-005</v>
      </c>
      <c r="P102" s="39" t="n">
        <v>0.98599</v>
      </c>
      <c r="Q102" s="40" t="n">
        <v>2E-005</v>
      </c>
      <c r="R102" s="39" t="n">
        <v>0.95682</v>
      </c>
      <c r="S102" s="40" t="n">
        <v>5E-005</v>
      </c>
      <c r="T102" s="39" t="n">
        <v>0.97655</v>
      </c>
      <c r="U102" s="40" t="n">
        <v>4E-005</v>
      </c>
      <c r="V102" s="39" t="n">
        <v>0.94607</v>
      </c>
      <c r="W102" s="40" t="n">
        <v>6E-005</v>
      </c>
      <c r="X102" s="39" t="n">
        <v>0.9631</v>
      </c>
      <c r="Y102" s="40" t="n">
        <v>5E-005</v>
      </c>
    </row>
    <row r="103" customFormat="false" ht="15" hidden="false" customHeight="false" outlineLevel="0" collapsed="false">
      <c r="A103" s="38" t="n">
        <v>158</v>
      </c>
      <c r="B103" s="39" t="n">
        <v>0.97835</v>
      </c>
      <c r="C103" s="40" t="n">
        <v>4E-005</v>
      </c>
      <c r="D103" s="39" t="n">
        <v>1.08078</v>
      </c>
      <c r="E103" s="40" t="n">
        <v>5E-005</v>
      </c>
      <c r="F103" s="39" t="n">
        <v>0.98751</v>
      </c>
      <c r="G103" s="40" t="n">
        <v>2E-005</v>
      </c>
      <c r="H103" s="39" t="n">
        <v>1.00037</v>
      </c>
      <c r="I103" s="40" t="n">
        <v>1E-005</v>
      </c>
      <c r="J103" s="39" t="n">
        <v>0.9828</v>
      </c>
      <c r="K103" s="40" t="n">
        <v>2E-005</v>
      </c>
      <c r="L103" s="39" t="n">
        <v>0.99806</v>
      </c>
      <c r="M103" s="40" t="n">
        <v>0</v>
      </c>
      <c r="N103" s="39" t="n">
        <v>0.95921</v>
      </c>
      <c r="O103" s="40" t="n">
        <v>6E-005</v>
      </c>
      <c r="P103" s="39" t="n">
        <v>0.98575</v>
      </c>
      <c r="Q103" s="40" t="n">
        <v>2E-005</v>
      </c>
      <c r="R103" s="39" t="n">
        <v>0.95627</v>
      </c>
      <c r="S103" s="40" t="n">
        <v>5E-005</v>
      </c>
      <c r="T103" s="39" t="n">
        <v>0.97614</v>
      </c>
      <c r="U103" s="40" t="n">
        <v>4E-005</v>
      </c>
      <c r="V103" s="39" t="n">
        <v>0.9453</v>
      </c>
      <c r="W103" s="40" t="n">
        <v>6E-005</v>
      </c>
      <c r="X103" s="39" t="n">
        <v>0.96246</v>
      </c>
      <c r="Y103" s="40" t="n">
        <v>5E-005</v>
      </c>
    </row>
    <row r="104" customFormat="false" ht="15" hidden="false" customHeight="false" outlineLevel="0" collapsed="false">
      <c r="A104" s="38" t="n">
        <v>159</v>
      </c>
      <c r="B104" s="39" t="n">
        <v>0.97812</v>
      </c>
      <c r="C104" s="40" t="n">
        <v>4E-005</v>
      </c>
      <c r="D104" s="39" t="n">
        <v>1.08088</v>
      </c>
      <c r="E104" s="40" t="n">
        <v>4E-005</v>
      </c>
      <c r="F104" s="39" t="n">
        <v>0.98757</v>
      </c>
      <c r="G104" s="40" t="n">
        <v>1E-005</v>
      </c>
      <c r="H104" s="39" t="n">
        <v>1.00021</v>
      </c>
      <c r="I104" s="40" t="n">
        <v>1E-005</v>
      </c>
      <c r="J104" s="39" t="n">
        <v>0.98228</v>
      </c>
      <c r="K104" s="40" t="n">
        <v>2E-005</v>
      </c>
      <c r="L104" s="39" t="n">
        <v>0.99797</v>
      </c>
      <c r="M104" s="40" t="n">
        <v>1E-005</v>
      </c>
      <c r="N104" s="39" t="n">
        <v>0.95868</v>
      </c>
      <c r="O104" s="40" t="n">
        <v>6E-005</v>
      </c>
      <c r="P104" s="39" t="n">
        <v>0.98571</v>
      </c>
      <c r="Q104" s="40" t="n">
        <v>2E-005</v>
      </c>
      <c r="R104" s="39" t="n">
        <v>0.95596</v>
      </c>
      <c r="S104" s="40" t="n">
        <v>5E-005</v>
      </c>
      <c r="T104" s="39" t="n">
        <v>0.97556</v>
      </c>
      <c r="U104" s="40" t="n">
        <v>4E-005</v>
      </c>
      <c r="V104" s="39" t="n">
        <v>0.94453</v>
      </c>
      <c r="W104" s="40" t="n">
        <v>6E-005</v>
      </c>
      <c r="X104" s="39" t="n">
        <v>0.96187</v>
      </c>
      <c r="Y104" s="40" t="n">
        <v>6E-005</v>
      </c>
    </row>
    <row r="105" customFormat="false" ht="15" hidden="false" customHeight="false" outlineLevel="0" collapsed="false">
      <c r="A105" s="38" t="n">
        <v>160</v>
      </c>
      <c r="B105" s="39" t="n">
        <v>0.97774</v>
      </c>
      <c r="C105" s="40" t="n">
        <v>4E-005</v>
      </c>
      <c r="D105" s="39" t="n">
        <v>1.07977</v>
      </c>
      <c r="E105" s="40" t="n">
        <v>-2E-005</v>
      </c>
      <c r="F105" s="39" t="n">
        <v>0.98742</v>
      </c>
      <c r="G105" s="40" t="n">
        <v>1E-005</v>
      </c>
      <c r="H105" s="39" t="n">
        <v>1.00028</v>
      </c>
      <c r="I105" s="40" t="n">
        <v>1E-005</v>
      </c>
      <c r="J105" s="39" t="n">
        <v>0.98165</v>
      </c>
      <c r="K105" s="40" t="n">
        <v>2E-005</v>
      </c>
      <c r="L105" s="39" t="n">
        <v>0.99794</v>
      </c>
      <c r="M105" s="40" t="n">
        <v>1E-005</v>
      </c>
      <c r="N105" s="39" t="n">
        <v>0.95789</v>
      </c>
      <c r="O105" s="40" t="n">
        <v>6E-005</v>
      </c>
      <c r="P105" s="39" t="n">
        <v>0.98525</v>
      </c>
      <c r="Q105" s="40" t="n">
        <v>2E-005</v>
      </c>
      <c r="R105" s="39" t="n">
        <v>0.95524</v>
      </c>
      <c r="S105" s="40" t="n">
        <v>5E-005</v>
      </c>
      <c r="T105" s="39" t="n">
        <v>0.9752</v>
      </c>
      <c r="U105" s="40" t="n">
        <v>5E-005</v>
      </c>
      <c r="V105" s="39" t="n">
        <v>0.94393</v>
      </c>
      <c r="W105" s="40" t="n">
        <v>6E-005</v>
      </c>
      <c r="X105" s="39" t="n">
        <v>0.96104</v>
      </c>
      <c r="Y105" s="40" t="n">
        <v>6E-005</v>
      </c>
    </row>
    <row r="106" customFormat="false" ht="15" hidden="false" customHeight="false" outlineLevel="0" collapsed="false">
      <c r="A106" s="38" t="n">
        <v>161</v>
      </c>
      <c r="B106" s="39" t="n">
        <v>0.97689</v>
      </c>
      <c r="C106" s="40" t="n">
        <v>3E-005</v>
      </c>
      <c r="D106" s="39" t="n">
        <v>1.08085</v>
      </c>
      <c r="E106" s="40" t="n">
        <v>0</v>
      </c>
      <c r="F106" s="39" t="n">
        <v>0.98661</v>
      </c>
      <c r="G106" s="40" t="n">
        <v>2E-005</v>
      </c>
      <c r="H106" s="39" t="n">
        <v>1.00002</v>
      </c>
      <c r="I106" s="40" t="n">
        <v>1E-005</v>
      </c>
      <c r="J106" s="39" t="n">
        <v>0.98182</v>
      </c>
      <c r="K106" s="40" t="n">
        <v>2E-005</v>
      </c>
      <c r="L106" s="39" t="n">
        <v>0.99787</v>
      </c>
      <c r="M106" s="40" t="n">
        <v>1E-005</v>
      </c>
      <c r="N106" s="39" t="n">
        <v>0.95695</v>
      </c>
      <c r="O106" s="40" t="n">
        <v>6E-005</v>
      </c>
      <c r="P106" s="39" t="n">
        <v>0.98519</v>
      </c>
      <c r="Q106" s="40" t="n">
        <v>2E-005</v>
      </c>
      <c r="R106" s="39" t="n">
        <v>0.95452</v>
      </c>
      <c r="S106" s="40" t="n">
        <v>6E-005</v>
      </c>
      <c r="T106" s="39" t="n">
        <v>0.97458</v>
      </c>
      <c r="U106" s="40" t="n">
        <v>5E-005</v>
      </c>
      <c r="V106" s="39" t="n">
        <v>0.94323</v>
      </c>
      <c r="W106" s="40" t="n">
        <v>6E-005</v>
      </c>
      <c r="X106" s="39" t="n">
        <v>0.96008</v>
      </c>
      <c r="Y106" s="40" t="n">
        <v>6E-005</v>
      </c>
    </row>
    <row r="107" customFormat="false" ht="15" hidden="false" customHeight="false" outlineLevel="0" collapsed="false">
      <c r="A107" s="38" t="n">
        <v>162</v>
      </c>
      <c r="B107" s="39" t="n">
        <v>0.97657</v>
      </c>
      <c r="C107" s="40" t="n">
        <v>3E-005</v>
      </c>
      <c r="D107" s="39" t="n">
        <v>1.07927</v>
      </c>
      <c r="E107" s="40" t="n">
        <v>2E-005</v>
      </c>
      <c r="F107" s="39" t="n">
        <v>0.98647</v>
      </c>
      <c r="G107" s="40" t="n">
        <v>2E-005</v>
      </c>
      <c r="H107" s="39" t="n">
        <v>0.99992</v>
      </c>
      <c r="I107" s="40" t="n">
        <v>1E-005</v>
      </c>
      <c r="J107" s="39" t="n">
        <v>0.98188</v>
      </c>
      <c r="K107" s="40" t="n">
        <v>2E-005</v>
      </c>
      <c r="L107" s="39" t="n">
        <v>0.99759</v>
      </c>
      <c r="M107" s="40" t="n">
        <v>1E-005</v>
      </c>
      <c r="N107" s="39" t="n">
        <v>0.95642</v>
      </c>
      <c r="O107" s="40" t="n">
        <v>6E-005</v>
      </c>
      <c r="P107" s="39" t="n">
        <v>0.98495</v>
      </c>
      <c r="Q107" s="40" t="n">
        <v>2E-005</v>
      </c>
      <c r="R107" s="39" t="n">
        <v>0.95385</v>
      </c>
      <c r="S107" s="40" t="n">
        <v>6E-005</v>
      </c>
      <c r="T107" s="39" t="n">
        <v>0.97404</v>
      </c>
      <c r="U107" s="40" t="n">
        <v>5E-005</v>
      </c>
      <c r="V107" s="39" t="n">
        <v>0.94248</v>
      </c>
      <c r="W107" s="40" t="n">
        <v>6E-005</v>
      </c>
      <c r="X107" s="39" t="n">
        <v>0.95951</v>
      </c>
      <c r="Y107" s="40" t="n">
        <v>5E-005</v>
      </c>
    </row>
    <row r="108" customFormat="false" ht="15" hidden="false" customHeight="false" outlineLevel="0" collapsed="false">
      <c r="A108" s="38" t="n">
        <v>163</v>
      </c>
      <c r="B108" s="39" t="n">
        <v>0.97651</v>
      </c>
      <c r="C108" s="40" t="n">
        <v>2E-005</v>
      </c>
      <c r="D108" s="39" t="n">
        <v>1.08047</v>
      </c>
      <c r="E108" s="40" t="n">
        <v>0</v>
      </c>
      <c r="F108" s="39" t="n">
        <v>0.98658</v>
      </c>
      <c r="G108" s="40" t="n">
        <v>2E-005</v>
      </c>
      <c r="H108" s="39" t="n">
        <v>0.99993</v>
      </c>
      <c r="I108" s="40" t="n">
        <v>1E-005</v>
      </c>
      <c r="J108" s="39" t="n">
        <v>0.9816</v>
      </c>
      <c r="K108" s="40" t="n">
        <v>2E-005</v>
      </c>
      <c r="L108" s="39" t="n">
        <v>0.99728</v>
      </c>
      <c r="M108" s="40" t="n">
        <v>1E-005</v>
      </c>
      <c r="N108" s="39" t="n">
        <v>0.95586</v>
      </c>
      <c r="O108" s="40" t="n">
        <v>7E-005</v>
      </c>
      <c r="P108" s="39" t="n">
        <v>0.9846</v>
      </c>
      <c r="Q108" s="40" t="n">
        <v>3E-005</v>
      </c>
      <c r="R108" s="39" t="n">
        <v>0.95317</v>
      </c>
      <c r="S108" s="40" t="n">
        <v>6E-005</v>
      </c>
      <c r="T108" s="39" t="n">
        <v>0.97325</v>
      </c>
      <c r="U108" s="40" t="n">
        <v>5E-005</v>
      </c>
      <c r="V108" s="39" t="n">
        <v>0.9417</v>
      </c>
      <c r="W108" s="40" t="n">
        <v>6E-005</v>
      </c>
      <c r="X108" s="39" t="n">
        <v>0.95903</v>
      </c>
      <c r="Y108" s="40" t="n">
        <v>5E-005</v>
      </c>
    </row>
    <row r="109" customFormat="false" ht="15" hidden="false" customHeight="false" outlineLevel="0" collapsed="false">
      <c r="A109" s="38" t="n">
        <v>164</v>
      </c>
      <c r="B109" s="39" t="n">
        <v>0.97622</v>
      </c>
      <c r="C109" s="40" t="n">
        <v>3E-005</v>
      </c>
      <c r="D109" s="39" t="n">
        <v>1.08215</v>
      </c>
      <c r="E109" s="40" t="n">
        <v>-2E-005</v>
      </c>
      <c r="F109" s="39" t="n">
        <v>0.98628</v>
      </c>
      <c r="G109" s="40" t="n">
        <v>2E-005</v>
      </c>
      <c r="H109" s="39" t="n">
        <v>0.99954</v>
      </c>
      <c r="I109" s="40" t="n">
        <v>2E-005</v>
      </c>
      <c r="J109" s="39" t="n">
        <v>0.98118</v>
      </c>
      <c r="K109" s="40" t="n">
        <v>2E-005</v>
      </c>
      <c r="L109" s="39" t="n">
        <v>0.9972</v>
      </c>
      <c r="M109" s="40" t="n">
        <v>1E-005</v>
      </c>
      <c r="N109" s="39" t="n">
        <v>0.95508</v>
      </c>
      <c r="O109" s="40" t="n">
        <v>5E-005</v>
      </c>
      <c r="P109" s="39" t="n">
        <v>0.98419</v>
      </c>
      <c r="Q109" s="40" t="n">
        <v>2E-005</v>
      </c>
      <c r="R109" s="39" t="n">
        <v>0.9523</v>
      </c>
      <c r="S109" s="40" t="n">
        <v>6E-005</v>
      </c>
      <c r="T109" s="39" t="n">
        <v>0.97249</v>
      </c>
      <c r="U109" s="40" t="n">
        <v>5E-005</v>
      </c>
      <c r="V109" s="39" t="n">
        <v>0.94099</v>
      </c>
      <c r="W109" s="40" t="n">
        <v>6E-005</v>
      </c>
      <c r="X109" s="39" t="n">
        <v>0.95839</v>
      </c>
      <c r="Y109" s="40" t="n">
        <v>5E-005</v>
      </c>
    </row>
    <row r="110" customFormat="false" ht="15" hidden="false" customHeight="false" outlineLevel="0" collapsed="false">
      <c r="A110" s="38" t="n">
        <v>165</v>
      </c>
      <c r="B110" s="39" t="n">
        <v>0.9761</v>
      </c>
      <c r="C110" s="40" t="n">
        <v>2E-005</v>
      </c>
      <c r="D110" s="39" t="n">
        <v>1.08035</v>
      </c>
      <c r="E110" s="40" t="n">
        <v>2E-005</v>
      </c>
      <c r="F110" s="39" t="n">
        <v>0.98572</v>
      </c>
      <c r="G110" s="40" t="n">
        <v>2E-005</v>
      </c>
      <c r="H110" s="39" t="n">
        <v>0.99956</v>
      </c>
      <c r="I110" s="40" t="n">
        <v>1E-005</v>
      </c>
      <c r="J110" s="39" t="n">
        <v>0.9807</v>
      </c>
      <c r="K110" s="40" t="n">
        <v>3E-005</v>
      </c>
      <c r="L110" s="39" t="n">
        <v>0.99703</v>
      </c>
      <c r="M110" s="40" t="n">
        <v>2E-005</v>
      </c>
      <c r="N110" s="39" t="n">
        <v>0.95437</v>
      </c>
      <c r="O110" s="40" t="n">
        <v>3E-005</v>
      </c>
      <c r="P110" s="39" t="n">
        <v>0.98376</v>
      </c>
      <c r="Q110" s="40" t="n">
        <v>3E-005</v>
      </c>
      <c r="R110" s="39" t="n">
        <v>0.95158</v>
      </c>
      <c r="S110" s="40" t="n">
        <v>6E-005</v>
      </c>
      <c r="T110" s="39" t="n">
        <v>0.97208</v>
      </c>
      <c r="U110" s="40" t="n">
        <v>5E-005</v>
      </c>
      <c r="V110" s="39" t="n">
        <v>0.94039</v>
      </c>
      <c r="W110" s="40" t="n">
        <v>6E-005</v>
      </c>
      <c r="X110" s="39" t="n">
        <v>0.95783</v>
      </c>
      <c r="Y110" s="40" t="n">
        <v>5E-005</v>
      </c>
    </row>
    <row r="111" customFormat="false" ht="15" hidden="false" customHeight="false" outlineLevel="0" collapsed="false">
      <c r="A111" s="38" t="n">
        <v>166</v>
      </c>
      <c r="B111" s="39" t="n">
        <v>0.97562</v>
      </c>
      <c r="C111" s="40" t="n">
        <v>3E-005</v>
      </c>
      <c r="D111" s="39" t="n">
        <v>1.0781</v>
      </c>
      <c r="E111" s="40" t="n">
        <v>3E-005</v>
      </c>
      <c r="F111" s="39" t="n">
        <v>0.98558</v>
      </c>
      <c r="G111" s="40" t="n">
        <v>2E-005</v>
      </c>
      <c r="H111" s="39" t="n">
        <v>0.99916</v>
      </c>
      <c r="I111" s="40" t="n">
        <v>1E-005</v>
      </c>
      <c r="J111" s="39" t="n">
        <v>0.98044</v>
      </c>
      <c r="K111" s="40" t="n">
        <v>3E-005</v>
      </c>
      <c r="L111" s="39" t="n">
        <v>0.99706</v>
      </c>
      <c r="M111" s="40" t="n">
        <v>1E-005</v>
      </c>
      <c r="N111" s="39" t="n">
        <v>0.95396</v>
      </c>
      <c r="O111" s="40" t="n">
        <v>1E-005</v>
      </c>
      <c r="P111" s="39" t="n">
        <v>0.98359</v>
      </c>
      <c r="Q111" s="40" t="n">
        <v>3E-005</v>
      </c>
      <c r="R111" s="39" t="n">
        <v>0.95134</v>
      </c>
      <c r="S111" s="40" t="n">
        <v>6E-005</v>
      </c>
      <c r="T111" s="39" t="n">
        <v>0.9715</v>
      </c>
      <c r="U111" s="40" t="n">
        <v>5E-005</v>
      </c>
      <c r="V111" s="39" t="n">
        <v>0.93946</v>
      </c>
      <c r="W111" s="40" t="n">
        <v>6E-005</v>
      </c>
      <c r="X111" s="39" t="n">
        <v>0.9573</v>
      </c>
      <c r="Y111" s="40" t="n">
        <v>5E-005</v>
      </c>
    </row>
    <row r="112" customFormat="false" ht="15" hidden="false" customHeight="false" outlineLevel="0" collapsed="false">
      <c r="A112" s="38" t="n">
        <v>167</v>
      </c>
      <c r="B112" s="39" t="n">
        <v>0.97515</v>
      </c>
      <c r="C112" s="40" t="n">
        <v>3E-005</v>
      </c>
      <c r="D112" s="39" t="n">
        <v>1.0804</v>
      </c>
      <c r="E112" s="40" t="n">
        <v>7E-005</v>
      </c>
      <c r="F112" s="39" t="n">
        <v>0.98525</v>
      </c>
      <c r="G112" s="40" t="n">
        <v>2E-005</v>
      </c>
      <c r="H112" s="39" t="n">
        <v>0.99896</v>
      </c>
      <c r="I112" s="40" t="n">
        <v>1E-005</v>
      </c>
      <c r="J112" s="39" t="n">
        <v>0.98047</v>
      </c>
      <c r="K112" s="40" t="n">
        <v>2E-005</v>
      </c>
      <c r="L112" s="39" t="n">
        <v>0.99674</v>
      </c>
      <c r="M112" s="40" t="n">
        <v>1E-005</v>
      </c>
      <c r="N112" s="39" t="n">
        <v>0.95331</v>
      </c>
      <c r="O112" s="40" t="n">
        <v>1E-005</v>
      </c>
      <c r="P112" s="39" t="n">
        <v>0.98337</v>
      </c>
      <c r="Q112" s="40" t="n">
        <v>3E-005</v>
      </c>
      <c r="R112" s="39" t="n">
        <v>0.95054</v>
      </c>
      <c r="S112" s="40" t="n">
        <v>6E-005</v>
      </c>
      <c r="T112" s="39" t="n">
        <v>0.97075</v>
      </c>
      <c r="U112" s="40" t="n">
        <v>5E-005</v>
      </c>
      <c r="V112" s="39" t="n">
        <v>0.93877</v>
      </c>
      <c r="W112" s="40" t="n">
        <v>6E-005</v>
      </c>
      <c r="X112" s="39" t="n">
        <v>0.95663</v>
      </c>
      <c r="Y112" s="40" t="n">
        <v>6E-005</v>
      </c>
    </row>
    <row r="113" customFormat="false" ht="15" hidden="false" customHeight="false" outlineLevel="0" collapsed="false">
      <c r="A113" s="38" t="n">
        <v>168</v>
      </c>
      <c r="B113" s="39" t="n">
        <v>0.97459</v>
      </c>
      <c r="C113" s="40" t="n">
        <v>4E-005</v>
      </c>
      <c r="D113" s="39" t="n">
        <v>1.08063</v>
      </c>
      <c r="E113" s="40" t="n">
        <v>0.0001</v>
      </c>
      <c r="F113" s="39" t="n">
        <v>0.98517</v>
      </c>
      <c r="G113" s="40" t="n">
        <v>2E-005</v>
      </c>
      <c r="H113" s="39" t="n">
        <v>0.99902</v>
      </c>
      <c r="I113" s="40" t="n">
        <v>1E-005</v>
      </c>
      <c r="J113" s="39" t="n">
        <v>0.9802</v>
      </c>
      <c r="K113" s="40" t="n">
        <v>2E-005</v>
      </c>
      <c r="L113" s="39" t="n">
        <v>0.9966</v>
      </c>
      <c r="M113" s="40" t="n">
        <v>2E-005</v>
      </c>
      <c r="N113" s="39" t="n">
        <v>0.95406</v>
      </c>
      <c r="O113" s="40" t="n">
        <v>1E-005</v>
      </c>
      <c r="P113" s="39" t="n">
        <v>0.98305</v>
      </c>
      <c r="Q113" s="40" t="n">
        <v>3E-005</v>
      </c>
      <c r="R113" s="39" t="n">
        <v>0.94967</v>
      </c>
      <c r="S113" s="40" t="n">
        <v>6E-005</v>
      </c>
      <c r="T113" s="39" t="n">
        <v>0.97028</v>
      </c>
      <c r="U113" s="40" t="n">
        <v>5E-005</v>
      </c>
      <c r="V113" s="39" t="n">
        <v>0.93799</v>
      </c>
      <c r="W113" s="40" t="n">
        <v>6E-005</v>
      </c>
      <c r="X113" s="39" t="n">
        <v>0.95601</v>
      </c>
      <c r="Y113" s="40" t="n">
        <v>6E-005</v>
      </c>
    </row>
    <row r="114" customFormat="false" ht="15" hidden="false" customHeight="false" outlineLevel="0" collapsed="false">
      <c r="A114" s="38" t="n">
        <v>169</v>
      </c>
      <c r="B114" s="39" t="n">
        <v>0.97448</v>
      </c>
      <c r="C114" s="40" t="n">
        <v>4E-005</v>
      </c>
      <c r="D114" s="39" t="n">
        <v>1.07699</v>
      </c>
      <c r="E114" s="40" t="n">
        <v>6E-005</v>
      </c>
      <c r="F114" s="39" t="n">
        <v>0.98504</v>
      </c>
      <c r="G114" s="40" t="n">
        <v>2E-005</v>
      </c>
      <c r="H114" s="39" t="n">
        <v>0.99911</v>
      </c>
      <c r="I114" s="40" t="n">
        <v>1E-005</v>
      </c>
      <c r="J114" s="39" t="n">
        <v>0.97963</v>
      </c>
      <c r="K114" s="40" t="n">
        <v>2E-005</v>
      </c>
      <c r="L114" s="39" t="n">
        <v>0.9962</v>
      </c>
      <c r="M114" s="40" t="n">
        <v>2E-005</v>
      </c>
      <c r="N114" s="39" t="n">
        <v>0.95463</v>
      </c>
      <c r="O114" s="40" t="n">
        <v>3E-005</v>
      </c>
      <c r="P114" s="39" t="n">
        <v>0.98261</v>
      </c>
      <c r="Q114" s="40" t="n">
        <v>3E-005</v>
      </c>
      <c r="R114" s="39" t="n">
        <v>0.94895</v>
      </c>
      <c r="S114" s="40" t="n">
        <v>6E-005</v>
      </c>
      <c r="T114" s="39" t="n">
        <v>0.96967</v>
      </c>
      <c r="U114" s="40" t="n">
        <v>6E-005</v>
      </c>
      <c r="V114" s="39" t="n">
        <v>0.9373</v>
      </c>
      <c r="W114" s="40" t="n">
        <v>6E-005</v>
      </c>
      <c r="X114" s="39" t="n">
        <v>0.95511</v>
      </c>
      <c r="Y114" s="40" t="n">
        <v>7E-005</v>
      </c>
    </row>
    <row r="115" customFormat="false" ht="15" hidden="false" customHeight="false" outlineLevel="0" collapsed="false">
      <c r="A115" s="38" t="n">
        <v>170</v>
      </c>
      <c r="B115" s="39" t="n">
        <v>0.97419</v>
      </c>
      <c r="C115" s="40" t="n">
        <v>3E-005</v>
      </c>
      <c r="D115" s="39" t="n">
        <v>1.07621</v>
      </c>
      <c r="E115" s="40" t="n">
        <v>4E-005</v>
      </c>
      <c r="F115" s="39" t="n">
        <v>0.98486</v>
      </c>
      <c r="G115" s="40" t="n">
        <v>2E-005</v>
      </c>
      <c r="H115" s="39" t="n">
        <v>0.999</v>
      </c>
      <c r="I115" s="40" t="n">
        <v>1E-005</v>
      </c>
      <c r="J115" s="39" t="n">
        <v>0.97964</v>
      </c>
      <c r="K115" s="40" t="n">
        <v>2E-005</v>
      </c>
      <c r="L115" s="39" t="n">
        <v>0.99616</v>
      </c>
      <c r="M115" s="40" t="n">
        <v>2E-005</v>
      </c>
      <c r="N115" s="39" t="n">
        <v>0.95368</v>
      </c>
      <c r="O115" s="40" t="n">
        <v>5E-005</v>
      </c>
      <c r="P115" s="39" t="n">
        <v>0.98216</v>
      </c>
      <c r="Q115" s="40" t="n">
        <v>4E-005</v>
      </c>
      <c r="R115" s="39" t="n">
        <v>0.94828</v>
      </c>
      <c r="S115" s="40" t="n">
        <v>6E-005</v>
      </c>
      <c r="T115" s="39" t="n">
        <v>0.96899</v>
      </c>
      <c r="U115" s="40" t="n">
        <v>6E-005</v>
      </c>
      <c r="V115" s="39" t="n">
        <v>0.93668</v>
      </c>
      <c r="W115" s="40" t="n">
        <v>6E-005</v>
      </c>
      <c r="X115" s="39" t="n">
        <v>0.95419</v>
      </c>
      <c r="Y115" s="40" t="n">
        <v>7E-005</v>
      </c>
    </row>
    <row r="116" customFormat="false" ht="15" hidden="false" customHeight="false" outlineLevel="0" collapsed="false">
      <c r="A116" s="38" t="n">
        <v>171</v>
      </c>
      <c r="B116" s="39" t="n">
        <v>0.97352</v>
      </c>
      <c r="C116" s="40" t="n">
        <v>3E-005</v>
      </c>
      <c r="D116" s="39" t="n">
        <v>1.07575</v>
      </c>
      <c r="E116" s="40" t="n">
        <v>6E-005</v>
      </c>
      <c r="F116" s="39" t="n">
        <v>0.98417</v>
      </c>
      <c r="G116" s="40" t="n">
        <v>3E-005</v>
      </c>
      <c r="H116" s="39" t="n">
        <v>0.99855</v>
      </c>
      <c r="I116" s="40" t="n">
        <v>1E-005</v>
      </c>
      <c r="J116" s="39" t="n">
        <v>0.97937</v>
      </c>
      <c r="K116" s="40" t="n">
        <v>3E-005</v>
      </c>
      <c r="L116" s="39" t="n">
        <v>0.99594</v>
      </c>
      <c r="M116" s="40" t="n">
        <v>2E-005</v>
      </c>
      <c r="N116" s="39" t="n">
        <v>0.95278</v>
      </c>
      <c r="O116" s="40" t="n">
        <v>7E-005</v>
      </c>
      <c r="P116" s="39" t="n">
        <v>0.98187</v>
      </c>
      <c r="Q116" s="40" t="n">
        <v>4E-005</v>
      </c>
      <c r="R116" s="39" t="n">
        <v>0.94762</v>
      </c>
      <c r="S116" s="40" t="n">
        <v>6E-005</v>
      </c>
      <c r="T116" s="39" t="n">
        <v>0.9682</v>
      </c>
      <c r="U116" s="40" t="n">
        <v>5E-005</v>
      </c>
      <c r="V116" s="39" t="n">
        <v>0.93577</v>
      </c>
      <c r="W116" s="40" t="n">
        <v>6E-005</v>
      </c>
      <c r="X116" s="39" t="n">
        <v>0.95349</v>
      </c>
      <c r="Y116" s="40" t="n">
        <v>7E-005</v>
      </c>
    </row>
    <row r="117" customFormat="false" ht="15" hidden="false" customHeight="false" outlineLevel="0" collapsed="false">
      <c r="A117" s="38" t="n">
        <v>172</v>
      </c>
      <c r="B117" s="39" t="n">
        <v>0.97304</v>
      </c>
      <c r="C117" s="40" t="n">
        <v>3E-005</v>
      </c>
      <c r="D117" s="39" t="n">
        <v>1.07526</v>
      </c>
      <c r="E117" s="40" t="n">
        <v>2E-005</v>
      </c>
      <c r="F117" s="39" t="n">
        <v>0.98363</v>
      </c>
      <c r="G117" s="40" t="n">
        <v>3E-005</v>
      </c>
      <c r="H117" s="39" t="n">
        <v>0.9985</v>
      </c>
      <c r="I117" s="40" t="n">
        <v>2E-005</v>
      </c>
      <c r="J117" s="39" t="n">
        <v>0.97907</v>
      </c>
      <c r="K117" s="40" t="n">
        <v>2E-005</v>
      </c>
      <c r="L117" s="39" t="n">
        <v>0.99566</v>
      </c>
      <c r="M117" s="40" t="n">
        <v>2E-005</v>
      </c>
      <c r="N117" s="39" t="n">
        <v>0.95129</v>
      </c>
      <c r="O117" s="40" t="n">
        <v>9E-005</v>
      </c>
      <c r="P117" s="39" t="n">
        <v>0.98141</v>
      </c>
      <c r="Q117" s="40" t="n">
        <v>3E-005</v>
      </c>
      <c r="R117" s="39" t="n">
        <v>0.94696</v>
      </c>
      <c r="S117" s="40" t="n">
        <v>6E-005</v>
      </c>
      <c r="T117" s="39" t="n">
        <v>0.96746</v>
      </c>
      <c r="U117" s="40" t="n">
        <v>6E-005</v>
      </c>
      <c r="V117" s="39" t="n">
        <v>0.93491</v>
      </c>
      <c r="W117" s="40" t="n">
        <v>7E-005</v>
      </c>
      <c r="X117" s="39" t="n">
        <v>0.95249</v>
      </c>
      <c r="Y117" s="40" t="n">
        <v>7E-005</v>
      </c>
    </row>
    <row r="118" customFormat="false" ht="15" hidden="false" customHeight="false" outlineLevel="0" collapsed="false">
      <c r="A118" s="38" t="n">
        <v>173</v>
      </c>
      <c r="B118" s="39" t="n">
        <v>0.97272</v>
      </c>
      <c r="C118" s="40" t="n">
        <v>3E-005</v>
      </c>
      <c r="D118" s="39" t="n">
        <v>1.07713</v>
      </c>
      <c r="E118" s="40" t="n">
        <v>-7E-005</v>
      </c>
      <c r="F118" s="39" t="n">
        <v>0.98387</v>
      </c>
      <c r="G118" s="40" t="n">
        <v>3E-005</v>
      </c>
      <c r="H118" s="39" t="n">
        <v>0.99816</v>
      </c>
      <c r="I118" s="40" t="n">
        <v>2E-005</v>
      </c>
      <c r="J118" s="39" t="n">
        <v>0.97877</v>
      </c>
      <c r="K118" s="40" t="n">
        <v>2E-005</v>
      </c>
      <c r="L118" s="39" t="n">
        <v>0.99532</v>
      </c>
      <c r="M118" s="40" t="n">
        <v>2E-005</v>
      </c>
      <c r="N118" s="39" t="n">
        <v>0.95011</v>
      </c>
      <c r="O118" s="40" t="n">
        <v>0.00011</v>
      </c>
      <c r="P118" s="39" t="n">
        <v>0.98092</v>
      </c>
      <c r="Q118" s="40" t="n">
        <v>3E-005</v>
      </c>
      <c r="R118" s="39" t="n">
        <v>0.94617</v>
      </c>
      <c r="S118" s="40" t="n">
        <v>6E-005</v>
      </c>
      <c r="T118" s="39" t="n">
        <v>0.96684</v>
      </c>
      <c r="U118" s="40" t="n">
        <v>6E-005</v>
      </c>
      <c r="V118" s="39" t="n">
        <v>0.93417</v>
      </c>
      <c r="W118" s="40" t="n">
        <v>7E-005</v>
      </c>
      <c r="X118" s="39" t="n">
        <v>0.95175</v>
      </c>
      <c r="Y118" s="40" t="n">
        <v>7E-005</v>
      </c>
    </row>
    <row r="119" customFormat="false" ht="15" hidden="false" customHeight="false" outlineLevel="0" collapsed="false">
      <c r="A119" s="38" t="n">
        <v>174</v>
      </c>
      <c r="B119" s="39" t="n">
        <v>0.9725</v>
      </c>
      <c r="C119" s="40" t="n">
        <v>3E-005</v>
      </c>
      <c r="D119" s="39" t="n">
        <v>1.07698</v>
      </c>
      <c r="E119" s="40" t="n">
        <v>-6E-005</v>
      </c>
      <c r="F119" s="39" t="n">
        <v>0.98334</v>
      </c>
      <c r="G119" s="40" t="n">
        <v>2E-005</v>
      </c>
      <c r="H119" s="39" t="n">
        <v>0.99814</v>
      </c>
      <c r="I119" s="40" t="n">
        <v>2E-005</v>
      </c>
      <c r="J119" s="39" t="n">
        <v>0.97833</v>
      </c>
      <c r="K119" s="40" t="n">
        <v>2E-005</v>
      </c>
      <c r="L119" s="39" t="n">
        <v>0.99492</v>
      </c>
      <c r="M119" s="40" t="n">
        <v>2E-005</v>
      </c>
      <c r="N119" s="39" t="n">
        <v>0.94917</v>
      </c>
      <c r="O119" s="40" t="n">
        <v>0.0001</v>
      </c>
      <c r="P119" s="39" t="n">
        <v>0.98056</v>
      </c>
      <c r="Q119" s="40" t="n">
        <v>3E-005</v>
      </c>
      <c r="R119" s="39" t="n">
        <v>0.94515</v>
      </c>
      <c r="S119" s="40" t="n">
        <v>7E-005</v>
      </c>
      <c r="T119" s="39" t="n">
        <v>0.96637</v>
      </c>
      <c r="U119" s="40" t="n">
        <v>6E-005</v>
      </c>
      <c r="V119" s="39" t="n">
        <v>0.93342</v>
      </c>
      <c r="W119" s="40" t="n">
        <v>7E-005</v>
      </c>
      <c r="X119" s="39" t="n">
        <v>0.95101</v>
      </c>
      <c r="Y119" s="40" t="n">
        <v>7E-005</v>
      </c>
    </row>
    <row r="120" customFormat="false" ht="15" hidden="false" customHeight="false" outlineLevel="0" collapsed="false">
      <c r="A120" s="38" t="n">
        <v>175</v>
      </c>
      <c r="B120" s="39" t="n">
        <v>0.97198</v>
      </c>
      <c r="C120" s="40" t="n">
        <v>3E-005</v>
      </c>
      <c r="D120" s="39" t="n">
        <v>1.07687</v>
      </c>
      <c r="E120" s="40" t="n">
        <v>-1E-005</v>
      </c>
      <c r="F120" s="39" t="n">
        <v>0.98282</v>
      </c>
      <c r="G120" s="40" t="n">
        <v>1E-005</v>
      </c>
      <c r="H120" s="39" t="n">
        <v>0.99779</v>
      </c>
      <c r="I120" s="40" t="n">
        <v>1E-005</v>
      </c>
      <c r="J120" s="39" t="n">
        <v>0.97819</v>
      </c>
      <c r="K120" s="40" t="n">
        <v>2E-005</v>
      </c>
      <c r="L120" s="39" t="n">
        <v>0.99488</v>
      </c>
      <c r="M120" s="40" t="n">
        <v>2E-005</v>
      </c>
      <c r="N120" s="39" t="n">
        <v>0.948</v>
      </c>
      <c r="O120" s="40" t="n">
        <v>0.0001</v>
      </c>
      <c r="P120" s="39" t="n">
        <v>0.98046</v>
      </c>
      <c r="Q120" s="40" t="n">
        <v>3E-005</v>
      </c>
      <c r="R120" s="39" t="n">
        <v>0.94446</v>
      </c>
      <c r="S120" s="40" t="n">
        <v>7E-005</v>
      </c>
      <c r="T120" s="39" t="n">
        <v>0.9656</v>
      </c>
      <c r="U120" s="40" t="n">
        <v>5E-005</v>
      </c>
      <c r="V120" s="39" t="n">
        <v>0.93266</v>
      </c>
      <c r="W120" s="40" t="n">
        <v>7E-005</v>
      </c>
      <c r="X120" s="39" t="n">
        <v>0.95044</v>
      </c>
      <c r="Y120" s="40" t="n">
        <v>7E-005</v>
      </c>
    </row>
    <row r="121" customFormat="false" ht="15" hidden="false" customHeight="false" outlineLevel="0" collapsed="false">
      <c r="A121" s="38" t="n">
        <v>176</v>
      </c>
      <c r="B121" s="39" t="n">
        <v>0.97172</v>
      </c>
      <c r="C121" s="40" t="n">
        <v>3E-005</v>
      </c>
      <c r="D121" s="39" t="n">
        <v>1.07784</v>
      </c>
      <c r="E121" s="40" t="n">
        <v>1E-005</v>
      </c>
      <c r="F121" s="39" t="n">
        <v>0.98315</v>
      </c>
      <c r="G121" s="40" t="n">
        <v>1E-005</v>
      </c>
      <c r="H121" s="39" t="n">
        <v>0.9977</v>
      </c>
      <c r="I121" s="40" t="n">
        <v>2E-005</v>
      </c>
      <c r="J121" s="39" t="n">
        <v>0.97796</v>
      </c>
      <c r="K121" s="40" t="n">
        <v>2E-005</v>
      </c>
      <c r="L121" s="39" t="n">
        <v>0.99497</v>
      </c>
      <c r="M121" s="40" t="n">
        <v>2E-005</v>
      </c>
      <c r="N121" s="39" t="n">
        <v>0.94684</v>
      </c>
      <c r="O121" s="40" t="n">
        <v>9E-005</v>
      </c>
      <c r="P121" s="39" t="n">
        <v>0.98009</v>
      </c>
      <c r="Q121" s="40" t="n">
        <v>3E-005</v>
      </c>
      <c r="R121" s="39" t="n">
        <v>0.94378</v>
      </c>
      <c r="S121" s="40" t="n">
        <v>7E-005</v>
      </c>
      <c r="T121" s="39" t="n">
        <v>0.96488</v>
      </c>
      <c r="U121" s="40" t="n">
        <v>5E-005</v>
      </c>
      <c r="V121" s="39" t="n">
        <v>0.93175</v>
      </c>
      <c r="W121" s="40" t="n">
        <v>7E-005</v>
      </c>
      <c r="X121" s="39" t="n">
        <v>0.94942</v>
      </c>
      <c r="Y121" s="40" t="n">
        <v>6E-005</v>
      </c>
    </row>
    <row r="122" customFormat="false" ht="15" hidden="false" customHeight="false" outlineLevel="0" collapsed="false">
      <c r="A122" s="38" t="n">
        <v>177</v>
      </c>
      <c r="B122" s="39" t="n">
        <v>0.97163</v>
      </c>
      <c r="C122" s="40" t="n">
        <v>4E-005</v>
      </c>
      <c r="D122" s="39" t="n">
        <v>1.07919</v>
      </c>
      <c r="E122" s="40" t="n">
        <v>5E-005</v>
      </c>
      <c r="F122" s="39" t="n">
        <v>0.98273</v>
      </c>
      <c r="G122" s="40" t="n">
        <v>2E-005</v>
      </c>
      <c r="H122" s="39" t="n">
        <v>0.99754</v>
      </c>
      <c r="I122" s="40" t="n">
        <v>1E-005</v>
      </c>
      <c r="J122" s="39" t="n">
        <v>0.97769</v>
      </c>
      <c r="K122" s="40" t="n">
        <v>2E-005</v>
      </c>
      <c r="L122" s="39" t="n">
        <v>0.99464</v>
      </c>
      <c r="M122" s="40" t="n">
        <v>2E-005</v>
      </c>
      <c r="N122" s="39" t="n">
        <v>0.94569</v>
      </c>
      <c r="O122" s="40" t="n">
        <v>9E-005</v>
      </c>
      <c r="P122" s="39" t="n">
        <v>0.97981</v>
      </c>
      <c r="Q122" s="40" t="n">
        <v>3E-005</v>
      </c>
      <c r="R122" s="39" t="n">
        <v>0.94297</v>
      </c>
      <c r="S122" s="40" t="n">
        <v>6E-005</v>
      </c>
      <c r="T122" s="39" t="n">
        <v>0.96422</v>
      </c>
      <c r="U122" s="40" t="n">
        <v>5E-005</v>
      </c>
      <c r="V122" s="39" t="n">
        <v>0.93099</v>
      </c>
      <c r="W122" s="40" t="n">
        <v>7E-005</v>
      </c>
      <c r="X122" s="39" t="n">
        <v>0.94835</v>
      </c>
      <c r="Y122" s="40" t="n">
        <v>6E-005</v>
      </c>
    </row>
    <row r="123" customFormat="false" ht="15" hidden="false" customHeight="false" outlineLevel="0" collapsed="false">
      <c r="A123" s="38" t="n">
        <v>178</v>
      </c>
      <c r="B123" s="39" t="n">
        <v>0.97095</v>
      </c>
      <c r="C123" s="40" t="n">
        <v>5E-005</v>
      </c>
      <c r="D123" s="39" t="n">
        <v>1.07665</v>
      </c>
      <c r="E123" s="40" t="n">
        <v>5E-005</v>
      </c>
      <c r="F123" s="39" t="n">
        <v>0.98226</v>
      </c>
      <c r="G123" s="40" t="n">
        <v>2E-005</v>
      </c>
      <c r="H123" s="39" t="n">
        <v>0.9974</v>
      </c>
      <c r="I123" s="40" t="n">
        <v>1E-005</v>
      </c>
      <c r="J123" s="39" t="n">
        <v>0.97744</v>
      </c>
      <c r="K123" s="40" t="n">
        <v>2E-005</v>
      </c>
      <c r="L123" s="39" t="n">
        <v>0.99429</v>
      </c>
      <c r="M123" s="40" t="n">
        <v>2E-005</v>
      </c>
      <c r="N123" s="39" t="n">
        <v>0.9444</v>
      </c>
      <c r="O123" s="40" t="n">
        <v>9E-005</v>
      </c>
      <c r="P123" s="39" t="n">
        <v>0.97933</v>
      </c>
      <c r="Q123" s="40" t="n">
        <v>3E-005</v>
      </c>
      <c r="R123" s="39" t="n">
        <v>0.94218</v>
      </c>
      <c r="S123" s="40" t="n">
        <v>6E-005</v>
      </c>
      <c r="T123" s="39" t="n">
        <v>0.96357</v>
      </c>
      <c r="U123" s="40" t="n">
        <v>5E-005</v>
      </c>
      <c r="V123" s="39" t="n">
        <v>0.93023</v>
      </c>
      <c r="W123" s="40" t="n">
        <v>7E-005</v>
      </c>
      <c r="X123" s="39" t="n">
        <v>0.94775</v>
      </c>
      <c r="Y123" s="40" t="n">
        <v>6E-005</v>
      </c>
    </row>
    <row r="124" customFormat="false" ht="15" hidden="false" customHeight="false" outlineLevel="0" collapsed="false">
      <c r="A124" s="38" t="n">
        <v>179</v>
      </c>
      <c r="B124" s="39" t="n">
        <v>0.96991</v>
      </c>
      <c r="C124" s="40" t="n">
        <v>5E-005</v>
      </c>
      <c r="D124" s="39" t="n">
        <v>1.07468</v>
      </c>
      <c r="E124" s="40" t="n">
        <v>3E-005</v>
      </c>
      <c r="F124" s="39" t="n">
        <v>0.9825</v>
      </c>
      <c r="G124" s="40" t="n">
        <v>3E-005</v>
      </c>
      <c r="H124" s="39" t="n">
        <v>0.99721</v>
      </c>
      <c r="I124" s="40" t="n">
        <v>1E-005</v>
      </c>
      <c r="J124" s="39" t="n">
        <v>0.97728</v>
      </c>
      <c r="K124" s="40" t="n">
        <v>2E-005</v>
      </c>
      <c r="L124" s="39" t="n">
        <v>0.99398</v>
      </c>
      <c r="M124" s="40" t="n">
        <v>3E-005</v>
      </c>
      <c r="N124" s="39" t="n">
        <v>0.94347</v>
      </c>
      <c r="O124" s="40" t="n">
        <v>9E-005</v>
      </c>
      <c r="P124" s="39" t="n">
        <v>0.97888</v>
      </c>
      <c r="Q124" s="40" t="n">
        <v>4E-005</v>
      </c>
      <c r="R124" s="39" t="n">
        <v>0.94144</v>
      </c>
      <c r="S124" s="40" t="n">
        <v>7E-005</v>
      </c>
      <c r="T124" s="39" t="n">
        <v>0.96301</v>
      </c>
      <c r="U124" s="40" t="n">
        <v>5E-005</v>
      </c>
      <c r="V124" s="39" t="n">
        <v>0.92921</v>
      </c>
      <c r="W124" s="40" t="n">
        <v>7E-005</v>
      </c>
      <c r="X124" s="39" t="n">
        <v>0.94723</v>
      </c>
      <c r="Y124" s="40" t="n">
        <v>6E-005</v>
      </c>
    </row>
    <row r="125" customFormat="false" ht="15" hidden="false" customHeight="false" outlineLevel="0" collapsed="false">
      <c r="A125" s="38" t="n">
        <v>180</v>
      </c>
      <c r="B125" s="39" t="n">
        <v>0.9697</v>
      </c>
      <c r="C125" s="40" t="n">
        <v>4E-005</v>
      </c>
      <c r="D125" s="39" t="n">
        <v>1.07509</v>
      </c>
      <c r="E125" s="40" t="n">
        <v>5E-005</v>
      </c>
      <c r="F125" s="39" t="n">
        <v>0.98212</v>
      </c>
      <c r="G125" s="40" t="n">
        <v>3E-005</v>
      </c>
      <c r="H125" s="39" t="n">
        <v>0.99704</v>
      </c>
      <c r="I125" s="40" t="n">
        <v>1E-005</v>
      </c>
      <c r="J125" s="39" t="n">
        <v>0.97692</v>
      </c>
      <c r="K125" s="40" t="n">
        <v>3E-005</v>
      </c>
      <c r="L125" s="39" t="n">
        <v>0.99372</v>
      </c>
      <c r="M125" s="40" t="n">
        <v>3E-005</v>
      </c>
      <c r="N125" s="39" t="n">
        <v>0.94277</v>
      </c>
      <c r="O125" s="40" t="n">
        <v>9E-005</v>
      </c>
      <c r="P125" s="39" t="n">
        <v>0.97853</v>
      </c>
      <c r="Q125" s="40" t="n">
        <v>3E-005</v>
      </c>
      <c r="R125" s="39" t="n">
        <v>0.94055</v>
      </c>
      <c r="S125" s="40" t="n">
        <v>7E-005</v>
      </c>
      <c r="T125" s="39" t="n">
        <v>0.96251</v>
      </c>
      <c r="U125" s="40" t="n">
        <v>5E-005</v>
      </c>
      <c r="V125" s="39" t="n">
        <v>0.92834</v>
      </c>
      <c r="W125" s="40" t="n">
        <v>7E-005</v>
      </c>
      <c r="X125" s="39" t="n">
        <v>0.94665</v>
      </c>
      <c r="Y125" s="40" t="n">
        <v>6E-005</v>
      </c>
    </row>
    <row r="126" customFormat="false" ht="15" hidden="false" customHeight="false" outlineLevel="0" collapsed="false">
      <c r="A126" s="38" t="n">
        <v>181</v>
      </c>
      <c r="B126" s="39" t="n">
        <v>0.96905</v>
      </c>
      <c r="C126" s="40" t="n">
        <v>4E-005</v>
      </c>
      <c r="D126" s="39" t="n">
        <v>1.07517</v>
      </c>
      <c r="E126" s="40" t="n">
        <v>2E-005</v>
      </c>
      <c r="F126" s="39" t="n">
        <v>0.9815</v>
      </c>
      <c r="G126" s="40" t="n">
        <v>3E-005</v>
      </c>
      <c r="H126" s="39" t="n">
        <v>0.99705</v>
      </c>
      <c r="I126" s="40" t="n">
        <v>1E-005</v>
      </c>
      <c r="J126" s="39" t="n">
        <v>0.97652</v>
      </c>
      <c r="K126" s="40" t="n">
        <v>3E-005</v>
      </c>
      <c r="L126" s="39" t="n">
        <v>0.99313</v>
      </c>
      <c r="M126" s="40" t="n">
        <v>3E-005</v>
      </c>
      <c r="N126" s="39" t="n">
        <v>0.9415</v>
      </c>
      <c r="O126" s="40" t="n">
        <v>9E-005</v>
      </c>
      <c r="P126" s="39" t="n">
        <v>0.97827</v>
      </c>
      <c r="Q126" s="40" t="n">
        <v>3E-005</v>
      </c>
      <c r="R126" s="39" t="n">
        <v>0.93973</v>
      </c>
      <c r="S126" s="40" t="n">
        <v>7E-005</v>
      </c>
      <c r="T126" s="39" t="n">
        <v>0.96182</v>
      </c>
      <c r="U126" s="40" t="n">
        <v>5E-005</v>
      </c>
      <c r="V126" s="39" t="n">
        <v>0.92744</v>
      </c>
      <c r="W126" s="40" t="n">
        <v>7E-005</v>
      </c>
      <c r="X126" s="39" t="n">
        <v>0.94573</v>
      </c>
      <c r="Y126" s="40" t="n">
        <v>5E-005</v>
      </c>
    </row>
    <row r="127" customFormat="false" ht="15" hidden="false" customHeight="false" outlineLevel="0" collapsed="false">
      <c r="A127" s="38" t="n">
        <v>182</v>
      </c>
      <c r="B127" s="39" t="n">
        <v>0.96852</v>
      </c>
      <c r="C127" s="40" t="n">
        <v>4E-005</v>
      </c>
      <c r="D127" s="39" t="n">
        <v>1.07501</v>
      </c>
      <c r="E127" s="40" t="n">
        <v>-3E-005</v>
      </c>
      <c r="F127" s="39" t="n">
        <v>0.98117</v>
      </c>
      <c r="G127" s="40" t="n">
        <v>2E-005</v>
      </c>
      <c r="H127" s="39" t="n">
        <v>0.99731</v>
      </c>
      <c r="I127" s="40" t="n">
        <v>1E-005</v>
      </c>
      <c r="J127" s="39" t="n">
        <v>0.97632</v>
      </c>
      <c r="K127" s="40" t="n">
        <v>3E-005</v>
      </c>
      <c r="L127" s="39" t="n">
        <v>0.993</v>
      </c>
      <c r="M127" s="40" t="n">
        <v>2E-005</v>
      </c>
      <c r="N127" s="39" t="n">
        <v>0.94038</v>
      </c>
      <c r="O127" s="40" t="n">
        <v>9E-005</v>
      </c>
      <c r="P127" s="39" t="n">
        <v>0.9776</v>
      </c>
      <c r="Q127" s="40" t="n">
        <v>3E-005</v>
      </c>
      <c r="R127" s="39" t="n">
        <v>0.93891</v>
      </c>
      <c r="S127" s="40" t="n">
        <v>7E-005</v>
      </c>
      <c r="T127" s="39" t="n">
        <v>0.96107</v>
      </c>
      <c r="U127" s="40" t="n">
        <v>6E-005</v>
      </c>
      <c r="V127" s="39" t="n">
        <v>0.92656</v>
      </c>
      <c r="W127" s="40" t="n">
        <v>7E-005</v>
      </c>
      <c r="X127" s="39" t="n">
        <v>0.94491</v>
      </c>
      <c r="Y127" s="40" t="n">
        <v>6E-005</v>
      </c>
    </row>
    <row r="128" customFormat="false" ht="15" hidden="false" customHeight="false" outlineLevel="0" collapsed="false">
      <c r="A128" s="38" t="n">
        <v>183</v>
      </c>
      <c r="B128" s="39" t="n">
        <v>0.96831</v>
      </c>
      <c r="C128" s="40" t="n">
        <v>3E-005</v>
      </c>
      <c r="D128" s="39" t="n">
        <v>1.07683</v>
      </c>
      <c r="E128" s="40" t="n">
        <v>-3E-005</v>
      </c>
      <c r="F128" s="39" t="n">
        <v>0.98052</v>
      </c>
      <c r="G128" s="40" t="n">
        <v>2E-005</v>
      </c>
      <c r="H128" s="39" t="n">
        <v>0.9968</v>
      </c>
      <c r="I128" s="40" t="n">
        <v>1E-005</v>
      </c>
      <c r="J128" s="39" t="n">
        <v>0.97588</v>
      </c>
      <c r="K128" s="40" t="n">
        <v>2E-005</v>
      </c>
      <c r="L128" s="39" t="n">
        <v>0.99272</v>
      </c>
      <c r="M128" s="40" t="n">
        <v>2E-005</v>
      </c>
      <c r="N128" s="39" t="n">
        <v>0.93908</v>
      </c>
      <c r="O128" s="40" t="n">
        <v>9E-005</v>
      </c>
      <c r="P128" s="39" t="n">
        <v>0.97717</v>
      </c>
      <c r="Q128" s="40" t="n">
        <v>3E-005</v>
      </c>
      <c r="R128" s="39" t="n">
        <v>0.93792</v>
      </c>
      <c r="S128" s="40" t="n">
        <v>7E-005</v>
      </c>
      <c r="T128" s="39" t="n">
        <v>0.96038</v>
      </c>
      <c r="U128" s="40" t="n">
        <v>6E-005</v>
      </c>
      <c r="V128" s="39" t="n">
        <v>0.92574</v>
      </c>
      <c r="W128" s="40" t="n">
        <v>7E-005</v>
      </c>
      <c r="X128" s="39" t="n">
        <v>0.94423</v>
      </c>
      <c r="Y128" s="40" t="n">
        <v>6E-005</v>
      </c>
    </row>
    <row r="129" customFormat="false" ht="15" hidden="false" customHeight="false" outlineLevel="0" collapsed="false">
      <c r="A129" s="38" t="n">
        <v>184</v>
      </c>
      <c r="B129" s="39" t="n">
        <v>0.96815</v>
      </c>
      <c r="C129" s="40" t="n">
        <v>3E-005</v>
      </c>
      <c r="D129" s="39" t="n">
        <v>1.07466</v>
      </c>
      <c r="E129" s="40" t="n">
        <v>-1E-005</v>
      </c>
      <c r="F129" s="39" t="n">
        <v>0.98064</v>
      </c>
      <c r="G129" s="40" t="n">
        <v>2E-005</v>
      </c>
      <c r="H129" s="39" t="n">
        <v>0.99654</v>
      </c>
      <c r="I129" s="40" t="n">
        <v>1E-005</v>
      </c>
      <c r="J129" s="39" t="n">
        <v>0.97559</v>
      </c>
      <c r="K129" s="40" t="n">
        <v>2E-005</v>
      </c>
      <c r="L129" s="39" t="n">
        <v>0.99248</v>
      </c>
      <c r="M129" s="40" t="n">
        <v>1E-005</v>
      </c>
      <c r="N129" s="39" t="n">
        <v>0.93797</v>
      </c>
      <c r="O129" s="40" t="n">
        <v>9E-005</v>
      </c>
      <c r="P129" s="39" t="n">
        <v>0.97699</v>
      </c>
      <c r="Q129" s="40" t="n">
        <v>4E-005</v>
      </c>
      <c r="R129" s="39" t="n">
        <v>0.93726</v>
      </c>
      <c r="S129" s="40" t="n">
        <v>8E-005</v>
      </c>
      <c r="T129" s="39" t="n">
        <v>0.95971</v>
      </c>
      <c r="U129" s="40" t="n">
        <v>6E-005</v>
      </c>
      <c r="V129" s="39" t="n">
        <v>0.92496</v>
      </c>
      <c r="W129" s="40" t="n">
        <v>7E-005</v>
      </c>
      <c r="X129" s="39" t="n">
        <v>0.94373</v>
      </c>
      <c r="Y129" s="40" t="n">
        <v>6E-005</v>
      </c>
    </row>
    <row r="130" customFormat="false" ht="15" hidden="false" customHeight="false" outlineLevel="0" collapsed="false">
      <c r="A130" s="38" t="n">
        <v>185</v>
      </c>
      <c r="B130" s="39" t="n">
        <v>0.96761</v>
      </c>
      <c r="C130" s="40" t="n">
        <v>3E-005</v>
      </c>
      <c r="D130" s="39" t="n">
        <v>1.0763</v>
      </c>
      <c r="E130" s="40" t="n">
        <v>-2E-005</v>
      </c>
      <c r="F130" s="39" t="n">
        <v>0.98083</v>
      </c>
      <c r="G130" s="40" t="n">
        <v>2E-005</v>
      </c>
      <c r="H130" s="39" t="n">
        <v>0.99646</v>
      </c>
      <c r="I130" s="40" t="n">
        <v>2E-005</v>
      </c>
      <c r="J130" s="39" t="n">
        <v>0.97541</v>
      </c>
      <c r="K130" s="40" t="n">
        <v>2E-005</v>
      </c>
      <c r="L130" s="39" t="n">
        <v>0.99236</v>
      </c>
      <c r="M130" s="40" t="n">
        <v>1E-005</v>
      </c>
      <c r="N130" s="39" t="n">
        <v>0.93701</v>
      </c>
      <c r="O130" s="40" t="n">
        <v>9E-005</v>
      </c>
      <c r="P130" s="39" t="n">
        <v>0.97643</v>
      </c>
      <c r="Q130" s="40" t="n">
        <v>4E-005</v>
      </c>
      <c r="R130" s="39" t="n">
        <v>0.93626</v>
      </c>
      <c r="S130" s="40" t="n">
        <v>7E-005</v>
      </c>
      <c r="T130" s="39" t="n">
        <v>0.95913</v>
      </c>
      <c r="U130" s="40" t="n">
        <v>6E-005</v>
      </c>
      <c r="V130" s="39" t="n">
        <v>0.92407</v>
      </c>
      <c r="W130" s="40" t="n">
        <v>7E-005</v>
      </c>
      <c r="X130" s="39" t="n">
        <v>0.94308</v>
      </c>
      <c r="Y130" s="40" t="n">
        <v>6E-005</v>
      </c>
    </row>
    <row r="131" customFormat="false" ht="15" hidden="false" customHeight="false" outlineLevel="0" collapsed="false">
      <c r="A131" s="38" t="n">
        <v>186</v>
      </c>
      <c r="B131" s="39" t="n">
        <v>0.96713</v>
      </c>
      <c r="C131" s="40" t="n">
        <v>2E-005</v>
      </c>
      <c r="D131" s="39" t="n">
        <v>1.07678</v>
      </c>
      <c r="E131" s="40" t="n">
        <v>0</v>
      </c>
      <c r="F131" s="39" t="n">
        <v>0.98043</v>
      </c>
      <c r="G131" s="40" t="n">
        <v>2E-005</v>
      </c>
      <c r="H131" s="39" t="n">
        <v>0.99668</v>
      </c>
      <c r="I131" s="40" t="n">
        <v>2E-005</v>
      </c>
      <c r="J131" s="39" t="n">
        <v>0.97531</v>
      </c>
      <c r="K131" s="40" t="n">
        <v>2E-005</v>
      </c>
      <c r="L131" s="39" t="n">
        <v>0.99236</v>
      </c>
      <c r="M131" s="40" t="n">
        <v>1E-005</v>
      </c>
      <c r="N131" s="39" t="n">
        <v>0.93621</v>
      </c>
      <c r="O131" s="40" t="n">
        <v>8E-005</v>
      </c>
      <c r="P131" s="39" t="n">
        <v>0.97601</v>
      </c>
      <c r="Q131" s="40" t="n">
        <v>4E-005</v>
      </c>
      <c r="R131" s="39" t="n">
        <v>0.93544</v>
      </c>
      <c r="S131" s="40" t="n">
        <v>8E-005</v>
      </c>
      <c r="T131" s="39" t="n">
        <v>0.95827</v>
      </c>
      <c r="U131" s="40" t="n">
        <v>5E-005</v>
      </c>
      <c r="V131" s="39" t="n">
        <v>0.92318</v>
      </c>
      <c r="W131" s="40" t="n">
        <v>7E-005</v>
      </c>
      <c r="X131" s="39" t="n">
        <v>0.94212</v>
      </c>
      <c r="Y131" s="40" t="n">
        <v>6E-005</v>
      </c>
    </row>
    <row r="132" customFormat="false" ht="15" hidden="false" customHeight="false" outlineLevel="0" collapsed="false">
      <c r="A132" s="38" t="n">
        <v>187</v>
      </c>
      <c r="B132" s="39" t="n">
        <v>0.96666</v>
      </c>
      <c r="C132" s="40" t="n">
        <v>2E-005</v>
      </c>
      <c r="D132" s="39" t="n">
        <v>1.07547</v>
      </c>
      <c r="E132" s="40" t="n">
        <v>2E-005</v>
      </c>
      <c r="F132" s="39" t="n">
        <v>0.97984</v>
      </c>
      <c r="G132" s="40" t="n">
        <v>2E-005</v>
      </c>
      <c r="H132" s="39" t="n">
        <v>0.99643</v>
      </c>
      <c r="I132" s="40" t="n">
        <v>1E-005</v>
      </c>
      <c r="J132" s="39" t="n">
        <v>0.97504</v>
      </c>
      <c r="K132" s="40" t="n">
        <v>2E-005</v>
      </c>
      <c r="L132" s="39" t="n">
        <v>0.99226</v>
      </c>
      <c r="M132" s="40" t="n">
        <v>1E-005</v>
      </c>
      <c r="N132" s="39" t="n">
        <v>0.93497</v>
      </c>
      <c r="O132" s="40" t="n">
        <v>8E-005</v>
      </c>
      <c r="P132" s="39" t="n">
        <v>0.97545</v>
      </c>
      <c r="Q132" s="40" t="n">
        <v>4E-005</v>
      </c>
      <c r="R132" s="39" t="n">
        <v>0.93431</v>
      </c>
      <c r="S132" s="40" t="n">
        <v>8E-005</v>
      </c>
      <c r="T132" s="39" t="n">
        <v>0.95772</v>
      </c>
      <c r="U132" s="40" t="n">
        <v>6E-005</v>
      </c>
      <c r="V132" s="39" t="n">
        <v>0.92231</v>
      </c>
      <c r="W132" s="40" t="n">
        <v>8E-005</v>
      </c>
      <c r="X132" s="39" t="n">
        <v>0.94122</v>
      </c>
      <c r="Y132" s="40" t="n">
        <v>7E-005</v>
      </c>
    </row>
    <row r="133" customFormat="false" ht="15" hidden="false" customHeight="false" outlineLevel="0" collapsed="false">
      <c r="A133" s="38" t="n">
        <v>188</v>
      </c>
      <c r="B133" s="39" t="n">
        <v>0.96678</v>
      </c>
      <c r="C133" s="40" t="n">
        <v>2E-005</v>
      </c>
      <c r="D133" s="39" t="n">
        <v>1.07556</v>
      </c>
      <c r="E133" s="40" t="n">
        <v>1E-005</v>
      </c>
      <c r="F133" s="39" t="n">
        <v>0.97934</v>
      </c>
      <c r="G133" s="40" t="n">
        <v>2E-005</v>
      </c>
      <c r="H133" s="39" t="n">
        <v>0.99596</v>
      </c>
      <c r="I133" s="40" t="n">
        <v>1E-005</v>
      </c>
      <c r="J133" s="39" t="n">
        <v>0.97468</v>
      </c>
      <c r="K133" s="40" t="n">
        <v>2E-005</v>
      </c>
      <c r="L133" s="39" t="n">
        <v>0.99201</v>
      </c>
      <c r="M133" s="40" t="n">
        <v>2E-005</v>
      </c>
      <c r="N133" s="39" t="n">
        <v>0.93408</v>
      </c>
      <c r="O133" s="40" t="n">
        <v>8E-005</v>
      </c>
      <c r="P133" s="39" t="n">
        <v>0.97506</v>
      </c>
      <c r="Q133" s="40" t="n">
        <v>4E-005</v>
      </c>
      <c r="R133" s="39" t="n">
        <v>0.93341</v>
      </c>
      <c r="S133" s="40" t="n">
        <v>8E-005</v>
      </c>
      <c r="T133" s="39" t="n">
        <v>0.95718</v>
      </c>
      <c r="U133" s="40" t="n">
        <v>6E-005</v>
      </c>
      <c r="V133" s="39" t="n">
        <v>0.92134</v>
      </c>
      <c r="W133" s="40" t="n">
        <v>8E-005</v>
      </c>
      <c r="X133" s="39" t="n">
        <v>0.9405</v>
      </c>
      <c r="Y133" s="40" t="n">
        <v>7E-005</v>
      </c>
    </row>
    <row r="134" customFormat="false" ht="15" hidden="false" customHeight="false" outlineLevel="0" collapsed="false">
      <c r="A134" s="38" t="n">
        <v>189</v>
      </c>
      <c r="B134" s="39" t="n">
        <v>0.96676</v>
      </c>
      <c r="C134" s="40" t="n">
        <v>2E-005</v>
      </c>
      <c r="D134" s="39" t="n">
        <v>1.07641</v>
      </c>
      <c r="E134" s="40" t="n">
        <v>3E-005</v>
      </c>
      <c r="F134" s="39" t="n">
        <v>0.97903</v>
      </c>
      <c r="G134" s="40" t="n">
        <v>3E-005</v>
      </c>
      <c r="H134" s="39" t="n">
        <v>0.99567</v>
      </c>
      <c r="I134" s="40" t="n">
        <v>2E-005</v>
      </c>
      <c r="J134" s="39" t="n">
        <v>0.97425</v>
      </c>
      <c r="K134" s="40" t="n">
        <v>2E-005</v>
      </c>
      <c r="L134" s="39" t="n">
        <v>0.99178</v>
      </c>
      <c r="M134" s="40" t="n">
        <v>2E-005</v>
      </c>
      <c r="N134" s="39" t="n">
        <v>0.93308</v>
      </c>
      <c r="O134" s="40" t="n">
        <v>8E-005</v>
      </c>
      <c r="P134" s="39" t="n">
        <v>0.97436</v>
      </c>
      <c r="Q134" s="40" t="n">
        <v>4E-005</v>
      </c>
      <c r="R134" s="39" t="n">
        <v>0.93273</v>
      </c>
      <c r="S134" s="40" t="n">
        <v>8E-005</v>
      </c>
      <c r="T134" s="39" t="n">
        <v>0.95634</v>
      </c>
      <c r="U134" s="40" t="n">
        <v>6E-005</v>
      </c>
      <c r="V134" s="39" t="n">
        <v>0.92037</v>
      </c>
      <c r="W134" s="40" t="n">
        <v>7E-005</v>
      </c>
      <c r="X134" s="39" t="n">
        <v>0.93967</v>
      </c>
      <c r="Y134" s="40" t="n">
        <v>7E-005</v>
      </c>
    </row>
    <row r="135" customFormat="false" ht="15" hidden="false" customHeight="false" outlineLevel="0" collapsed="false">
      <c r="A135" s="38" t="n">
        <v>190</v>
      </c>
      <c r="B135" s="39" t="n">
        <v>0.9664</v>
      </c>
      <c r="C135" s="40" t="n">
        <v>2E-005</v>
      </c>
      <c r="D135" s="39" t="n">
        <v>1.07473</v>
      </c>
      <c r="E135" s="40" t="n">
        <v>7E-005</v>
      </c>
      <c r="F135" s="39" t="n">
        <v>0.97902</v>
      </c>
      <c r="G135" s="40" t="n">
        <v>2E-005</v>
      </c>
      <c r="H135" s="39" t="n">
        <v>0.99567</v>
      </c>
      <c r="I135" s="40" t="n">
        <v>2E-005</v>
      </c>
      <c r="J135" s="39" t="n">
        <v>0.9742</v>
      </c>
      <c r="K135" s="40" t="n">
        <v>2E-005</v>
      </c>
      <c r="L135" s="39" t="n">
        <v>0.99153</v>
      </c>
      <c r="M135" s="40" t="n">
        <v>2E-005</v>
      </c>
      <c r="N135" s="39" t="n">
        <v>0.93222</v>
      </c>
      <c r="O135" s="40" t="n">
        <v>8E-005</v>
      </c>
      <c r="P135" s="39" t="n">
        <v>0.97406</v>
      </c>
      <c r="Q135" s="40" t="n">
        <v>4E-005</v>
      </c>
      <c r="R135" s="39" t="n">
        <v>0.93172</v>
      </c>
      <c r="S135" s="40" t="n">
        <v>8E-005</v>
      </c>
      <c r="T135" s="39" t="n">
        <v>0.95564</v>
      </c>
      <c r="U135" s="40" t="n">
        <v>6E-005</v>
      </c>
      <c r="V135" s="39" t="n">
        <v>0.91942</v>
      </c>
      <c r="W135" s="40" t="n">
        <v>7E-005</v>
      </c>
      <c r="X135" s="39" t="n">
        <v>0.93881</v>
      </c>
      <c r="Y135" s="40" t="n">
        <v>7E-005</v>
      </c>
    </row>
    <row r="136" customFormat="false" ht="15" hidden="false" customHeight="false" outlineLevel="0" collapsed="false">
      <c r="A136" s="38" t="n">
        <v>191</v>
      </c>
      <c r="B136" s="39" t="n">
        <v>0.96602</v>
      </c>
      <c r="C136" s="40" t="n">
        <v>2E-005</v>
      </c>
      <c r="D136" s="39" t="n">
        <v>1.07441</v>
      </c>
      <c r="E136" s="40" t="n">
        <v>7E-005</v>
      </c>
      <c r="F136" s="39" t="n">
        <v>0.97913</v>
      </c>
      <c r="G136" s="40" t="n">
        <v>2E-005</v>
      </c>
      <c r="H136" s="39" t="n">
        <v>0.99553</v>
      </c>
      <c r="I136" s="40" t="n">
        <v>1E-005</v>
      </c>
      <c r="J136" s="39" t="n">
        <v>0.974</v>
      </c>
      <c r="K136" s="40" t="n">
        <v>2E-005</v>
      </c>
      <c r="L136" s="39" t="n">
        <v>0.99137</v>
      </c>
      <c r="M136" s="40" t="n">
        <v>2E-005</v>
      </c>
      <c r="N136" s="39" t="n">
        <v>0.9313</v>
      </c>
      <c r="O136" s="40" t="n">
        <v>8E-005</v>
      </c>
      <c r="P136" s="39" t="n">
        <v>0.97362</v>
      </c>
      <c r="Q136" s="40" t="n">
        <v>4E-005</v>
      </c>
      <c r="R136" s="39" t="n">
        <v>0.93078</v>
      </c>
      <c r="S136" s="40" t="n">
        <v>8E-005</v>
      </c>
      <c r="T136" s="39" t="n">
        <v>0.95486</v>
      </c>
      <c r="U136" s="40" t="n">
        <v>6E-005</v>
      </c>
      <c r="V136" s="39" t="n">
        <v>0.91861</v>
      </c>
      <c r="W136" s="40" t="n">
        <v>7E-005</v>
      </c>
      <c r="X136" s="39" t="n">
        <v>0.93803</v>
      </c>
      <c r="Y136" s="40" t="n">
        <v>6E-005</v>
      </c>
    </row>
    <row r="137" customFormat="false" ht="15" hidden="false" customHeight="false" outlineLevel="0" collapsed="false">
      <c r="A137" s="38" t="n">
        <v>192</v>
      </c>
      <c r="B137" s="39" t="n">
        <v>0.96541</v>
      </c>
      <c r="C137" s="40" t="n">
        <v>3E-005</v>
      </c>
      <c r="D137" s="39" t="n">
        <v>1.07396</v>
      </c>
      <c r="E137" s="40" t="n">
        <v>7E-005</v>
      </c>
      <c r="F137" s="39" t="n">
        <v>0.97863</v>
      </c>
      <c r="G137" s="40" t="n">
        <v>3E-005</v>
      </c>
      <c r="H137" s="39" t="n">
        <v>0.99552</v>
      </c>
      <c r="I137" s="40" t="n">
        <v>1E-005</v>
      </c>
      <c r="J137" s="39" t="n">
        <v>0.97376</v>
      </c>
      <c r="K137" s="40" t="n">
        <v>2E-005</v>
      </c>
      <c r="L137" s="39" t="n">
        <v>0.99093</v>
      </c>
      <c r="M137" s="40" t="n">
        <v>2E-005</v>
      </c>
      <c r="N137" s="39" t="n">
        <v>0.93034</v>
      </c>
      <c r="O137" s="40" t="n">
        <v>8E-005</v>
      </c>
      <c r="P137" s="39" t="n">
        <v>0.97312</v>
      </c>
      <c r="Q137" s="40" t="n">
        <v>4E-005</v>
      </c>
      <c r="R137" s="39" t="n">
        <v>0.92992</v>
      </c>
      <c r="S137" s="40" t="n">
        <v>9E-005</v>
      </c>
      <c r="T137" s="39" t="n">
        <v>0.95408</v>
      </c>
      <c r="U137" s="40" t="n">
        <v>6E-005</v>
      </c>
      <c r="V137" s="39" t="n">
        <v>0.91778</v>
      </c>
      <c r="W137" s="40" t="n">
        <v>7E-005</v>
      </c>
      <c r="X137" s="39" t="n">
        <v>0.93728</v>
      </c>
      <c r="Y137" s="40" t="n">
        <v>7E-005</v>
      </c>
    </row>
    <row r="138" customFormat="false" ht="15" hidden="false" customHeight="false" outlineLevel="0" collapsed="false">
      <c r="A138" s="38" t="n">
        <v>193</v>
      </c>
      <c r="B138" s="39" t="n">
        <v>0.96501</v>
      </c>
      <c r="C138" s="40" t="n">
        <v>3E-005</v>
      </c>
      <c r="D138" s="39" t="n">
        <v>1.07315</v>
      </c>
      <c r="E138" s="40" t="n">
        <v>5E-005</v>
      </c>
      <c r="F138" s="39" t="n">
        <v>0.97811</v>
      </c>
      <c r="G138" s="40" t="n">
        <v>3E-005</v>
      </c>
      <c r="H138" s="39" t="n">
        <v>0.99535</v>
      </c>
      <c r="I138" s="40" t="n">
        <v>0</v>
      </c>
      <c r="J138" s="39" t="n">
        <v>0.97336</v>
      </c>
      <c r="K138" s="40" t="n">
        <v>2E-005</v>
      </c>
      <c r="L138" s="39" t="n">
        <v>0.99064</v>
      </c>
      <c r="M138" s="40" t="n">
        <v>1E-005</v>
      </c>
      <c r="N138" s="39" t="n">
        <v>0.92959</v>
      </c>
      <c r="O138" s="40" t="n">
        <v>8E-005</v>
      </c>
      <c r="P138" s="39" t="n">
        <v>0.97268</v>
      </c>
      <c r="Q138" s="40" t="n">
        <v>4E-005</v>
      </c>
      <c r="R138" s="39" t="n">
        <v>0.92877</v>
      </c>
      <c r="S138" s="40" t="n">
        <v>9E-005</v>
      </c>
      <c r="T138" s="39" t="n">
        <v>0.95343</v>
      </c>
      <c r="U138" s="40" t="n">
        <v>6E-005</v>
      </c>
      <c r="V138" s="39" t="n">
        <v>0.91704</v>
      </c>
      <c r="W138" s="40" t="n">
        <v>8E-005</v>
      </c>
      <c r="X138" s="39" t="n">
        <v>0.9365</v>
      </c>
      <c r="Y138" s="40" t="n">
        <v>7E-005</v>
      </c>
    </row>
    <row r="139" customFormat="false" ht="15" hidden="false" customHeight="false" outlineLevel="0" collapsed="false">
      <c r="A139" s="38" t="n">
        <v>194</v>
      </c>
      <c r="B139" s="39" t="n">
        <v>0.9648</v>
      </c>
      <c r="C139" s="40" t="n">
        <v>3E-005</v>
      </c>
      <c r="D139" s="39" t="n">
        <v>1.07132</v>
      </c>
      <c r="E139" s="40" t="n">
        <v>1E-005</v>
      </c>
      <c r="F139" s="39" t="n">
        <v>0.97771</v>
      </c>
      <c r="G139" s="40" t="n">
        <v>3E-005</v>
      </c>
      <c r="H139" s="39" t="n">
        <v>0.9952</v>
      </c>
      <c r="I139" s="40" t="n">
        <v>1E-005</v>
      </c>
      <c r="J139" s="39" t="n">
        <v>0.97298</v>
      </c>
      <c r="K139" s="40" t="n">
        <v>3E-005</v>
      </c>
      <c r="L139" s="39" t="n">
        <v>0.9908</v>
      </c>
      <c r="M139" s="40" t="n">
        <v>1E-005</v>
      </c>
      <c r="N139" s="39" t="n">
        <v>0.92839</v>
      </c>
      <c r="O139" s="40" t="n">
        <v>8E-005</v>
      </c>
      <c r="P139" s="39" t="n">
        <v>0.97214</v>
      </c>
      <c r="Q139" s="40" t="n">
        <v>4E-005</v>
      </c>
      <c r="R139" s="39" t="n">
        <v>0.92768</v>
      </c>
      <c r="S139" s="40" t="n">
        <v>9E-005</v>
      </c>
      <c r="T139" s="39" t="n">
        <v>0.95266</v>
      </c>
      <c r="U139" s="40" t="n">
        <v>6E-005</v>
      </c>
      <c r="V139" s="39" t="n">
        <v>0.91597</v>
      </c>
      <c r="W139" s="40" t="n">
        <v>8E-005</v>
      </c>
      <c r="X139" s="39" t="n">
        <v>0.93581</v>
      </c>
      <c r="Y139" s="40" t="n">
        <v>6E-005</v>
      </c>
    </row>
    <row r="140" customFormat="false" ht="15" hidden="false" customHeight="false" outlineLevel="0" collapsed="false">
      <c r="A140" s="38" t="n">
        <v>195</v>
      </c>
      <c r="B140" s="39" t="n">
        <v>0.96465</v>
      </c>
      <c r="C140" s="40" t="n">
        <v>3E-005</v>
      </c>
      <c r="D140" s="39" t="n">
        <v>1.07073</v>
      </c>
      <c r="E140" s="40" t="n">
        <v>1E-005</v>
      </c>
      <c r="F140" s="39" t="n">
        <v>0.97716</v>
      </c>
      <c r="G140" s="40" t="n">
        <v>3E-005</v>
      </c>
      <c r="H140" s="39" t="n">
        <v>0.99508</v>
      </c>
      <c r="I140" s="40" t="n">
        <v>2E-005</v>
      </c>
      <c r="J140" s="39" t="n">
        <v>0.97272</v>
      </c>
      <c r="K140" s="40" t="n">
        <v>3E-005</v>
      </c>
      <c r="L140" s="39" t="n">
        <v>0.99056</v>
      </c>
      <c r="M140" s="40" t="n">
        <v>2E-005</v>
      </c>
      <c r="N140" s="39" t="n">
        <v>0.92748</v>
      </c>
      <c r="O140" s="40" t="n">
        <v>9E-005</v>
      </c>
      <c r="P140" s="39" t="n">
        <v>0.97163</v>
      </c>
      <c r="Q140" s="40" t="n">
        <v>5E-005</v>
      </c>
      <c r="R140" s="39" t="n">
        <v>0.92659</v>
      </c>
      <c r="S140" s="40" t="n">
        <v>9E-005</v>
      </c>
      <c r="T140" s="39" t="n">
        <v>0.95184</v>
      </c>
      <c r="U140" s="40" t="n">
        <v>7E-005</v>
      </c>
      <c r="V140" s="39" t="n">
        <v>0.91487</v>
      </c>
      <c r="W140" s="40" t="n">
        <v>8E-005</v>
      </c>
      <c r="X140" s="39" t="n">
        <v>0.93499</v>
      </c>
      <c r="Y140" s="40" t="n">
        <v>6E-005</v>
      </c>
    </row>
    <row r="141" customFormat="false" ht="15" hidden="false" customHeight="false" outlineLevel="0" collapsed="false">
      <c r="A141" s="38" t="n">
        <v>196</v>
      </c>
      <c r="B141" s="39" t="n">
        <v>0.96426</v>
      </c>
      <c r="C141" s="40" t="n">
        <v>3E-005</v>
      </c>
      <c r="D141" s="39" t="n">
        <v>1.07242</v>
      </c>
      <c r="E141" s="40" t="n">
        <v>2E-005</v>
      </c>
      <c r="F141" s="39" t="n">
        <v>0.97662</v>
      </c>
      <c r="G141" s="40" t="n">
        <v>2E-005</v>
      </c>
      <c r="H141" s="39" t="n">
        <v>0.99497</v>
      </c>
      <c r="I141" s="40" t="n">
        <v>4E-005</v>
      </c>
      <c r="J141" s="39" t="n">
        <v>0.97242</v>
      </c>
      <c r="K141" s="40" t="n">
        <v>3E-005</v>
      </c>
      <c r="L141" s="39" t="n">
        <v>0.99023</v>
      </c>
      <c r="M141" s="40" t="n">
        <v>2E-005</v>
      </c>
      <c r="N141" s="39" t="n">
        <v>0.92642</v>
      </c>
      <c r="O141" s="40" t="n">
        <v>9E-005</v>
      </c>
      <c r="P141" s="39" t="n">
        <v>0.9711</v>
      </c>
      <c r="Q141" s="40" t="n">
        <v>5E-005</v>
      </c>
      <c r="R141" s="39" t="n">
        <v>0.92529</v>
      </c>
      <c r="S141" s="40" t="n">
        <v>9E-005</v>
      </c>
      <c r="T141" s="39" t="n">
        <v>0.95113</v>
      </c>
      <c r="U141" s="40" t="n">
        <v>7E-005</v>
      </c>
      <c r="V141" s="39" t="n">
        <v>0.91401</v>
      </c>
      <c r="W141" s="40" t="n">
        <v>8E-005</v>
      </c>
      <c r="X141" s="39" t="n">
        <v>0.93419</v>
      </c>
      <c r="Y141" s="40" t="n">
        <v>6E-005</v>
      </c>
    </row>
    <row r="142" customFormat="false" ht="15" hidden="false" customHeight="false" outlineLevel="0" collapsed="false">
      <c r="A142" s="38" t="n">
        <v>197</v>
      </c>
      <c r="B142" s="39" t="n">
        <v>0.96376</v>
      </c>
      <c r="C142" s="40" t="n">
        <v>3E-005</v>
      </c>
      <c r="D142" s="39" t="n">
        <v>1.07354</v>
      </c>
      <c r="E142" s="40" t="n">
        <v>-1E-005</v>
      </c>
      <c r="F142" s="39" t="n">
        <v>0.97704</v>
      </c>
      <c r="G142" s="40" t="n">
        <v>1E-005</v>
      </c>
      <c r="H142" s="39" t="n">
        <v>0.99481</v>
      </c>
      <c r="I142" s="40" t="n">
        <v>5E-005</v>
      </c>
      <c r="J142" s="39" t="n">
        <v>0.97199</v>
      </c>
      <c r="K142" s="40" t="n">
        <v>3E-005</v>
      </c>
      <c r="L142" s="39" t="n">
        <v>0.99017</v>
      </c>
      <c r="M142" s="40" t="n">
        <v>2E-005</v>
      </c>
      <c r="N142" s="39" t="n">
        <v>0.92527</v>
      </c>
      <c r="O142" s="40" t="n">
        <v>9E-005</v>
      </c>
      <c r="P142" s="39" t="n">
        <v>0.97042</v>
      </c>
      <c r="Q142" s="40" t="n">
        <v>6E-005</v>
      </c>
      <c r="R142" s="39" t="n">
        <v>0.92445</v>
      </c>
      <c r="S142" s="40" t="n">
        <v>9E-005</v>
      </c>
      <c r="T142" s="39" t="n">
        <v>0.95027</v>
      </c>
      <c r="U142" s="40" t="n">
        <v>7E-005</v>
      </c>
      <c r="V142" s="39" t="n">
        <v>0.91299</v>
      </c>
      <c r="W142" s="40" t="n">
        <v>8E-005</v>
      </c>
      <c r="X142" s="39" t="n">
        <v>0.93335</v>
      </c>
      <c r="Y142" s="40" t="n">
        <v>6E-005</v>
      </c>
    </row>
    <row r="143" customFormat="false" ht="15" hidden="false" customHeight="false" outlineLevel="0" collapsed="false">
      <c r="A143" s="38" t="n">
        <v>198</v>
      </c>
      <c r="B143" s="39" t="n">
        <v>0.96337</v>
      </c>
      <c r="C143" s="40" t="n">
        <v>3E-005</v>
      </c>
      <c r="D143" s="39" t="n">
        <v>1.07294</v>
      </c>
      <c r="E143" s="40" t="n">
        <v>-4E-005</v>
      </c>
      <c r="F143" s="39" t="n">
        <v>0.97683</v>
      </c>
      <c r="G143" s="40" t="n">
        <v>1E-005</v>
      </c>
      <c r="H143" s="39" t="n">
        <v>0.994</v>
      </c>
      <c r="I143" s="40" t="n">
        <v>5E-005</v>
      </c>
      <c r="J143" s="39" t="n">
        <v>0.97162</v>
      </c>
      <c r="K143" s="40" t="n">
        <v>2E-005</v>
      </c>
      <c r="L143" s="39" t="n">
        <v>0.98975</v>
      </c>
      <c r="M143" s="40" t="n">
        <v>3E-005</v>
      </c>
      <c r="N143" s="39" t="n">
        <v>0.92428</v>
      </c>
      <c r="O143" s="40" t="n">
        <v>9E-005</v>
      </c>
      <c r="P143" s="39" t="n">
        <v>0.96958</v>
      </c>
      <c r="Q143" s="40" t="n">
        <v>6E-005</v>
      </c>
      <c r="R143" s="39" t="n">
        <v>0.92348</v>
      </c>
      <c r="S143" s="40" t="n">
        <v>9E-005</v>
      </c>
      <c r="T143" s="39" t="n">
        <v>0.9493</v>
      </c>
      <c r="U143" s="40" t="n">
        <v>7E-005</v>
      </c>
      <c r="V143" s="39" t="n">
        <v>0.9123</v>
      </c>
      <c r="W143" s="40" t="n">
        <v>7E-005</v>
      </c>
      <c r="X143" s="39" t="n">
        <v>0.93292</v>
      </c>
      <c r="Y143" s="40" t="n">
        <v>6E-005</v>
      </c>
    </row>
    <row r="144" customFormat="false" ht="15" hidden="false" customHeight="false" outlineLevel="0" collapsed="false">
      <c r="A144" s="38" t="n">
        <v>199</v>
      </c>
      <c r="B144" s="39" t="n">
        <v>0.96259</v>
      </c>
      <c r="C144" s="40" t="n">
        <v>4E-005</v>
      </c>
      <c r="D144" s="39" t="n">
        <v>1.07129</v>
      </c>
      <c r="E144" s="40" t="n">
        <v>-1E-005</v>
      </c>
      <c r="F144" s="39" t="n">
        <v>0.97626</v>
      </c>
      <c r="G144" s="40" t="n">
        <v>1E-005</v>
      </c>
      <c r="H144" s="39" t="n">
        <v>0.99272</v>
      </c>
      <c r="I144" s="40" t="n">
        <v>5E-005</v>
      </c>
      <c r="J144" s="39" t="n">
        <v>0.97145</v>
      </c>
      <c r="K144" s="40" t="n">
        <v>3E-005</v>
      </c>
      <c r="L144" s="39" t="n">
        <v>0.98921</v>
      </c>
      <c r="M144" s="40" t="n">
        <v>3E-005</v>
      </c>
      <c r="N144" s="39" t="n">
        <v>0.9231</v>
      </c>
      <c r="O144" s="40" t="n">
        <v>0.0001</v>
      </c>
      <c r="P144" s="39" t="n">
        <v>0.96874</v>
      </c>
      <c r="Q144" s="40" t="n">
        <v>5E-005</v>
      </c>
      <c r="R144" s="39" t="n">
        <v>0.92242</v>
      </c>
      <c r="S144" s="40" t="n">
        <v>9E-005</v>
      </c>
      <c r="T144" s="39" t="n">
        <v>0.94859</v>
      </c>
      <c r="U144" s="40" t="n">
        <v>7E-005</v>
      </c>
      <c r="V144" s="39" t="n">
        <v>0.91136</v>
      </c>
      <c r="W144" s="40" t="n">
        <v>7E-005</v>
      </c>
      <c r="X144" s="39" t="n">
        <v>0.93216</v>
      </c>
      <c r="Y144" s="40" t="n">
        <v>6E-005</v>
      </c>
    </row>
    <row r="145" customFormat="false" ht="15" hidden="false" customHeight="false" outlineLevel="0" collapsed="false">
      <c r="A145" s="38" t="n">
        <v>200</v>
      </c>
      <c r="B145" s="39" t="n">
        <v>0.96237</v>
      </c>
      <c r="C145" s="40" t="n">
        <v>4E-005</v>
      </c>
      <c r="D145" s="39" t="n">
        <v>1.07137</v>
      </c>
      <c r="E145" s="40" t="n">
        <v>2E-005</v>
      </c>
      <c r="F145" s="39" t="n">
        <v>0.97628</v>
      </c>
      <c r="G145" s="40" t="n">
        <v>2E-005</v>
      </c>
      <c r="H145" s="39" t="n">
        <v>0.99229</v>
      </c>
      <c r="I145" s="40" t="n">
        <v>5E-005</v>
      </c>
      <c r="J145" s="39" t="n">
        <v>0.97115</v>
      </c>
      <c r="K145" s="40" t="n">
        <v>3E-005</v>
      </c>
      <c r="L145" s="39" t="n">
        <v>0.98916</v>
      </c>
      <c r="M145" s="40" t="n">
        <v>2E-005</v>
      </c>
      <c r="N145" s="39" t="n">
        <v>0.92219</v>
      </c>
      <c r="O145" s="40" t="n">
        <v>0.0001</v>
      </c>
      <c r="P145" s="39" t="n">
        <v>0.96824</v>
      </c>
      <c r="Q145" s="40" t="n">
        <v>5E-005</v>
      </c>
      <c r="R145" s="39" t="n">
        <v>0.92116</v>
      </c>
      <c r="S145" s="40" t="n">
        <v>9E-005</v>
      </c>
      <c r="T145" s="39" t="n">
        <v>0.94788</v>
      </c>
      <c r="U145" s="40" t="n">
        <v>7E-005</v>
      </c>
      <c r="V145" s="39" t="n">
        <v>0.91043</v>
      </c>
      <c r="W145" s="40" t="n">
        <v>7E-005</v>
      </c>
      <c r="X145" s="39" t="n">
        <v>0.93136</v>
      </c>
      <c r="Y145" s="40" t="n">
        <v>6E-005</v>
      </c>
    </row>
    <row r="146" customFormat="false" ht="15" hidden="false" customHeight="false" outlineLevel="0" collapsed="false">
      <c r="A146" s="38" t="n">
        <v>201</v>
      </c>
      <c r="B146" s="39" t="n">
        <v>0.96245</v>
      </c>
      <c r="C146" s="40" t="n">
        <v>2E-005</v>
      </c>
      <c r="D146" s="39" t="n">
        <v>1.07302</v>
      </c>
      <c r="E146" s="40" t="n">
        <v>3E-005</v>
      </c>
      <c r="F146" s="39" t="n">
        <v>0.97626</v>
      </c>
      <c r="G146" s="40" t="n">
        <v>2E-005</v>
      </c>
      <c r="H146" s="39" t="n">
        <v>0.99197</v>
      </c>
      <c r="I146" s="40" t="n">
        <v>4E-005</v>
      </c>
      <c r="J146" s="39" t="n">
        <v>0.97087</v>
      </c>
      <c r="K146" s="40" t="n">
        <v>2E-005</v>
      </c>
      <c r="L146" s="39" t="n">
        <v>0.9889</v>
      </c>
      <c r="M146" s="40" t="n">
        <v>3E-005</v>
      </c>
      <c r="N146" s="39" t="n">
        <v>0.9208</v>
      </c>
      <c r="O146" s="40" t="n">
        <v>0.0001</v>
      </c>
      <c r="P146" s="39" t="n">
        <v>0.96762</v>
      </c>
      <c r="Q146" s="40" t="n">
        <v>5E-005</v>
      </c>
      <c r="R146" s="39" t="n">
        <v>0.92007</v>
      </c>
      <c r="S146" s="40" t="n">
        <v>9E-005</v>
      </c>
      <c r="T146" s="39" t="n">
        <v>0.94708</v>
      </c>
      <c r="U146" s="40" t="n">
        <v>7E-005</v>
      </c>
      <c r="V146" s="39" t="n">
        <v>0.90952</v>
      </c>
      <c r="W146" s="40" t="n">
        <v>8E-005</v>
      </c>
      <c r="X146" s="39" t="n">
        <v>0.93068</v>
      </c>
      <c r="Y146" s="40" t="n">
        <v>6E-005</v>
      </c>
    </row>
    <row r="147" customFormat="false" ht="15" hidden="false" customHeight="false" outlineLevel="0" collapsed="false">
      <c r="A147" s="38" t="n">
        <v>202</v>
      </c>
      <c r="B147" s="39" t="n">
        <v>0.96186</v>
      </c>
      <c r="C147" s="40" t="n">
        <v>2E-005</v>
      </c>
      <c r="D147" s="39" t="n">
        <v>1.07322</v>
      </c>
      <c r="E147" s="40" t="n">
        <v>5E-005</v>
      </c>
      <c r="F147" s="39" t="n">
        <v>0.97593</v>
      </c>
      <c r="G147" s="40" t="n">
        <v>2E-005</v>
      </c>
      <c r="H147" s="39" t="n">
        <v>0.99174</v>
      </c>
      <c r="I147" s="40" t="n">
        <v>3E-005</v>
      </c>
      <c r="J147" s="39" t="n">
        <v>0.97055</v>
      </c>
      <c r="K147" s="40" t="n">
        <v>3E-005</v>
      </c>
      <c r="L147" s="39" t="n">
        <v>0.98841</v>
      </c>
      <c r="M147" s="40" t="n">
        <v>3E-005</v>
      </c>
      <c r="N147" s="39" t="n">
        <v>0.91964</v>
      </c>
      <c r="O147" s="40" t="n">
        <v>0.0001</v>
      </c>
      <c r="P147" s="39" t="n">
        <v>0.96719</v>
      </c>
      <c r="Q147" s="40" t="n">
        <v>5E-005</v>
      </c>
      <c r="R147" s="39" t="n">
        <v>0.91914</v>
      </c>
      <c r="S147" s="40" t="n">
        <v>9E-005</v>
      </c>
      <c r="T147" s="39" t="n">
        <v>0.94601</v>
      </c>
      <c r="U147" s="40" t="n">
        <v>7E-005</v>
      </c>
      <c r="V147" s="39" t="n">
        <v>0.90866</v>
      </c>
      <c r="W147" s="40" t="n">
        <v>8E-005</v>
      </c>
      <c r="X147" s="39" t="n">
        <v>0.92991</v>
      </c>
      <c r="Y147" s="40" t="n">
        <v>7E-005</v>
      </c>
    </row>
    <row r="148" customFormat="false" ht="15" hidden="false" customHeight="false" outlineLevel="0" collapsed="false">
      <c r="A148" s="38" t="n">
        <v>203</v>
      </c>
      <c r="B148" s="39" t="n">
        <v>0.9612</v>
      </c>
      <c r="C148" s="40" t="n">
        <v>2E-005</v>
      </c>
      <c r="D148" s="39" t="n">
        <v>1.07106</v>
      </c>
      <c r="E148" s="40" t="n">
        <v>5E-005</v>
      </c>
      <c r="F148" s="39" t="n">
        <v>0.97538</v>
      </c>
      <c r="G148" s="40" t="n">
        <v>2E-005</v>
      </c>
      <c r="H148" s="39" t="n">
        <v>0.99171</v>
      </c>
      <c r="I148" s="40" t="n">
        <v>3E-005</v>
      </c>
      <c r="J148" s="39" t="n">
        <v>0.97008</v>
      </c>
      <c r="K148" s="40" t="n">
        <v>3E-005</v>
      </c>
      <c r="L148" s="39" t="n">
        <v>0.98814</v>
      </c>
      <c r="M148" s="40" t="n">
        <v>3E-005</v>
      </c>
      <c r="N148" s="39" t="n">
        <v>0.91831</v>
      </c>
      <c r="O148" s="40" t="n">
        <v>0.0001</v>
      </c>
      <c r="P148" s="39" t="n">
        <v>0.96664</v>
      </c>
      <c r="Q148" s="40" t="n">
        <v>5E-005</v>
      </c>
      <c r="R148" s="39" t="n">
        <v>0.91811</v>
      </c>
      <c r="S148" s="40" t="n">
        <v>0.0001</v>
      </c>
      <c r="T148" s="39" t="n">
        <v>0.94517</v>
      </c>
      <c r="U148" s="40" t="n">
        <v>7E-005</v>
      </c>
      <c r="V148" s="39" t="n">
        <v>0.90779</v>
      </c>
      <c r="W148" s="40" t="n">
        <v>8E-005</v>
      </c>
      <c r="X148" s="39" t="n">
        <v>0.92913</v>
      </c>
      <c r="Y148" s="40" t="n">
        <v>7E-005</v>
      </c>
    </row>
    <row r="149" customFormat="false" ht="15" hidden="false" customHeight="false" outlineLevel="0" collapsed="false">
      <c r="A149" s="38" t="n">
        <v>204</v>
      </c>
      <c r="B149" s="39" t="n">
        <v>0.96123</v>
      </c>
      <c r="C149" s="40" t="n">
        <v>3E-005</v>
      </c>
      <c r="D149" s="39" t="n">
        <v>1.07046</v>
      </c>
      <c r="E149" s="40" t="n">
        <v>9E-005</v>
      </c>
      <c r="F149" s="39" t="n">
        <v>0.97524</v>
      </c>
      <c r="G149" s="40" t="n">
        <v>2E-005</v>
      </c>
      <c r="H149" s="39" t="n">
        <v>0.9911</v>
      </c>
      <c r="I149" s="40" t="n">
        <v>4E-005</v>
      </c>
      <c r="J149" s="39" t="n">
        <v>0.96967</v>
      </c>
      <c r="K149" s="40" t="n">
        <v>3E-005</v>
      </c>
      <c r="L149" s="39" t="n">
        <v>0.98792</v>
      </c>
      <c r="M149" s="40" t="n">
        <v>3E-005</v>
      </c>
      <c r="N149" s="39" t="n">
        <v>0.91735</v>
      </c>
      <c r="O149" s="40" t="n">
        <v>9E-005</v>
      </c>
      <c r="P149" s="39" t="n">
        <v>0.96596</v>
      </c>
      <c r="Q149" s="40" t="n">
        <v>5E-005</v>
      </c>
      <c r="R149" s="39" t="n">
        <v>0.91684</v>
      </c>
      <c r="S149" s="40" t="n">
        <v>0.0001</v>
      </c>
      <c r="T149" s="39" t="n">
        <v>0.94458</v>
      </c>
      <c r="U149" s="40" t="n">
        <v>7E-005</v>
      </c>
      <c r="V149" s="39" t="n">
        <v>0.90657</v>
      </c>
      <c r="W149" s="40" t="n">
        <v>8E-005</v>
      </c>
      <c r="X149" s="39" t="n">
        <v>0.9284</v>
      </c>
      <c r="Y149" s="40" t="n">
        <v>6E-005</v>
      </c>
    </row>
    <row r="150" customFormat="false" ht="15" hidden="false" customHeight="false" outlineLevel="0" collapsed="false">
      <c r="A150" s="38" t="n">
        <v>205</v>
      </c>
      <c r="B150" s="39" t="n">
        <v>0.96134</v>
      </c>
      <c r="C150" s="40" t="n">
        <v>3E-005</v>
      </c>
      <c r="D150" s="39" t="n">
        <v>1.06952</v>
      </c>
      <c r="E150" s="40" t="n">
        <v>8E-005</v>
      </c>
      <c r="F150" s="39" t="n">
        <v>0.97522</v>
      </c>
      <c r="G150" s="40" t="n">
        <v>3E-005</v>
      </c>
      <c r="H150" s="39" t="n">
        <v>0.99056</v>
      </c>
      <c r="I150" s="40" t="n">
        <v>3E-005</v>
      </c>
      <c r="J150" s="39" t="n">
        <v>0.96956</v>
      </c>
      <c r="K150" s="40" t="n">
        <v>3E-005</v>
      </c>
      <c r="L150" s="39" t="n">
        <v>0.98744</v>
      </c>
      <c r="M150" s="40" t="n">
        <v>3E-005</v>
      </c>
      <c r="N150" s="39" t="n">
        <v>0.91635</v>
      </c>
      <c r="O150" s="40" t="n">
        <v>9E-005</v>
      </c>
      <c r="P150" s="39" t="n">
        <v>0.96532</v>
      </c>
      <c r="Q150" s="40" t="n">
        <v>6E-005</v>
      </c>
      <c r="R150" s="39" t="n">
        <v>0.91555</v>
      </c>
      <c r="S150" s="40" t="n">
        <v>0.0001</v>
      </c>
      <c r="T150" s="39" t="n">
        <v>0.94387</v>
      </c>
      <c r="U150" s="40" t="n">
        <v>7E-005</v>
      </c>
      <c r="V150" s="39" t="n">
        <v>0.90549</v>
      </c>
      <c r="W150" s="40" t="n">
        <v>8E-005</v>
      </c>
      <c r="X150" s="39" t="n">
        <v>0.92754</v>
      </c>
      <c r="Y150" s="40" t="n">
        <v>6E-005</v>
      </c>
    </row>
    <row r="151" customFormat="false" ht="15" hidden="false" customHeight="false" outlineLevel="0" collapsed="false">
      <c r="A151" s="38" t="n">
        <v>206</v>
      </c>
      <c r="B151" s="39" t="n">
        <v>0.96084</v>
      </c>
      <c r="C151" s="40" t="n">
        <v>3E-005</v>
      </c>
      <c r="D151" s="39" t="n">
        <v>1.06748</v>
      </c>
      <c r="E151" s="40" t="n">
        <v>4E-005</v>
      </c>
      <c r="F151" s="39" t="n">
        <v>0.97475</v>
      </c>
      <c r="G151" s="40" t="n">
        <v>3E-005</v>
      </c>
      <c r="H151" s="39" t="n">
        <v>0.99008</v>
      </c>
      <c r="I151" s="40" t="n">
        <v>3E-005</v>
      </c>
      <c r="J151" s="39" t="n">
        <v>0.96912</v>
      </c>
      <c r="K151" s="40" t="n">
        <v>3E-005</v>
      </c>
      <c r="L151" s="39" t="n">
        <v>0.987</v>
      </c>
      <c r="M151" s="40" t="n">
        <v>3E-005</v>
      </c>
      <c r="N151" s="39" t="n">
        <v>0.91494</v>
      </c>
      <c r="O151" s="40" t="n">
        <v>9E-005</v>
      </c>
      <c r="P151" s="39" t="n">
        <v>0.96464</v>
      </c>
      <c r="Q151" s="40" t="n">
        <v>6E-005</v>
      </c>
      <c r="R151" s="39" t="n">
        <v>0.91421</v>
      </c>
      <c r="S151" s="40" t="n">
        <v>0.00011</v>
      </c>
      <c r="T151" s="39" t="n">
        <v>0.94276</v>
      </c>
      <c r="U151" s="40" t="n">
        <v>6E-005</v>
      </c>
      <c r="V151" s="39" t="n">
        <v>0.90471</v>
      </c>
      <c r="W151" s="40" t="n">
        <v>8E-005</v>
      </c>
      <c r="X151" s="39" t="n">
        <v>0.92683</v>
      </c>
      <c r="Y151" s="40" t="n">
        <v>6E-005</v>
      </c>
    </row>
    <row r="152" customFormat="false" ht="15" hidden="false" customHeight="false" outlineLevel="0" collapsed="false">
      <c r="A152" s="38" t="n">
        <v>207</v>
      </c>
      <c r="B152" s="39" t="n">
        <v>0.96026</v>
      </c>
      <c r="C152" s="40" t="n">
        <v>3E-005</v>
      </c>
      <c r="D152" s="39" t="n">
        <v>1.06763</v>
      </c>
      <c r="E152" s="40" t="n">
        <v>1E-005</v>
      </c>
      <c r="F152" s="39" t="n">
        <v>0.97438</v>
      </c>
      <c r="G152" s="40" t="n">
        <v>3E-005</v>
      </c>
      <c r="H152" s="39" t="n">
        <v>0.9892</v>
      </c>
      <c r="I152" s="40" t="n">
        <v>3E-005</v>
      </c>
      <c r="J152" s="39" t="n">
        <v>0.96853</v>
      </c>
      <c r="K152" s="40" t="n">
        <v>3E-005</v>
      </c>
      <c r="L152" s="39" t="n">
        <v>0.98672</v>
      </c>
      <c r="M152" s="40" t="n">
        <v>3E-005</v>
      </c>
      <c r="N152" s="39" t="n">
        <v>0.91408</v>
      </c>
      <c r="O152" s="40" t="n">
        <v>9E-005</v>
      </c>
      <c r="P152" s="39" t="n">
        <v>0.96377</v>
      </c>
      <c r="Q152" s="40" t="n">
        <v>6E-005</v>
      </c>
      <c r="R152" s="39" t="n">
        <v>0.91282</v>
      </c>
      <c r="S152" s="40" t="n">
        <v>0.00011</v>
      </c>
      <c r="T152" s="39" t="n">
        <v>0.94207</v>
      </c>
      <c r="U152" s="40" t="n">
        <v>7E-005</v>
      </c>
      <c r="V152" s="39" t="n">
        <v>0.90378</v>
      </c>
      <c r="W152" s="40" t="n">
        <v>8E-005</v>
      </c>
      <c r="X152" s="39" t="n">
        <v>0.92608</v>
      </c>
      <c r="Y152" s="40" t="n">
        <v>6E-005</v>
      </c>
    </row>
    <row r="153" customFormat="false" ht="15" hidden="false" customHeight="false" outlineLevel="0" collapsed="false">
      <c r="A153" s="38" t="n">
        <v>208</v>
      </c>
      <c r="B153" s="39" t="n">
        <v>0.95956</v>
      </c>
      <c r="C153" s="40" t="n">
        <v>3E-005</v>
      </c>
      <c r="D153" s="39" t="n">
        <v>1.06768</v>
      </c>
      <c r="E153" s="40" t="n">
        <v>1E-005</v>
      </c>
      <c r="F153" s="39" t="n">
        <v>0.97395</v>
      </c>
      <c r="G153" s="40" t="n">
        <v>3E-005</v>
      </c>
      <c r="H153" s="39" t="n">
        <v>0.98908</v>
      </c>
      <c r="I153" s="40" t="n">
        <v>3E-005</v>
      </c>
      <c r="J153" s="39" t="n">
        <v>0.96841</v>
      </c>
      <c r="K153" s="40" t="n">
        <v>3E-005</v>
      </c>
      <c r="L153" s="39" t="n">
        <v>0.98639</v>
      </c>
      <c r="M153" s="40" t="n">
        <v>3E-005</v>
      </c>
      <c r="N153" s="39" t="n">
        <v>0.91312</v>
      </c>
      <c r="O153" s="40" t="n">
        <v>9E-005</v>
      </c>
      <c r="P153" s="39" t="n">
        <v>0.96301</v>
      </c>
      <c r="Q153" s="40" t="n">
        <v>7E-005</v>
      </c>
      <c r="R153" s="39" t="n">
        <v>0.91165</v>
      </c>
      <c r="S153" s="40" t="n">
        <v>0.00011</v>
      </c>
      <c r="T153" s="39" t="n">
        <v>0.94125</v>
      </c>
      <c r="U153" s="40" t="n">
        <v>7E-005</v>
      </c>
      <c r="V153" s="39" t="n">
        <v>0.90273</v>
      </c>
      <c r="W153" s="40" t="n">
        <v>8E-005</v>
      </c>
      <c r="X153" s="39" t="n">
        <v>0.92557</v>
      </c>
      <c r="Y153" s="40" t="n">
        <v>6E-005</v>
      </c>
    </row>
    <row r="154" customFormat="false" ht="15" hidden="false" customHeight="false" outlineLevel="0" collapsed="false">
      <c r="A154" s="38" t="n">
        <v>209</v>
      </c>
      <c r="B154" s="39" t="n">
        <v>0.95926</v>
      </c>
      <c r="C154" s="40" t="n">
        <v>4E-005</v>
      </c>
      <c r="D154" s="39" t="n">
        <v>1.06882</v>
      </c>
      <c r="E154" s="40" t="n">
        <v>2E-005</v>
      </c>
      <c r="F154" s="39" t="n">
        <v>0.97358</v>
      </c>
      <c r="G154" s="40" t="n">
        <v>3E-005</v>
      </c>
      <c r="H154" s="39" t="n">
        <v>0.98949</v>
      </c>
      <c r="I154" s="40" t="n">
        <v>3E-005</v>
      </c>
      <c r="J154" s="39" t="n">
        <v>0.96812</v>
      </c>
      <c r="K154" s="40" t="n">
        <v>3E-005</v>
      </c>
      <c r="L154" s="39" t="n">
        <v>0.98624</v>
      </c>
      <c r="M154" s="40" t="n">
        <v>2E-005</v>
      </c>
      <c r="N154" s="39" t="n">
        <v>0.91184</v>
      </c>
      <c r="O154" s="40" t="n">
        <v>0.0001</v>
      </c>
      <c r="P154" s="39" t="n">
        <v>0.96229</v>
      </c>
      <c r="Q154" s="40" t="n">
        <v>7E-005</v>
      </c>
      <c r="R154" s="39" t="n">
        <v>0.91044</v>
      </c>
      <c r="S154" s="40" t="n">
        <v>0.0001</v>
      </c>
      <c r="T154" s="39" t="n">
        <v>0.94053</v>
      </c>
      <c r="U154" s="40" t="n">
        <v>7E-005</v>
      </c>
      <c r="V154" s="39" t="n">
        <v>0.90188</v>
      </c>
      <c r="W154" s="40" t="n">
        <v>8E-005</v>
      </c>
      <c r="X154" s="39" t="n">
        <v>0.92482</v>
      </c>
      <c r="Y154" s="40" t="n">
        <v>6E-005</v>
      </c>
    </row>
    <row r="155" customFormat="false" ht="15" hidden="false" customHeight="false" outlineLevel="0" collapsed="false">
      <c r="A155" s="38" t="n">
        <v>210</v>
      </c>
      <c r="B155" s="39" t="n">
        <v>0.95924</v>
      </c>
      <c r="C155" s="40" t="n">
        <v>3E-005</v>
      </c>
      <c r="D155" s="39" t="n">
        <v>1.0694</v>
      </c>
      <c r="E155" s="40" t="n">
        <v>2E-005</v>
      </c>
      <c r="F155" s="39" t="n">
        <v>0.97347</v>
      </c>
      <c r="G155" s="40" t="n">
        <v>2E-005</v>
      </c>
      <c r="H155" s="39" t="n">
        <v>0.98889</v>
      </c>
      <c r="I155" s="40" t="n">
        <v>3E-005</v>
      </c>
      <c r="J155" s="39" t="n">
        <v>0.96765</v>
      </c>
      <c r="K155" s="40" t="n">
        <v>3E-005</v>
      </c>
      <c r="L155" s="39" t="n">
        <v>0.98602</v>
      </c>
      <c r="M155" s="40" t="n">
        <v>2E-005</v>
      </c>
      <c r="N155" s="39" t="n">
        <v>0.91056</v>
      </c>
      <c r="O155" s="40" t="n">
        <v>0.0001</v>
      </c>
      <c r="P155" s="39" t="n">
        <v>0.96148</v>
      </c>
      <c r="Q155" s="40" t="n">
        <v>7E-005</v>
      </c>
      <c r="R155" s="39" t="n">
        <v>0.90924</v>
      </c>
      <c r="S155" s="40" t="n">
        <v>0.00011</v>
      </c>
      <c r="T155" s="39" t="n">
        <v>0.93962</v>
      </c>
      <c r="U155" s="40" t="n">
        <v>7E-005</v>
      </c>
      <c r="V155" s="39" t="n">
        <v>0.90105</v>
      </c>
      <c r="W155" s="40" t="n">
        <v>8E-005</v>
      </c>
      <c r="X155" s="39" t="n">
        <v>0.92401</v>
      </c>
      <c r="Y155" s="40" t="n">
        <v>6E-005</v>
      </c>
    </row>
    <row r="156" customFormat="false" ht="15" hidden="false" customHeight="false" outlineLevel="0" collapsed="false">
      <c r="A156" s="38" t="n">
        <v>211</v>
      </c>
      <c r="B156" s="39" t="n">
        <v>0.95886</v>
      </c>
      <c r="C156" s="40" t="n">
        <v>1E-005</v>
      </c>
      <c r="D156" s="39" t="n">
        <v>1.06694</v>
      </c>
      <c r="E156" s="40" t="n">
        <v>4E-005</v>
      </c>
      <c r="F156" s="39" t="n">
        <v>0.97314</v>
      </c>
      <c r="G156" s="40" t="n">
        <v>2E-005</v>
      </c>
      <c r="H156" s="39" t="n">
        <v>0.98815</v>
      </c>
      <c r="I156" s="40" t="n">
        <v>3E-005</v>
      </c>
      <c r="J156" s="39" t="n">
        <v>0.96723</v>
      </c>
      <c r="K156" s="40" t="n">
        <v>3E-005</v>
      </c>
      <c r="L156" s="39" t="n">
        <v>0.98547</v>
      </c>
      <c r="M156" s="40" t="n">
        <v>2E-005</v>
      </c>
      <c r="N156" s="39" t="n">
        <v>0.90938</v>
      </c>
      <c r="O156" s="40" t="n">
        <v>0.0001</v>
      </c>
      <c r="P156" s="39" t="n">
        <v>0.9606</v>
      </c>
      <c r="Q156" s="40" t="n">
        <v>6E-005</v>
      </c>
      <c r="R156" s="39" t="n">
        <v>0.90784</v>
      </c>
      <c r="S156" s="40" t="n">
        <v>0.0001</v>
      </c>
      <c r="T156" s="39" t="n">
        <v>0.93868</v>
      </c>
      <c r="U156" s="40" t="n">
        <v>7E-005</v>
      </c>
      <c r="V156" s="39" t="n">
        <v>0.90013</v>
      </c>
      <c r="W156" s="40" t="n">
        <v>8E-005</v>
      </c>
      <c r="X156" s="39" t="n">
        <v>0.92332</v>
      </c>
      <c r="Y156" s="40" t="n">
        <v>6E-005</v>
      </c>
    </row>
    <row r="157" customFormat="false" ht="15" hidden="false" customHeight="false" outlineLevel="0" collapsed="false">
      <c r="A157" s="38" t="n">
        <v>212</v>
      </c>
      <c r="B157" s="39" t="n">
        <v>0.95861</v>
      </c>
      <c r="C157" s="40" t="n">
        <v>2E-005</v>
      </c>
      <c r="D157" s="39" t="n">
        <v>1.06673</v>
      </c>
      <c r="E157" s="40" t="n">
        <v>5E-005</v>
      </c>
      <c r="F157" s="39" t="n">
        <v>0.97265</v>
      </c>
      <c r="G157" s="40" t="n">
        <v>2E-005</v>
      </c>
      <c r="H157" s="39" t="n">
        <v>0.98749</v>
      </c>
      <c r="I157" s="40" t="n">
        <v>4E-005</v>
      </c>
      <c r="J157" s="39" t="n">
        <v>0.96679</v>
      </c>
      <c r="K157" s="40" t="n">
        <v>3E-005</v>
      </c>
      <c r="L157" s="39" t="n">
        <v>0.98547</v>
      </c>
      <c r="M157" s="40" t="n">
        <v>2E-005</v>
      </c>
      <c r="N157" s="39" t="n">
        <v>0.90813</v>
      </c>
      <c r="O157" s="40" t="n">
        <v>0.0001</v>
      </c>
      <c r="P157" s="39" t="n">
        <v>0.95986</v>
      </c>
      <c r="Q157" s="40" t="n">
        <v>6E-005</v>
      </c>
      <c r="R157" s="39" t="n">
        <v>0.90657</v>
      </c>
      <c r="S157" s="40" t="n">
        <v>0.0001</v>
      </c>
      <c r="T157" s="39" t="n">
        <v>0.93783</v>
      </c>
      <c r="U157" s="40" t="n">
        <v>7E-005</v>
      </c>
      <c r="V157" s="39" t="n">
        <v>0.89906</v>
      </c>
      <c r="W157" s="40" t="n">
        <v>8E-005</v>
      </c>
      <c r="X157" s="39" t="n">
        <v>0.92242</v>
      </c>
      <c r="Y157" s="40" t="n">
        <v>6E-005</v>
      </c>
    </row>
    <row r="158" customFormat="false" ht="15" hidden="false" customHeight="false" outlineLevel="0" collapsed="false">
      <c r="A158" s="38" t="n">
        <v>213</v>
      </c>
      <c r="B158" s="39" t="n">
        <v>0.95807</v>
      </c>
      <c r="C158" s="40" t="n">
        <v>3E-005</v>
      </c>
      <c r="D158" s="39" t="n">
        <v>1.06536</v>
      </c>
      <c r="E158" s="40" t="n">
        <v>6E-005</v>
      </c>
      <c r="F158" s="39" t="n">
        <v>0.97281</v>
      </c>
      <c r="G158" s="40" t="n">
        <v>3E-005</v>
      </c>
      <c r="H158" s="39" t="n">
        <v>0.98693</v>
      </c>
      <c r="I158" s="40" t="n">
        <v>5E-005</v>
      </c>
      <c r="J158" s="39" t="n">
        <v>0.96639</v>
      </c>
      <c r="K158" s="40" t="n">
        <v>3E-005</v>
      </c>
      <c r="L158" s="39" t="n">
        <v>0.98505</v>
      </c>
      <c r="M158" s="40" t="n">
        <v>2E-005</v>
      </c>
      <c r="N158" s="39" t="n">
        <v>0.90686</v>
      </c>
      <c r="O158" s="40" t="n">
        <v>0.0001</v>
      </c>
      <c r="P158" s="39" t="n">
        <v>0.9591</v>
      </c>
      <c r="Q158" s="40" t="n">
        <v>6E-005</v>
      </c>
      <c r="R158" s="39" t="n">
        <v>0.90541</v>
      </c>
      <c r="S158" s="40" t="n">
        <v>0.00011</v>
      </c>
      <c r="T158" s="39" t="n">
        <v>0.93699</v>
      </c>
      <c r="U158" s="40" t="n">
        <v>7E-005</v>
      </c>
      <c r="V158" s="39" t="n">
        <v>0.89812</v>
      </c>
      <c r="W158" s="40" t="n">
        <v>8E-005</v>
      </c>
      <c r="X158" s="39" t="n">
        <v>0.92193</v>
      </c>
      <c r="Y158" s="40" t="n">
        <v>6E-005</v>
      </c>
    </row>
    <row r="159" customFormat="false" ht="15" hidden="false" customHeight="false" outlineLevel="0" collapsed="false">
      <c r="A159" s="38" t="n">
        <v>214</v>
      </c>
      <c r="B159" s="39" t="n">
        <v>0.95808</v>
      </c>
      <c r="C159" s="40" t="n">
        <v>3E-005</v>
      </c>
      <c r="D159" s="39" t="n">
        <v>1.06504</v>
      </c>
      <c r="E159" s="40" t="n">
        <v>6E-005</v>
      </c>
      <c r="F159" s="39" t="n">
        <v>0.97217</v>
      </c>
      <c r="G159" s="40" t="n">
        <v>4E-005</v>
      </c>
      <c r="H159" s="39" t="n">
        <v>0.98665</v>
      </c>
      <c r="I159" s="40" t="n">
        <v>5E-005</v>
      </c>
      <c r="J159" s="39" t="n">
        <v>0.96617</v>
      </c>
      <c r="K159" s="40" t="n">
        <v>3E-005</v>
      </c>
      <c r="L159" s="39" t="n">
        <v>0.98461</v>
      </c>
      <c r="M159" s="40" t="n">
        <v>3E-005</v>
      </c>
      <c r="N159" s="39" t="n">
        <v>0.90572</v>
      </c>
      <c r="O159" s="40" t="n">
        <v>0.0001</v>
      </c>
      <c r="P159" s="39" t="n">
        <v>0.95847</v>
      </c>
      <c r="Q159" s="40" t="n">
        <v>7E-005</v>
      </c>
      <c r="R159" s="39" t="n">
        <v>0.90403</v>
      </c>
      <c r="S159" s="40" t="n">
        <v>0.00011</v>
      </c>
      <c r="T159" s="39" t="n">
        <v>0.93629</v>
      </c>
      <c r="U159" s="40" t="n">
        <v>7E-005</v>
      </c>
      <c r="V159" s="39" t="n">
        <v>0.89729</v>
      </c>
      <c r="W159" s="40" t="n">
        <v>8E-005</v>
      </c>
      <c r="X159" s="39" t="n">
        <v>0.92128</v>
      </c>
      <c r="Y159" s="40" t="n">
        <v>5E-005</v>
      </c>
    </row>
    <row r="160" customFormat="false" ht="15" hidden="false" customHeight="false" outlineLevel="0" collapsed="false">
      <c r="A160" s="38" t="n">
        <v>215</v>
      </c>
      <c r="B160" s="39" t="n">
        <v>0.9581</v>
      </c>
      <c r="C160" s="40" t="n">
        <v>3E-005</v>
      </c>
      <c r="D160" s="39" t="n">
        <v>1.06573</v>
      </c>
      <c r="E160" s="40" t="n">
        <v>4E-005</v>
      </c>
      <c r="F160" s="39" t="n">
        <v>0.97161</v>
      </c>
      <c r="G160" s="40" t="n">
        <v>4E-005</v>
      </c>
      <c r="H160" s="39" t="n">
        <v>0.98621</v>
      </c>
      <c r="I160" s="40" t="n">
        <v>5E-005</v>
      </c>
      <c r="J160" s="39" t="n">
        <v>0.96594</v>
      </c>
      <c r="K160" s="40" t="n">
        <v>3E-005</v>
      </c>
      <c r="L160" s="39" t="n">
        <v>0.98441</v>
      </c>
      <c r="M160" s="40" t="n">
        <v>3E-005</v>
      </c>
      <c r="N160" s="39" t="n">
        <v>0.9045</v>
      </c>
      <c r="O160" s="40" t="n">
        <v>0.0001</v>
      </c>
      <c r="P160" s="39" t="n">
        <v>0.9577</v>
      </c>
      <c r="Q160" s="40" t="n">
        <v>7E-005</v>
      </c>
      <c r="R160" s="39" t="n">
        <v>0.90289</v>
      </c>
      <c r="S160" s="40" t="n">
        <v>0.00011</v>
      </c>
      <c r="T160" s="39" t="n">
        <v>0.93548</v>
      </c>
      <c r="U160" s="40" t="n">
        <v>6E-005</v>
      </c>
      <c r="V160" s="39" t="n">
        <v>0.89638</v>
      </c>
      <c r="W160" s="40" t="n">
        <v>8E-005</v>
      </c>
      <c r="X160" s="39" t="n">
        <v>0.9203</v>
      </c>
      <c r="Y160" s="40" t="n">
        <v>5E-005</v>
      </c>
    </row>
    <row r="161" customFormat="false" ht="15" hidden="false" customHeight="false" outlineLevel="0" collapsed="false">
      <c r="A161" s="38" t="n">
        <v>216</v>
      </c>
      <c r="B161" s="39" t="n">
        <v>0.95724</v>
      </c>
      <c r="C161" s="40" t="n">
        <v>4E-005</v>
      </c>
      <c r="D161" s="39" t="n">
        <v>1.06503</v>
      </c>
      <c r="E161" s="40" t="n">
        <v>4E-005</v>
      </c>
      <c r="F161" s="39" t="n">
        <v>0.97112</v>
      </c>
      <c r="G161" s="40" t="n">
        <v>4E-005</v>
      </c>
      <c r="H161" s="39" t="n">
        <v>0.98543</v>
      </c>
      <c r="I161" s="40" t="n">
        <v>6E-005</v>
      </c>
      <c r="J161" s="39" t="n">
        <v>0.96544</v>
      </c>
      <c r="K161" s="40" t="n">
        <v>3E-005</v>
      </c>
      <c r="L161" s="39" t="n">
        <v>0.98414</v>
      </c>
      <c r="M161" s="40" t="n">
        <v>3E-005</v>
      </c>
      <c r="N161" s="39" t="n">
        <v>0.90336</v>
      </c>
      <c r="O161" s="40" t="n">
        <v>0.0001</v>
      </c>
      <c r="P161" s="39" t="n">
        <v>0.95668</v>
      </c>
      <c r="Q161" s="40" t="n">
        <v>7E-005</v>
      </c>
      <c r="R161" s="39" t="n">
        <v>0.90159</v>
      </c>
      <c r="S161" s="40" t="n">
        <v>0.00011</v>
      </c>
      <c r="T161" s="39" t="n">
        <v>0.93481</v>
      </c>
      <c r="U161" s="40" t="n">
        <v>6E-005</v>
      </c>
      <c r="V161" s="39" t="n">
        <v>0.89532</v>
      </c>
      <c r="W161" s="40" t="n">
        <v>7E-005</v>
      </c>
      <c r="X161" s="39" t="n">
        <v>0.91994</v>
      </c>
      <c r="Y161" s="40" t="n">
        <v>5E-005</v>
      </c>
    </row>
    <row r="162" customFormat="false" ht="15" hidden="false" customHeight="false" outlineLevel="0" collapsed="false">
      <c r="A162" s="38" t="n">
        <v>217</v>
      </c>
      <c r="B162" s="39" t="n">
        <v>0.95644</v>
      </c>
      <c r="C162" s="40" t="n">
        <v>4E-005</v>
      </c>
      <c r="D162" s="39" t="n">
        <v>1.06425</v>
      </c>
      <c r="E162" s="40" t="n">
        <v>0</v>
      </c>
      <c r="F162" s="39" t="n">
        <v>0.97062</v>
      </c>
      <c r="G162" s="40" t="n">
        <v>4E-005</v>
      </c>
      <c r="H162" s="39" t="n">
        <v>0.98468</v>
      </c>
      <c r="I162" s="40" t="n">
        <v>7E-005</v>
      </c>
      <c r="J162" s="39" t="n">
        <v>0.96498</v>
      </c>
      <c r="K162" s="40" t="n">
        <v>4E-005</v>
      </c>
      <c r="L162" s="39" t="n">
        <v>0.98375</v>
      </c>
      <c r="M162" s="40" t="n">
        <v>3E-005</v>
      </c>
      <c r="N162" s="39" t="n">
        <v>0.90195</v>
      </c>
      <c r="O162" s="40" t="n">
        <v>0.0001</v>
      </c>
      <c r="P162" s="39" t="n">
        <v>0.95573</v>
      </c>
      <c r="Q162" s="40" t="n">
        <v>8E-005</v>
      </c>
      <c r="R162" s="39" t="n">
        <v>0.90013</v>
      </c>
      <c r="S162" s="40" t="n">
        <v>0.00011</v>
      </c>
      <c r="T162" s="39" t="n">
        <v>0.93404</v>
      </c>
      <c r="U162" s="40" t="n">
        <v>6E-005</v>
      </c>
      <c r="V162" s="39" t="n">
        <v>0.89438</v>
      </c>
      <c r="W162" s="40" t="n">
        <v>7E-005</v>
      </c>
      <c r="X162" s="39" t="n">
        <v>0.91947</v>
      </c>
      <c r="Y162" s="40" t="n">
        <v>5E-005</v>
      </c>
    </row>
    <row r="163" customFormat="false" ht="15" hidden="false" customHeight="false" outlineLevel="0" collapsed="false">
      <c r="A163" s="38" t="n">
        <v>218</v>
      </c>
      <c r="B163" s="39" t="n">
        <v>0.95657</v>
      </c>
      <c r="C163" s="40" t="n">
        <v>4E-005</v>
      </c>
      <c r="D163" s="39" t="n">
        <v>1.063</v>
      </c>
      <c r="E163" s="40" t="n">
        <v>0</v>
      </c>
      <c r="F163" s="39" t="n">
        <v>0.96973</v>
      </c>
      <c r="G163" s="40" t="n">
        <v>5E-005</v>
      </c>
      <c r="H163" s="39" t="n">
        <v>0.98381</v>
      </c>
      <c r="I163" s="40" t="n">
        <v>8E-005</v>
      </c>
      <c r="J163" s="39" t="n">
        <v>0.96443</v>
      </c>
      <c r="K163" s="40" t="n">
        <v>4E-005</v>
      </c>
      <c r="L163" s="39" t="n">
        <v>0.98319</v>
      </c>
      <c r="M163" s="40" t="n">
        <v>3E-005</v>
      </c>
      <c r="N163" s="39" t="n">
        <v>0.90066</v>
      </c>
      <c r="O163" s="40" t="n">
        <v>0.00011</v>
      </c>
      <c r="P163" s="39" t="n">
        <v>0.95483</v>
      </c>
      <c r="Q163" s="40" t="n">
        <v>8E-005</v>
      </c>
      <c r="R163" s="39" t="n">
        <v>0.89876</v>
      </c>
      <c r="S163" s="40" t="n">
        <v>0.00011</v>
      </c>
      <c r="T163" s="39" t="n">
        <v>0.93334</v>
      </c>
      <c r="U163" s="40" t="n">
        <v>6E-005</v>
      </c>
      <c r="V163" s="39" t="n">
        <v>0.89355</v>
      </c>
      <c r="W163" s="40" t="n">
        <v>7E-005</v>
      </c>
      <c r="X163" s="39" t="n">
        <v>0.91882</v>
      </c>
      <c r="Y163" s="40" t="n">
        <v>5E-005</v>
      </c>
    </row>
    <row r="164" customFormat="false" ht="15" hidden="false" customHeight="false" outlineLevel="0" collapsed="false">
      <c r="A164" s="38" t="n">
        <v>219</v>
      </c>
      <c r="B164" s="39" t="n">
        <v>0.95615</v>
      </c>
      <c r="C164" s="40" t="n">
        <v>3E-005</v>
      </c>
      <c r="D164" s="39" t="n">
        <v>1.0633</v>
      </c>
      <c r="E164" s="40" t="n">
        <v>2E-005</v>
      </c>
      <c r="F164" s="39" t="n">
        <v>0.96959</v>
      </c>
      <c r="G164" s="40" t="n">
        <v>4E-005</v>
      </c>
      <c r="H164" s="39" t="n">
        <v>0.98281</v>
      </c>
      <c r="I164" s="40" t="n">
        <v>8E-005</v>
      </c>
      <c r="J164" s="39" t="n">
        <v>0.96396</v>
      </c>
      <c r="K164" s="40" t="n">
        <v>4E-005</v>
      </c>
      <c r="L164" s="39" t="n">
        <v>0.98271</v>
      </c>
      <c r="M164" s="40" t="n">
        <v>4E-005</v>
      </c>
      <c r="N164" s="39" t="n">
        <v>0.89946</v>
      </c>
      <c r="O164" s="40" t="n">
        <v>0.00011</v>
      </c>
      <c r="P164" s="39" t="n">
        <v>0.95368</v>
      </c>
      <c r="Q164" s="40" t="n">
        <v>8E-005</v>
      </c>
      <c r="R164" s="39" t="n">
        <v>0.89721</v>
      </c>
      <c r="S164" s="40" t="n">
        <v>0.00012</v>
      </c>
      <c r="T164" s="39" t="n">
        <v>0.93275</v>
      </c>
      <c r="U164" s="40" t="n">
        <v>6E-005</v>
      </c>
      <c r="V164" s="39" t="n">
        <v>0.89286</v>
      </c>
      <c r="W164" s="40" t="n">
        <v>7E-005</v>
      </c>
      <c r="X164" s="39" t="n">
        <v>0.91824</v>
      </c>
      <c r="Y164" s="40" t="n">
        <v>4E-005</v>
      </c>
    </row>
    <row r="165" customFormat="false" ht="15" hidden="false" customHeight="false" outlineLevel="0" collapsed="false">
      <c r="A165" s="38" t="n">
        <v>220</v>
      </c>
      <c r="B165" s="39" t="n">
        <v>0.95538</v>
      </c>
      <c r="C165" s="40" t="n">
        <v>1E-005</v>
      </c>
      <c r="D165" s="39" t="n">
        <v>1.0633</v>
      </c>
      <c r="E165" s="40" t="n">
        <v>0</v>
      </c>
      <c r="F165" s="39" t="n">
        <v>0.96948</v>
      </c>
      <c r="G165" s="40" t="n">
        <v>5E-005</v>
      </c>
      <c r="H165" s="39" t="n">
        <v>0.98175</v>
      </c>
      <c r="I165" s="40" t="n">
        <v>8E-005</v>
      </c>
      <c r="J165" s="39" t="n">
        <v>0.96333</v>
      </c>
      <c r="K165" s="40" t="n">
        <v>4E-005</v>
      </c>
      <c r="L165" s="39" t="n">
        <v>0.98254</v>
      </c>
      <c r="M165" s="40" t="n">
        <v>4E-005</v>
      </c>
      <c r="N165" s="39" t="n">
        <v>0.8982</v>
      </c>
      <c r="O165" s="40" t="n">
        <v>0.00011</v>
      </c>
      <c r="P165" s="39" t="n">
        <v>0.95306</v>
      </c>
      <c r="Q165" s="40" t="n">
        <v>7E-005</v>
      </c>
      <c r="R165" s="39" t="n">
        <v>0.89607</v>
      </c>
      <c r="S165" s="40" t="n">
        <v>0.00012</v>
      </c>
      <c r="T165" s="39" t="n">
        <v>0.93217</v>
      </c>
      <c r="U165" s="40" t="n">
        <v>6E-005</v>
      </c>
      <c r="V165" s="39" t="n">
        <v>0.89197</v>
      </c>
      <c r="W165" s="40" t="n">
        <v>7E-005</v>
      </c>
      <c r="X165" s="39" t="n">
        <v>0.91779</v>
      </c>
      <c r="Y165" s="40" t="n">
        <v>5E-005</v>
      </c>
    </row>
    <row r="166" customFormat="false" ht="15" hidden="false" customHeight="false" outlineLevel="0" collapsed="false">
      <c r="A166" s="38" t="n">
        <v>221</v>
      </c>
      <c r="B166" s="39" t="n">
        <v>0.95537</v>
      </c>
      <c r="C166" s="40" t="n">
        <v>1E-005</v>
      </c>
      <c r="D166" s="39" t="n">
        <v>1.06587</v>
      </c>
      <c r="E166" s="40" t="n">
        <v>-1E-005</v>
      </c>
      <c r="F166" s="39" t="n">
        <v>0.96837</v>
      </c>
      <c r="G166" s="40" t="n">
        <v>5E-005</v>
      </c>
      <c r="H166" s="39" t="n">
        <v>0.98056</v>
      </c>
      <c r="I166" s="40" t="n">
        <v>8E-005</v>
      </c>
      <c r="J166" s="39" t="n">
        <v>0.96287</v>
      </c>
      <c r="K166" s="40" t="n">
        <v>4E-005</v>
      </c>
      <c r="L166" s="39" t="n">
        <v>0.98215</v>
      </c>
      <c r="M166" s="40" t="n">
        <v>4E-005</v>
      </c>
      <c r="N166" s="39" t="n">
        <v>0.89689</v>
      </c>
      <c r="O166" s="40" t="n">
        <v>0.00011</v>
      </c>
      <c r="P166" s="39" t="n">
        <v>0.9522</v>
      </c>
      <c r="Q166" s="40" t="n">
        <v>7E-005</v>
      </c>
      <c r="R166" s="39" t="n">
        <v>0.89466</v>
      </c>
      <c r="S166" s="40" t="n">
        <v>0.00011</v>
      </c>
      <c r="T166" s="39" t="n">
        <v>0.93131</v>
      </c>
      <c r="U166" s="40" t="n">
        <v>6E-005</v>
      </c>
      <c r="V166" s="39" t="n">
        <v>0.89102</v>
      </c>
      <c r="W166" s="40" t="n">
        <v>7E-005</v>
      </c>
      <c r="X166" s="39" t="n">
        <v>0.91706</v>
      </c>
      <c r="Y166" s="40" t="n">
        <v>5E-005</v>
      </c>
    </row>
    <row r="167" customFormat="false" ht="15" hidden="false" customHeight="false" outlineLevel="0" collapsed="false">
      <c r="A167" s="38" t="n">
        <v>222</v>
      </c>
      <c r="B167" s="39" t="n">
        <v>0.95531</v>
      </c>
      <c r="C167" s="40" t="n">
        <v>2E-005</v>
      </c>
      <c r="D167" s="39" t="n">
        <v>1.06409</v>
      </c>
      <c r="E167" s="40" t="n">
        <v>0</v>
      </c>
      <c r="F167" s="39" t="n">
        <v>0.96738</v>
      </c>
      <c r="G167" s="40" t="n">
        <v>5E-005</v>
      </c>
      <c r="H167" s="39" t="n">
        <v>0.97981</v>
      </c>
      <c r="I167" s="40" t="n">
        <v>9E-005</v>
      </c>
      <c r="J167" s="39" t="n">
        <v>0.96241</v>
      </c>
      <c r="K167" s="40" t="n">
        <v>4E-005</v>
      </c>
      <c r="L167" s="39" t="n">
        <v>0.98132</v>
      </c>
      <c r="M167" s="40" t="n">
        <v>4E-005</v>
      </c>
      <c r="N167" s="39" t="n">
        <v>0.89515</v>
      </c>
      <c r="O167" s="40" t="n">
        <v>0.00011</v>
      </c>
      <c r="P167" s="39" t="n">
        <v>0.95122</v>
      </c>
      <c r="Q167" s="40" t="n">
        <v>8E-005</v>
      </c>
      <c r="R167" s="39" t="n">
        <v>0.89329</v>
      </c>
      <c r="S167" s="40" t="n">
        <v>0.00011</v>
      </c>
      <c r="T167" s="39" t="n">
        <v>0.93022</v>
      </c>
      <c r="U167" s="40" t="n">
        <v>6E-005</v>
      </c>
      <c r="V167" s="39" t="n">
        <v>0.89013</v>
      </c>
      <c r="W167" s="40" t="n">
        <v>7E-005</v>
      </c>
      <c r="X167" s="39" t="n">
        <v>0.91644</v>
      </c>
      <c r="Y167" s="40" t="n">
        <v>5E-005</v>
      </c>
    </row>
    <row r="168" customFormat="false" ht="15" hidden="false" customHeight="false" outlineLevel="0" collapsed="false">
      <c r="A168" s="38" t="n">
        <v>223</v>
      </c>
      <c r="B168" s="39" t="n">
        <v>0.95538</v>
      </c>
      <c r="C168" s="40" t="n">
        <v>2E-005</v>
      </c>
      <c r="D168" s="39" t="n">
        <v>1.06241</v>
      </c>
      <c r="E168" s="40" t="n">
        <v>3E-005</v>
      </c>
      <c r="F168" s="39" t="n">
        <v>0.96712</v>
      </c>
      <c r="G168" s="40" t="n">
        <v>5E-005</v>
      </c>
      <c r="H168" s="39" t="n">
        <v>0.97916</v>
      </c>
      <c r="I168" s="40" t="n">
        <v>9E-005</v>
      </c>
      <c r="J168" s="39" t="n">
        <v>0.96208</v>
      </c>
      <c r="K168" s="40" t="n">
        <v>4E-005</v>
      </c>
      <c r="L168" s="39" t="n">
        <v>0.98067</v>
      </c>
      <c r="M168" s="40" t="n">
        <v>4E-005</v>
      </c>
      <c r="N168" s="39" t="n">
        <v>0.894</v>
      </c>
      <c r="O168" s="40" t="n">
        <v>0.00011</v>
      </c>
      <c r="P168" s="39" t="n">
        <v>0.95022</v>
      </c>
      <c r="Q168" s="40" t="n">
        <v>8E-005</v>
      </c>
      <c r="R168" s="39" t="n">
        <v>0.89194</v>
      </c>
      <c r="S168" s="40" t="n">
        <v>0.00011</v>
      </c>
      <c r="T168" s="39" t="n">
        <v>0.92959</v>
      </c>
      <c r="U168" s="40" t="n">
        <v>6E-005</v>
      </c>
      <c r="V168" s="39" t="n">
        <v>0.88927</v>
      </c>
      <c r="W168" s="40" t="n">
        <v>7E-005</v>
      </c>
      <c r="X168" s="39" t="n">
        <v>0.91612</v>
      </c>
      <c r="Y168" s="40" t="n">
        <v>5E-005</v>
      </c>
    </row>
    <row r="169" customFormat="false" ht="15" hidden="false" customHeight="false" outlineLevel="0" collapsed="false">
      <c r="A169" s="38" t="n">
        <v>224</v>
      </c>
      <c r="B169" s="39" t="n">
        <v>0.95529</v>
      </c>
      <c r="C169" s="40" t="n">
        <v>2E-005</v>
      </c>
      <c r="D169" s="39" t="n">
        <v>1.06351</v>
      </c>
      <c r="E169" s="40" t="n">
        <v>4E-005</v>
      </c>
      <c r="F169" s="39" t="n">
        <v>0.96632</v>
      </c>
      <c r="G169" s="40" t="n">
        <v>5E-005</v>
      </c>
      <c r="H169" s="39" t="n">
        <v>0.97802</v>
      </c>
      <c r="I169" s="40" t="n">
        <v>9E-005</v>
      </c>
      <c r="J169" s="39" t="n">
        <v>0.96157</v>
      </c>
      <c r="K169" s="40" t="n">
        <v>4E-005</v>
      </c>
      <c r="L169" s="39" t="n">
        <v>0.98021</v>
      </c>
      <c r="M169" s="40" t="n">
        <v>4E-005</v>
      </c>
      <c r="N169" s="39" t="n">
        <v>0.89316</v>
      </c>
      <c r="O169" s="40" t="n">
        <v>0.0001</v>
      </c>
      <c r="P169" s="39" t="n">
        <v>0.94936</v>
      </c>
      <c r="Q169" s="40" t="n">
        <v>8E-005</v>
      </c>
      <c r="R169" s="39" t="n">
        <v>0.89073</v>
      </c>
      <c r="S169" s="40" t="n">
        <v>0.00011</v>
      </c>
      <c r="T169" s="39" t="n">
        <v>0.92916</v>
      </c>
      <c r="U169" s="40" t="n">
        <v>6E-005</v>
      </c>
      <c r="V169" s="39" t="n">
        <v>0.88854</v>
      </c>
      <c r="W169" s="40" t="n">
        <v>7E-005</v>
      </c>
      <c r="X169" s="39" t="n">
        <v>0.91558</v>
      </c>
      <c r="Y169" s="40" t="n">
        <v>5E-005</v>
      </c>
    </row>
    <row r="170" customFormat="false" ht="15" hidden="false" customHeight="false" outlineLevel="0" collapsed="false">
      <c r="A170" s="38" t="n">
        <v>225</v>
      </c>
      <c r="B170" s="39" t="n">
        <v>0.95453</v>
      </c>
      <c r="C170" s="40" t="n">
        <v>3E-005</v>
      </c>
      <c r="D170" s="39" t="n">
        <v>1.06281</v>
      </c>
      <c r="E170" s="40" t="n">
        <v>6E-005</v>
      </c>
      <c r="F170" s="39" t="n">
        <v>0.9658</v>
      </c>
      <c r="G170" s="40" t="n">
        <v>5E-005</v>
      </c>
      <c r="H170" s="39" t="n">
        <v>0.97667</v>
      </c>
      <c r="I170" s="40" t="n">
        <v>9E-005</v>
      </c>
      <c r="J170" s="39" t="n">
        <v>0.96122</v>
      </c>
      <c r="K170" s="40" t="n">
        <v>4E-005</v>
      </c>
      <c r="L170" s="39" t="n">
        <v>0.97994</v>
      </c>
      <c r="M170" s="40" t="n">
        <v>4E-005</v>
      </c>
      <c r="N170" s="39" t="n">
        <v>0.89167</v>
      </c>
      <c r="O170" s="40" t="n">
        <v>0.0001</v>
      </c>
      <c r="P170" s="39" t="n">
        <v>0.9484</v>
      </c>
      <c r="Q170" s="40" t="n">
        <v>8E-005</v>
      </c>
      <c r="R170" s="39" t="n">
        <v>0.88955</v>
      </c>
      <c r="S170" s="40" t="n">
        <v>0.00011</v>
      </c>
      <c r="T170" s="39" t="n">
        <v>0.92858</v>
      </c>
      <c r="U170" s="40" t="n">
        <v>5E-005</v>
      </c>
      <c r="V170" s="39" t="n">
        <v>0.88763</v>
      </c>
      <c r="W170" s="40" t="n">
        <v>7E-005</v>
      </c>
      <c r="X170" s="39" t="n">
        <v>0.91503</v>
      </c>
      <c r="Y170" s="40" t="n">
        <v>4E-005</v>
      </c>
    </row>
    <row r="171" customFormat="false" ht="15" hidden="false" customHeight="false" outlineLevel="0" collapsed="false">
      <c r="A171" s="38" t="n">
        <v>226</v>
      </c>
      <c r="B171" s="39" t="n">
        <v>0.95418</v>
      </c>
      <c r="C171" s="40" t="n">
        <v>4E-005</v>
      </c>
      <c r="D171" s="39" t="n">
        <v>1.06195</v>
      </c>
      <c r="E171" s="40" t="n">
        <v>4E-005</v>
      </c>
      <c r="F171" s="39" t="n">
        <v>0.9653</v>
      </c>
      <c r="G171" s="40" t="n">
        <v>6E-005</v>
      </c>
      <c r="H171" s="39" t="n">
        <v>0.9754</v>
      </c>
      <c r="I171" s="40" t="n">
        <v>9E-005</v>
      </c>
      <c r="J171" s="39" t="n">
        <v>0.96065</v>
      </c>
      <c r="K171" s="40" t="n">
        <v>4E-005</v>
      </c>
      <c r="L171" s="39" t="n">
        <v>0.97978</v>
      </c>
      <c r="M171" s="40" t="n">
        <v>3E-005</v>
      </c>
      <c r="N171" s="39" t="n">
        <v>0.89053</v>
      </c>
      <c r="O171" s="40" t="n">
        <v>0.0001</v>
      </c>
      <c r="P171" s="39" t="n">
        <v>0.94732</v>
      </c>
      <c r="Q171" s="40" t="n">
        <v>7E-005</v>
      </c>
      <c r="R171" s="39" t="n">
        <v>0.8882</v>
      </c>
      <c r="S171" s="40" t="n">
        <v>0.00011</v>
      </c>
      <c r="T171" s="39" t="n">
        <v>0.92789</v>
      </c>
      <c r="U171" s="40" t="n">
        <v>5E-005</v>
      </c>
      <c r="V171" s="39" t="n">
        <v>0.88674</v>
      </c>
      <c r="W171" s="40" t="n">
        <v>7E-005</v>
      </c>
      <c r="X171" s="39" t="n">
        <v>0.91429</v>
      </c>
      <c r="Y171" s="40" t="n">
        <v>4E-005</v>
      </c>
    </row>
    <row r="172" customFormat="false" ht="15" hidden="false" customHeight="false" outlineLevel="0" collapsed="false">
      <c r="A172" s="38" t="n">
        <v>227</v>
      </c>
      <c r="B172" s="39" t="n">
        <v>0.95358</v>
      </c>
      <c r="C172" s="40" t="n">
        <v>4E-005</v>
      </c>
      <c r="D172" s="39" t="n">
        <v>1.06126</v>
      </c>
      <c r="E172" s="40" t="n">
        <v>2E-005</v>
      </c>
      <c r="F172" s="39" t="n">
        <v>0.96459</v>
      </c>
      <c r="G172" s="40" t="n">
        <v>6E-005</v>
      </c>
      <c r="H172" s="39" t="n">
        <v>0.97446</v>
      </c>
      <c r="I172" s="40" t="n">
        <v>9E-005</v>
      </c>
      <c r="J172" s="39" t="n">
        <v>0.9601</v>
      </c>
      <c r="K172" s="40" t="n">
        <v>5E-005</v>
      </c>
      <c r="L172" s="39" t="n">
        <v>0.97926</v>
      </c>
      <c r="M172" s="40" t="n">
        <v>3E-005</v>
      </c>
      <c r="N172" s="39" t="n">
        <v>0.88916</v>
      </c>
      <c r="O172" s="40" t="n">
        <v>0.00011</v>
      </c>
      <c r="P172" s="39" t="n">
        <v>0.94639</v>
      </c>
      <c r="Q172" s="40" t="n">
        <v>7E-005</v>
      </c>
      <c r="R172" s="39" t="n">
        <v>0.88663</v>
      </c>
      <c r="S172" s="40" t="n">
        <v>0.00011</v>
      </c>
      <c r="T172" s="39" t="n">
        <v>0.92707</v>
      </c>
      <c r="U172" s="40" t="n">
        <v>5E-005</v>
      </c>
      <c r="V172" s="39" t="n">
        <v>0.88576</v>
      </c>
      <c r="W172" s="40" t="n">
        <v>7E-005</v>
      </c>
      <c r="X172" s="39" t="n">
        <v>0.91379</v>
      </c>
      <c r="Y172" s="40" t="n">
        <v>4E-005</v>
      </c>
    </row>
    <row r="173" customFormat="false" ht="15" hidden="false" customHeight="false" outlineLevel="0" collapsed="false">
      <c r="A173" s="38" t="n">
        <v>228</v>
      </c>
      <c r="B173" s="39" t="n">
        <v>0.95317</v>
      </c>
      <c r="C173" s="40" t="n">
        <v>3E-005</v>
      </c>
      <c r="D173" s="39" t="n">
        <v>1.06145</v>
      </c>
      <c r="E173" s="40" t="n">
        <v>2E-005</v>
      </c>
      <c r="F173" s="39" t="n">
        <v>0.96391</v>
      </c>
      <c r="G173" s="40" t="n">
        <v>6E-005</v>
      </c>
      <c r="H173" s="39" t="n">
        <v>0.97362</v>
      </c>
      <c r="I173" s="40" t="n">
        <v>9E-005</v>
      </c>
      <c r="J173" s="39" t="n">
        <v>0.95956</v>
      </c>
      <c r="K173" s="40" t="n">
        <v>5E-005</v>
      </c>
      <c r="L173" s="39" t="n">
        <v>0.97864</v>
      </c>
      <c r="M173" s="40" t="n">
        <v>4E-005</v>
      </c>
      <c r="N173" s="39" t="n">
        <v>0.888</v>
      </c>
      <c r="O173" s="40" t="n">
        <v>0.00011</v>
      </c>
      <c r="P173" s="39" t="n">
        <v>0.94574</v>
      </c>
      <c r="Q173" s="40" t="n">
        <v>8E-005</v>
      </c>
      <c r="R173" s="39" t="n">
        <v>0.88538</v>
      </c>
      <c r="S173" s="40" t="n">
        <v>0.00011</v>
      </c>
      <c r="T173" s="39" t="n">
        <v>0.92638</v>
      </c>
      <c r="U173" s="40" t="n">
        <v>5E-005</v>
      </c>
      <c r="V173" s="39" t="n">
        <v>0.88489</v>
      </c>
      <c r="W173" s="40" t="n">
        <v>8E-005</v>
      </c>
      <c r="X173" s="39" t="n">
        <v>0.91341</v>
      </c>
      <c r="Y173" s="40" t="n">
        <v>4E-005</v>
      </c>
    </row>
    <row r="174" customFormat="false" ht="15" hidden="false" customHeight="false" outlineLevel="0" collapsed="false">
      <c r="A174" s="38" t="n">
        <v>229</v>
      </c>
      <c r="B174" s="39" t="n">
        <v>0.953</v>
      </c>
      <c r="C174" s="40" t="n">
        <v>3E-005</v>
      </c>
      <c r="D174" s="39" t="n">
        <v>1.061</v>
      </c>
      <c r="E174" s="40" t="n">
        <v>2E-005</v>
      </c>
      <c r="F174" s="39" t="n">
        <v>0.96243</v>
      </c>
      <c r="G174" s="40" t="n">
        <v>6E-005</v>
      </c>
      <c r="H174" s="39" t="n">
        <v>0.97254</v>
      </c>
      <c r="I174" s="40" t="n">
        <v>9E-005</v>
      </c>
      <c r="J174" s="39" t="n">
        <v>0.95883</v>
      </c>
      <c r="K174" s="40" t="n">
        <v>5E-005</v>
      </c>
      <c r="L174" s="39" t="n">
        <v>0.97796</v>
      </c>
      <c r="M174" s="40" t="n">
        <v>4E-005</v>
      </c>
      <c r="N174" s="39" t="n">
        <v>0.88667</v>
      </c>
      <c r="O174" s="40" t="n">
        <v>0.0001</v>
      </c>
      <c r="P174" s="39" t="n">
        <v>0.94487</v>
      </c>
      <c r="Q174" s="40" t="n">
        <v>8E-005</v>
      </c>
      <c r="R174" s="39" t="n">
        <v>0.88429</v>
      </c>
      <c r="S174" s="40" t="n">
        <v>0.00011</v>
      </c>
      <c r="T174" s="39" t="n">
        <v>0.9259</v>
      </c>
      <c r="U174" s="40" t="n">
        <v>5E-005</v>
      </c>
      <c r="V174" s="39" t="n">
        <v>0.88393</v>
      </c>
      <c r="W174" s="40" t="n">
        <v>8E-005</v>
      </c>
      <c r="X174" s="39" t="n">
        <v>0.91307</v>
      </c>
      <c r="Y174" s="40" t="n">
        <v>4E-005</v>
      </c>
    </row>
    <row r="175" customFormat="false" ht="15" hidden="false" customHeight="false" outlineLevel="0" collapsed="false">
      <c r="A175" s="38" t="n">
        <v>230</v>
      </c>
      <c r="B175" s="39" t="n">
        <v>0.95258</v>
      </c>
      <c r="C175" s="40" t="n">
        <v>3E-005</v>
      </c>
      <c r="D175" s="39" t="n">
        <v>1.06029</v>
      </c>
      <c r="E175" s="40" t="n">
        <v>2E-005</v>
      </c>
      <c r="F175" s="39" t="n">
        <v>0.9617</v>
      </c>
      <c r="G175" s="40" t="n">
        <v>6E-005</v>
      </c>
      <c r="H175" s="39" t="n">
        <v>0.97141</v>
      </c>
      <c r="I175" s="40" t="n">
        <v>0.0001</v>
      </c>
      <c r="J175" s="39" t="n">
        <v>0.95818</v>
      </c>
      <c r="K175" s="40" t="n">
        <v>6E-005</v>
      </c>
      <c r="L175" s="39" t="n">
        <v>0.97766</v>
      </c>
      <c r="M175" s="40" t="n">
        <v>4E-005</v>
      </c>
      <c r="N175" s="39" t="n">
        <v>0.88539</v>
      </c>
      <c r="O175" s="40" t="n">
        <v>0.0001</v>
      </c>
      <c r="P175" s="39" t="n">
        <v>0.94393</v>
      </c>
      <c r="Q175" s="40" t="n">
        <v>8E-005</v>
      </c>
      <c r="R175" s="39" t="n">
        <v>0.88293</v>
      </c>
      <c r="S175" s="40" t="n">
        <v>0.0001</v>
      </c>
      <c r="T175" s="39" t="n">
        <v>0.92543</v>
      </c>
      <c r="U175" s="40" t="n">
        <v>5E-005</v>
      </c>
      <c r="V175" s="39" t="n">
        <v>0.88319</v>
      </c>
      <c r="W175" s="40" t="n">
        <v>7E-005</v>
      </c>
      <c r="X175" s="39" t="n">
        <v>0.91247</v>
      </c>
      <c r="Y175" s="40" t="n">
        <v>4E-005</v>
      </c>
    </row>
    <row r="176" customFormat="false" ht="15" hidden="false" customHeight="false" outlineLevel="0" collapsed="false">
      <c r="A176" s="38" t="n">
        <v>231</v>
      </c>
      <c r="B176" s="39" t="n">
        <v>0.9524</v>
      </c>
      <c r="C176" s="40" t="n">
        <v>3E-005</v>
      </c>
      <c r="D176" s="39" t="n">
        <v>1.06082</v>
      </c>
      <c r="E176" s="40" t="n">
        <v>4E-005</v>
      </c>
      <c r="F176" s="39" t="n">
        <v>0.96163</v>
      </c>
      <c r="G176" s="40" t="n">
        <v>6E-005</v>
      </c>
      <c r="H176" s="39" t="n">
        <v>0.97027</v>
      </c>
      <c r="I176" s="40" t="n">
        <v>0.00011</v>
      </c>
      <c r="J176" s="39" t="n">
        <v>0.95756</v>
      </c>
      <c r="K176" s="40" t="n">
        <v>6E-005</v>
      </c>
      <c r="L176" s="39" t="n">
        <v>0.97729</v>
      </c>
      <c r="M176" s="40" t="n">
        <v>4E-005</v>
      </c>
      <c r="N176" s="39" t="n">
        <v>0.88404</v>
      </c>
      <c r="O176" s="40" t="n">
        <v>0.0001</v>
      </c>
      <c r="P176" s="39" t="n">
        <v>0.94289</v>
      </c>
      <c r="Q176" s="40" t="n">
        <v>8E-005</v>
      </c>
      <c r="R176" s="39" t="n">
        <v>0.88158</v>
      </c>
      <c r="S176" s="40" t="n">
        <v>0.0001</v>
      </c>
      <c r="T176" s="39" t="n">
        <v>0.92476</v>
      </c>
      <c r="U176" s="40" t="n">
        <v>5E-005</v>
      </c>
      <c r="V176" s="39" t="n">
        <v>0.88222</v>
      </c>
      <c r="W176" s="40" t="n">
        <v>7E-005</v>
      </c>
      <c r="X176" s="39" t="n">
        <v>0.9118</v>
      </c>
      <c r="Y176" s="40" t="n">
        <v>5E-005</v>
      </c>
    </row>
    <row r="177" customFormat="false" ht="15" hidden="false" customHeight="false" outlineLevel="0" collapsed="false">
      <c r="A177" s="38" t="n">
        <v>232</v>
      </c>
      <c r="B177" s="39" t="n">
        <v>0.95206</v>
      </c>
      <c r="C177" s="40" t="n">
        <v>3E-005</v>
      </c>
      <c r="D177" s="39" t="n">
        <v>1.06128</v>
      </c>
      <c r="E177" s="40" t="n">
        <v>3E-005</v>
      </c>
      <c r="F177" s="39" t="n">
        <v>0.96079</v>
      </c>
      <c r="G177" s="40" t="n">
        <v>7E-005</v>
      </c>
      <c r="H177" s="39" t="n">
        <v>0.96889</v>
      </c>
      <c r="I177" s="40" t="n">
        <v>0.00011</v>
      </c>
      <c r="J177" s="39" t="n">
        <v>0.95698</v>
      </c>
      <c r="K177" s="40" t="n">
        <v>6E-005</v>
      </c>
      <c r="L177" s="39" t="n">
        <v>0.97672</v>
      </c>
      <c r="M177" s="40" t="n">
        <v>5E-005</v>
      </c>
      <c r="N177" s="39" t="n">
        <v>0.88303</v>
      </c>
      <c r="O177" s="40" t="n">
        <v>0.0001</v>
      </c>
      <c r="P177" s="39" t="n">
        <v>0.94168</v>
      </c>
      <c r="Q177" s="40" t="n">
        <v>9E-005</v>
      </c>
      <c r="R177" s="39" t="n">
        <v>0.88038</v>
      </c>
      <c r="S177" s="40" t="n">
        <v>0.00011</v>
      </c>
      <c r="T177" s="39" t="n">
        <v>0.92415</v>
      </c>
      <c r="U177" s="40" t="n">
        <v>5E-005</v>
      </c>
      <c r="V177" s="39" t="n">
        <v>0.88123</v>
      </c>
      <c r="W177" s="40" t="n">
        <v>7E-005</v>
      </c>
      <c r="X177" s="39" t="n">
        <v>0.91125</v>
      </c>
      <c r="Y177" s="40" t="n">
        <v>4E-005</v>
      </c>
    </row>
    <row r="178" customFormat="false" ht="15" hidden="false" customHeight="false" outlineLevel="0" collapsed="false">
      <c r="A178" s="38" t="n">
        <v>233</v>
      </c>
      <c r="B178" s="39" t="n">
        <v>0.95166</v>
      </c>
      <c r="C178" s="40" t="n">
        <v>2E-005</v>
      </c>
      <c r="D178" s="39" t="n">
        <v>1.05938</v>
      </c>
      <c r="E178" s="40" t="n">
        <v>2E-005</v>
      </c>
      <c r="F178" s="39" t="n">
        <v>0.95989</v>
      </c>
      <c r="G178" s="40" t="n">
        <v>7E-005</v>
      </c>
      <c r="H178" s="39" t="n">
        <v>0.96719</v>
      </c>
      <c r="I178" s="40" t="n">
        <v>0.00011</v>
      </c>
      <c r="J178" s="39" t="n">
        <v>0.95612</v>
      </c>
      <c r="K178" s="40" t="n">
        <v>6E-005</v>
      </c>
      <c r="L178" s="39" t="n">
        <v>0.97631</v>
      </c>
      <c r="M178" s="40" t="n">
        <v>5E-005</v>
      </c>
      <c r="N178" s="39" t="n">
        <v>0.88215</v>
      </c>
      <c r="O178" s="40" t="n">
        <v>0.0001</v>
      </c>
      <c r="P178" s="39" t="n">
        <v>0.94076</v>
      </c>
      <c r="Q178" s="40" t="n">
        <v>8E-005</v>
      </c>
      <c r="R178" s="39" t="n">
        <v>0.87916</v>
      </c>
      <c r="S178" s="40" t="n">
        <v>0.00011</v>
      </c>
      <c r="T178" s="39" t="n">
        <v>0.92364</v>
      </c>
      <c r="U178" s="40" t="n">
        <v>5E-005</v>
      </c>
      <c r="V178" s="39" t="n">
        <v>0.88044</v>
      </c>
      <c r="W178" s="40" t="n">
        <v>7E-005</v>
      </c>
      <c r="X178" s="39" t="n">
        <v>0.91068</v>
      </c>
      <c r="Y178" s="40" t="n">
        <v>4E-005</v>
      </c>
    </row>
    <row r="179" customFormat="false" ht="15" hidden="false" customHeight="false" outlineLevel="0" collapsed="false">
      <c r="A179" s="38" t="n">
        <v>234</v>
      </c>
      <c r="B179" s="39" t="n">
        <v>0.95125</v>
      </c>
      <c r="C179" s="40" t="n">
        <v>2E-005</v>
      </c>
      <c r="D179" s="39" t="n">
        <v>1.05874</v>
      </c>
      <c r="E179" s="40" t="n">
        <v>3E-005</v>
      </c>
      <c r="F179" s="39" t="n">
        <v>0.95898</v>
      </c>
      <c r="G179" s="40" t="n">
        <v>8E-005</v>
      </c>
      <c r="H179" s="39" t="n">
        <v>0.96601</v>
      </c>
      <c r="I179" s="40" t="n">
        <v>0.0001</v>
      </c>
      <c r="J179" s="39" t="n">
        <v>0.95541</v>
      </c>
      <c r="K179" s="40" t="n">
        <v>6E-005</v>
      </c>
      <c r="L179" s="39" t="n">
        <v>0.97563</v>
      </c>
      <c r="M179" s="40" t="n">
        <v>5E-005</v>
      </c>
      <c r="N179" s="39" t="n">
        <v>0.88058</v>
      </c>
      <c r="O179" s="40" t="n">
        <v>0.0001</v>
      </c>
      <c r="P179" s="39" t="n">
        <v>0.94009</v>
      </c>
      <c r="Q179" s="40" t="n">
        <v>8E-005</v>
      </c>
      <c r="R179" s="39" t="n">
        <v>0.87793</v>
      </c>
      <c r="S179" s="40" t="n">
        <v>0.00011</v>
      </c>
      <c r="T179" s="39" t="n">
        <v>0.92304</v>
      </c>
      <c r="U179" s="40" t="n">
        <v>5E-005</v>
      </c>
      <c r="V179" s="39" t="n">
        <v>0.87973</v>
      </c>
      <c r="W179" s="40" t="n">
        <v>7E-005</v>
      </c>
      <c r="X179" s="39" t="n">
        <v>0.91017</v>
      </c>
      <c r="Y179" s="40" t="n">
        <v>4E-005</v>
      </c>
    </row>
    <row r="180" customFormat="false" ht="15" hidden="false" customHeight="false" outlineLevel="0" collapsed="false">
      <c r="A180" s="38" t="n">
        <v>235</v>
      </c>
      <c r="B180" s="39" t="n">
        <v>0.95085</v>
      </c>
      <c r="C180" s="40" t="n">
        <v>2E-005</v>
      </c>
      <c r="D180" s="39" t="n">
        <v>1.05796</v>
      </c>
      <c r="E180" s="40" t="n">
        <v>6E-005</v>
      </c>
      <c r="F180" s="39" t="n">
        <v>0.95778</v>
      </c>
      <c r="G180" s="40" t="n">
        <v>0.0001</v>
      </c>
      <c r="H180" s="39" t="n">
        <v>0.96493</v>
      </c>
      <c r="I180" s="40" t="n">
        <v>0.0001</v>
      </c>
      <c r="J180" s="39" t="n">
        <v>0.95483</v>
      </c>
      <c r="K180" s="40" t="n">
        <v>6E-005</v>
      </c>
      <c r="L180" s="39" t="n">
        <v>0.9747</v>
      </c>
      <c r="M180" s="40" t="n">
        <v>6E-005</v>
      </c>
      <c r="N180" s="39" t="n">
        <v>0.87907</v>
      </c>
      <c r="O180" s="40" t="n">
        <v>0.0001</v>
      </c>
      <c r="P180" s="39" t="n">
        <v>0.939</v>
      </c>
      <c r="Q180" s="40" t="n">
        <v>8E-005</v>
      </c>
      <c r="R180" s="39" t="n">
        <v>0.87658</v>
      </c>
      <c r="S180" s="40" t="n">
        <v>0.00011</v>
      </c>
      <c r="T180" s="39" t="n">
        <v>0.92228</v>
      </c>
      <c r="U180" s="40" t="n">
        <v>5E-005</v>
      </c>
      <c r="V180" s="39" t="n">
        <v>0.87875</v>
      </c>
      <c r="W180" s="40" t="n">
        <v>7E-005</v>
      </c>
      <c r="X180" s="39" t="n">
        <v>0.90985</v>
      </c>
      <c r="Y180" s="40" t="n">
        <v>3E-005</v>
      </c>
    </row>
    <row r="181" customFormat="false" ht="15" hidden="false" customHeight="false" outlineLevel="0" collapsed="false">
      <c r="A181" s="38" t="n">
        <v>236</v>
      </c>
      <c r="B181" s="39" t="n">
        <v>0.95103</v>
      </c>
      <c r="C181" s="40" t="n">
        <v>2E-005</v>
      </c>
      <c r="D181" s="39" t="n">
        <v>1.05871</v>
      </c>
      <c r="E181" s="40" t="n">
        <v>8E-005</v>
      </c>
      <c r="F181" s="39" t="n">
        <v>0.9566</v>
      </c>
      <c r="G181" s="40" t="n">
        <v>0.0001</v>
      </c>
      <c r="H181" s="39" t="n">
        <v>0.96366</v>
      </c>
      <c r="I181" s="40" t="n">
        <v>0.0001</v>
      </c>
      <c r="J181" s="39" t="n">
        <v>0.95422</v>
      </c>
      <c r="K181" s="40" t="n">
        <v>6E-005</v>
      </c>
      <c r="L181" s="39" t="n">
        <v>0.97384</v>
      </c>
      <c r="M181" s="40" t="n">
        <v>5E-005</v>
      </c>
      <c r="N181" s="39" t="n">
        <v>0.87828</v>
      </c>
      <c r="O181" s="40" t="n">
        <v>0.00011</v>
      </c>
      <c r="P181" s="39" t="n">
        <v>0.93772</v>
      </c>
      <c r="Q181" s="40" t="n">
        <v>8E-005</v>
      </c>
      <c r="R181" s="39" t="n">
        <v>0.87504</v>
      </c>
      <c r="S181" s="40" t="n">
        <v>0.00011</v>
      </c>
      <c r="T181" s="39" t="n">
        <v>0.92178</v>
      </c>
      <c r="U181" s="40" t="n">
        <v>5E-005</v>
      </c>
      <c r="V181" s="39" t="n">
        <v>0.87783</v>
      </c>
      <c r="W181" s="40" t="n">
        <v>7E-005</v>
      </c>
      <c r="X181" s="39" t="n">
        <v>0.90963</v>
      </c>
      <c r="Y181" s="40" t="n">
        <v>3E-005</v>
      </c>
    </row>
    <row r="182" customFormat="false" ht="15" hidden="false" customHeight="false" outlineLevel="0" collapsed="false">
      <c r="A182" s="38" t="n">
        <v>237</v>
      </c>
      <c r="B182" s="39" t="n">
        <v>0.95104</v>
      </c>
      <c r="C182" s="40" t="n">
        <v>2E-005</v>
      </c>
      <c r="D182" s="39" t="n">
        <v>1.05856</v>
      </c>
      <c r="E182" s="40" t="n">
        <v>7E-005</v>
      </c>
      <c r="F182" s="39" t="n">
        <v>0.95541</v>
      </c>
      <c r="G182" s="40" t="n">
        <v>9E-005</v>
      </c>
      <c r="H182" s="39" t="n">
        <v>0.96256</v>
      </c>
      <c r="I182" s="40" t="n">
        <v>0.0001</v>
      </c>
      <c r="J182" s="39" t="n">
        <v>0.95334</v>
      </c>
      <c r="K182" s="40" t="n">
        <v>6E-005</v>
      </c>
      <c r="L182" s="39" t="n">
        <v>0.97341</v>
      </c>
      <c r="M182" s="40" t="n">
        <v>5E-005</v>
      </c>
      <c r="N182" s="39" t="n">
        <v>0.87726</v>
      </c>
      <c r="O182" s="40" t="n">
        <v>0.00011</v>
      </c>
      <c r="P182" s="39" t="n">
        <v>0.93712</v>
      </c>
      <c r="Q182" s="40" t="n">
        <v>8E-005</v>
      </c>
      <c r="R182" s="39" t="n">
        <v>0.87383</v>
      </c>
      <c r="S182" s="40" t="n">
        <v>0.00011</v>
      </c>
      <c r="T182" s="39" t="n">
        <v>0.92135</v>
      </c>
      <c r="U182" s="40" t="n">
        <v>5E-005</v>
      </c>
      <c r="V182" s="39" t="n">
        <v>0.87678</v>
      </c>
      <c r="W182" s="40" t="n">
        <v>8E-005</v>
      </c>
      <c r="X182" s="39" t="n">
        <v>0.90901</v>
      </c>
      <c r="Y182" s="40" t="n">
        <v>3E-005</v>
      </c>
    </row>
    <row r="183" customFormat="false" ht="15" hidden="false" customHeight="false" outlineLevel="0" collapsed="false">
      <c r="A183" s="38" t="n">
        <v>238</v>
      </c>
      <c r="B183" s="39" t="n">
        <v>0.95029</v>
      </c>
      <c r="C183" s="40" t="n">
        <v>2E-005</v>
      </c>
      <c r="D183" s="39" t="n">
        <v>1.05583</v>
      </c>
      <c r="E183" s="40" t="n">
        <v>7E-005</v>
      </c>
      <c r="F183" s="39" t="n">
        <v>0.95449</v>
      </c>
      <c r="G183" s="40" t="n">
        <v>0.0001</v>
      </c>
      <c r="H183" s="39" t="n">
        <v>0.96156</v>
      </c>
      <c r="I183" s="40" t="n">
        <v>0.00011</v>
      </c>
      <c r="J183" s="39" t="n">
        <v>0.95252</v>
      </c>
      <c r="K183" s="40" t="n">
        <v>7E-005</v>
      </c>
      <c r="L183" s="39" t="n">
        <v>0.97306</v>
      </c>
      <c r="M183" s="40" t="n">
        <v>5E-005</v>
      </c>
      <c r="N183" s="39" t="n">
        <v>0.87573</v>
      </c>
      <c r="O183" s="40" t="n">
        <v>0.0001</v>
      </c>
      <c r="P183" s="39" t="n">
        <v>0.93619</v>
      </c>
      <c r="Q183" s="40" t="n">
        <v>8E-005</v>
      </c>
      <c r="R183" s="39" t="n">
        <v>0.87261</v>
      </c>
      <c r="S183" s="40" t="n">
        <v>0.00011</v>
      </c>
      <c r="T183" s="39" t="n">
        <v>0.92073</v>
      </c>
      <c r="U183" s="40" t="n">
        <v>5E-005</v>
      </c>
      <c r="V183" s="39" t="n">
        <v>0.87593</v>
      </c>
      <c r="W183" s="40" t="n">
        <v>8E-005</v>
      </c>
      <c r="X183" s="39" t="n">
        <v>0.90854</v>
      </c>
      <c r="Y183" s="40" t="n">
        <v>3E-005</v>
      </c>
    </row>
    <row r="184" customFormat="false" ht="15" hidden="false" customHeight="false" outlineLevel="0" collapsed="false">
      <c r="A184" s="38" t="n">
        <v>239</v>
      </c>
      <c r="B184" s="39" t="n">
        <v>0.95011</v>
      </c>
      <c r="C184" s="40" t="n">
        <v>2E-005</v>
      </c>
      <c r="D184" s="39" t="n">
        <v>1.05477</v>
      </c>
      <c r="E184" s="40" t="n">
        <v>9E-005</v>
      </c>
      <c r="F184" s="39" t="n">
        <v>0.95325</v>
      </c>
      <c r="G184" s="40" t="n">
        <v>9E-005</v>
      </c>
      <c r="H184" s="39" t="n">
        <v>0.96009</v>
      </c>
      <c r="I184" s="40" t="n">
        <v>0.00013</v>
      </c>
      <c r="J184" s="39" t="n">
        <v>0.95191</v>
      </c>
      <c r="K184" s="40" t="n">
        <v>7E-005</v>
      </c>
      <c r="L184" s="39" t="n">
        <v>0.97236</v>
      </c>
      <c r="M184" s="40" t="n">
        <v>4E-005</v>
      </c>
      <c r="N184" s="39" t="n">
        <v>0.87421</v>
      </c>
      <c r="O184" s="40" t="n">
        <v>0.0001</v>
      </c>
      <c r="P184" s="39" t="n">
        <v>0.93507</v>
      </c>
      <c r="Q184" s="40" t="n">
        <v>8E-005</v>
      </c>
      <c r="R184" s="39" t="n">
        <v>0.87116</v>
      </c>
      <c r="S184" s="40" t="n">
        <v>0.00011</v>
      </c>
      <c r="T184" s="39" t="n">
        <v>0.92012</v>
      </c>
      <c r="U184" s="40" t="n">
        <v>5E-005</v>
      </c>
      <c r="V184" s="39" t="n">
        <v>0.87508</v>
      </c>
      <c r="W184" s="40" t="n">
        <v>8E-005</v>
      </c>
      <c r="X184" s="39" t="n">
        <v>0.90826</v>
      </c>
      <c r="Y184" s="40" t="n">
        <v>3E-005</v>
      </c>
    </row>
    <row r="185" customFormat="false" ht="15" hidden="false" customHeight="false" outlineLevel="0" collapsed="false">
      <c r="A185" s="38" t="n">
        <v>240</v>
      </c>
      <c r="B185" s="39" t="n">
        <v>0.94943</v>
      </c>
      <c r="C185" s="40" t="n">
        <v>3E-005</v>
      </c>
      <c r="D185" s="39" t="n">
        <v>1.05302</v>
      </c>
      <c r="E185" s="40" t="n">
        <v>9E-005</v>
      </c>
      <c r="F185" s="39" t="n">
        <v>0.95216</v>
      </c>
      <c r="G185" s="40" t="n">
        <v>9E-005</v>
      </c>
      <c r="H185" s="39" t="n">
        <v>0.95839</v>
      </c>
      <c r="I185" s="40" t="n">
        <v>0.00013</v>
      </c>
      <c r="J185" s="39" t="n">
        <v>0.95107</v>
      </c>
      <c r="K185" s="40" t="n">
        <v>7E-005</v>
      </c>
      <c r="L185" s="39" t="n">
        <v>0.97184</v>
      </c>
      <c r="M185" s="40" t="n">
        <v>4E-005</v>
      </c>
      <c r="N185" s="39" t="n">
        <v>0.87321</v>
      </c>
      <c r="O185" s="40" t="n">
        <v>0.0001</v>
      </c>
      <c r="P185" s="39" t="n">
        <v>0.93418</v>
      </c>
      <c r="Q185" s="40" t="n">
        <v>7E-005</v>
      </c>
      <c r="R185" s="39" t="n">
        <v>0.86978</v>
      </c>
      <c r="S185" s="40" t="n">
        <v>0.00011</v>
      </c>
      <c r="T185" s="39" t="n">
        <v>0.91922</v>
      </c>
      <c r="U185" s="40" t="n">
        <v>5E-005</v>
      </c>
      <c r="V185" s="39" t="n">
        <v>0.87408</v>
      </c>
      <c r="W185" s="40" t="n">
        <v>8E-005</v>
      </c>
      <c r="X185" s="39" t="n">
        <v>0.9078</v>
      </c>
      <c r="Y185" s="40" t="n">
        <v>3E-005</v>
      </c>
    </row>
    <row r="186" customFormat="false" ht="15" hidden="false" customHeight="false" outlineLevel="0" collapsed="false">
      <c r="A186" s="38" t="n">
        <v>241</v>
      </c>
      <c r="B186" s="39" t="n">
        <v>0.94932</v>
      </c>
      <c r="C186" s="40" t="n">
        <v>4E-005</v>
      </c>
      <c r="D186" s="39" t="n">
        <v>1.05309</v>
      </c>
      <c r="E186" s="40" t="n">
        <v>9E-005</v>
      </c>
      <c r="F186" s="39" t="n">
        <v>0.95108</v>
      </c>
      <c r="G186" s="40" t="n">
        <v>9E-005</v>
      </c>
      <c r="H186" s="39" t="n">
        <v>0.95658</v>
      </c>
      <c r="I186" s="40" t="n">
        <v>0.00014</v>
      </c>
      <c r="J186" s="39" t="n">
        <v>0.94998</v>
      </c>
      <c r="K186" s="40" t="n">
        <v>7E-005</v>
      </c>
      <c r="L186" s="39" t="n">
        <v>0.9714</v>
      </c>
      <c r="M186" s="40" t="n">
        <v>6E-005</v>
      </c>
      <c r="N186" s="39" t="n">
        <v>0.87236</v>
      </c>
      <c r="O186" s="40" t="n">
        <v>9E-005</v>
      </c>
      <c r="P186" s="39" t="n">
        <v>0.93321</v>
      </c>
      <c r="Q186" s="40" t="n">
        <v>7E-005</v>
      </c>
      <c r="R186" s="39" t="n">
        <v>0.86832</v>
      </c>
      <c r="S186" s="40" t="n">
        <v>0.00012</v>
      </c>
      <c r="T186" s="39" t="n">
        <v>0.91855</v>
      </c>
      <c r="U186" s="40" t="n">
        <v>5E-005</v>
      </c>
      <c r="V186" s="39" t="n">
        <v>0.87315</v>
      </c>
      <c r="W186" s="40" t="n">
        <v>8E-005</v>
      </c>
      <c r="X186" s="39" t="n">
        <v>0.90741</v>
      </c>
      <c r="Y186" s="40" t="n">
        <v>4E-005</v>
      </c>
    </row>
    <row r="187" customFormat="false" ht="15" hidden="false" customHeight="false" outlineLevel="0" collapsed="false">
      <c r="A187" s="38" t="n">
        <v>242</v>
      </c>
      <c r="B187" s="39" t="n">
        <v>0.9491</v>
      </c>
      <c r="C187" s="40" t="n">
        <v>3E-005</v>
      </c>
      <c r="D187" s="39" t="n">
        <v>1.05288</v>
      </c>
      <c r="E187" s="40" t="n">
        <v>7E-005</v>
      </c>
      <c r="F187" s="39" t="n">
        <v>0.9498</v>
      </c>
      <c r="G187" s="40" t="n">
        <v>0.0001</v>
      </c>
      <c r="H187" s="39" t="n">
        <v>0.95485</v>
      </c>
      <c r="I187" s="40" t="n">
        <v>0.00013</v>
      </c>
      <c r="J187" s="39" t="n">
        <v>0.94922</v>
      </c>
      <c r="K187" s="40" t="n">
        <v>7E-005</v>
      </c>
      <c r="L187" s="39" t="n">
        <v>0.97069</v>
      </c>
      <c r="M187" s="40" t="n">
        <v>7E-005</v>
      </c>
      <c r="N187" s="39" t="n">
        <v>0.87112</v>
      </c>
      <c r="O187" s="40" t="n">
        <v>8E-005</v>
      </c>
      <c r="P187" s="39" t="n">
        <v>0.9322</v>
      </c>
      <c r="Q187" s="40" t="n">
        <v>7E-005</v>
      </c>
      <c r="R187" s="39" t="n">
        <v>0.86691</v>
      </c>
      <c r="S187" s="40" t="n">
        <v>0.00012</v>
      </c>
      <c r="T187" s="39" t="n">
        <v>0.91796</v>
      </c>
      <c r="U187" s="40" t="n">
        <v>5E-005</v>
      </c>
      <c r="V187" s="39" t="n">
        <v>0.87204</v>
      </c>
      <c r="W187" s="40" t="n">
        <v>8E-005</v>
      </c>
      <c r="X187" s="39" t="n">
        <v>0.90699</v>
      </c>
      <c r="Y187" s="40" t="n">
        <v>4E-005</v>
      </c>
    </row>
    <row r="188" customFormat="false" ht="15" hidden="false" customHeight="false" outlineLevel="0" collapsed="false">
      <c r="A188" s="38" t="n">
        <v>243</v>
      </c>
      <c r="B188" s="39" t="n">
        <v>0.94871</v>
      </c>
      <c r="C188" s="40" t="n">
        <v>3E-005</v>
      </c>
      <c r="D188" s="39" t="n">
        <v>1.05172</v>
      </c>
      <c r="E188" s="40" t="n">
        <v>5E-005</v>
      </c>
      <c r="F188" s="39" t="n">
        <v>0.94864</v>
      </c>
      <c r="G188" s="40" t="n">
        <v>0.00011</v>
      </c>
      <c r="H188" s="39" t="n">
        <v>0.9535</v>
      </c>
      <c r="I188" s="40" t="n">
        <v>0.00013</v>
      </c>
      <c r="J188" s="39" t="n">
        <v>0.94857</v>
      </c>
      <c r="K188" s="40" t="n">
        <v>8E-005</v>
      </c>
      <c r="L188" s="39" t="n">
        <v>0.96985</v>
      </c>
      <c r="M188" s="40" t="n">
        <v>7E-005</v>
      </c>
      <c r="N188" s="39" t="n">
        <v>0.8701</v>
      </c>
      <c r="O188" s="40" t="n">
        <v>7E-005</v>
      </c>
      <c r="P188" s="39" t="n">
        <v>0.93165</v>
      </c>
      <c r="Q188" s="40" t="n">
        <v>6E-005</v>
      </c>
      <c r="R188" s="39" t="n">
        <v>0.86552</v>
      </c>
      <c r="S188" s="40" t="n">
        <v>0.00012</v>
      </c>
      <c r="T188" s="39" t="n">
        <v>0.91749</v>
      </c>
      <c r="U188" s="40" t="n">
        <v>5E-005</v>
      </c>
      <c r="V188" s="39" t="n">
        <v>0.87107</v>
      </c>
      <c r="W188" s="40" t="n">
        <v>8E-005</v>
      </c>
      <c r="X188" s="39" t="n">
        <v>0.90671</v>
      </c>
      <c r="Y188" s="40" t="n">
        <v>4E-005</v>
      </c>
    </row>
    <row r="189" customFormat="false" ht="15" hidden="false" customHeight="false" outlineLevel="0" collapsed="false">
      <c r="A189" s="38" t="n">
        <v>244</v>
      </c>
      <c r="B189" s="39" t="n">
        <v>0.94824</v>
      </c>
      <c r="C189" s="40" t="n">
        <v>3E-005</v>
      </c>
      <c r="D189" s="39" t="n">
        <v>1.05113</v>
      </c>
      <c r="E189" s="40" t="n">
        <v>5E-005</v>
      </c>
      <c r="F189" s="39" t="n">
        <v>0.94761</v>
      </c>
      <c r="G189" s="40" t="n">
        <v>0.00011</v>
      </c>
      <c r="H189" s="39" t="n">
        <v>0.95201</v>
      </c>
      <c r="I189" s="40" t="n">
        <v>0.00012</v>
      </c>
      <c r="J189" s="39" t="n">
        <v>0.94762</v>
      </c>
      <c r="K189" s="40" t="n">
        <v>8E-005</v>
      </c>
      <c r="L189" s="39" t="n">
        <v>0.96897</v>
      </c>
      <c r="M189" s="40" t="n">
        <v>7E-005</v>
      </c>
      <c r="N189" s="39" t="n">
        <v>0.86932</v>
      </c>
      <c r="O189" s="40" t="n">
        <v>7E-005</v>
      </c>
      <c r="P189" s="39" t="n">
        <v>0.93101</v>
      </c>
      <c r="Q189" s="40" t="n">
        <v>6E-005</v>
      </c>
      <c r="R189" s="39" t="n">
        <v>0.86409</v>
      </c>
      <c r="S189" s="40" t="n">
        <v>0.00012</v>
      </c>
      <c r="T189" s="39" t="n">
        <v>0.91705</v>
      </c>
      <c r="U189" s="40" t="n">
        <v>4E-005</v>
      </c>
      <c r="V189" s="39" t="n">
        <v>0.87009</v>
      </c>
      <c r="W189" s="40" t="n">
        <v>8E-005</v>
      </c>
      <c r="X189" s="39" t="n">
        <v>0.90609</v>
      </c>
      <c r="Y189" s="40" t="n">
        <v>3E-005</v>
      </c>
    </row>
    <row r="190" customFormat="false" ht="15" hidden="false" customHeight="false" outlineLevel="0" collapsed="false">
      <c r="A190" s="38" t="n">
        <v>245</v>
      </c>
      <c r="B190" s="39" t="n">
        <v>0.94763</v>
      </c>
      <c r="C190" s="40" t="n">
        <v>3E-005</v>
      </c>
      <c r="D190" s="39" t="n">
        <v>1.04932</v>
      </c>
      <c r="E190" s="40" t="n">
        <v>7E-005</v>
      </c>
      <c r="F190" s="39" t="n">
        <v>0.94626</v>
      </c>
      <c r="G190" s="40" t="n">
        <v>0.00012</v>
      </c>
      <c r="H190" s="39" t="n">
        <v>0.9507</v>
      </c>
      <c r="I190" s="40" t="n">
        <v>0.00011</v>
      </c>
      <c r="J190" s="39" t="n">
        <v>0.94673</v>
      </c>
      <c r="K190" s="40" t="n">
        <v>7E-005</v>
      </c>
      <c r="L190" s="39" t="n">
        <v>0.96768</v>
      </c>
      <c r="M190" s="40" t="n">
        <v>8E-005</v>
      </c>
      <c r="N190" s="39" t="n">
        <v>0.86903</v>
      </c>
      <c r="O190" s="40" t="n">
        <v>7E-005</v>
      </c>
      <c r="P190" s="39" t="n">
        <v>0.93022</v>
      </c>
      <c r="Q190" s="40" t="n">
        <v>6E-005</v>
      </c>
      <c r="R190" s="39" t="n">
        <v>0.86263</v>
      </c>
      <c r="S190" s="40" t="n">
        <v>0.00012</v>
      </c>
      <c r="T190" s="39" t="n">
        <v>0.91637</v>
      </c>
      <c r="U190" s="40" t="n">
        <v>4E-005</v>
      </c>
      <c r="V190" s="39" t="n">
        <v>0.86922</v>
      </c>
      <c r="W190" s="40" t="n">
        <v>7E-005</v>
      </c>
      <c r="X190" s="39" t="n">
        <v>0.90551</v>
      </c>
      <c r="Y190" s="40" t="n">
        <v>4E-005</v>
      </c>
    </row>
    <row r="191" customFormat="false" ht="15" hidden="false" customHeight="false" outlineLevel="0" collapsed="false">
      <c r="A191" s="38" t="n">
        <v>246</v>
      </c>
      <c r="B191" s="39" t="n">
        <v>0.94738</v>
      </c>
      <c r="C191" s="40" t="n">
        <v>4E-005</v>
      </c>
      <c r="D191" s="39" t="n">
        <v>1.04836</v>
      </c>
      <c r="E191" s="40" t="n">
        <v>0.0001</v>
      </c>
      <c r="F191" s="39" t="n">
        <v>0.94454</v>
      </c>
      <c r="G191" s="40" t="n">
        <v>0.00012</v>
      </c>
      <c r="H191" s="39" t="n">
        <v>0.94943</v>
      </c>
      <c r="I191" s="40" t="n">
        <v>0.00012</v>
      </c>
      <c r="J191" s="39" t="n">
        <v>0.9457</v>
      </c>
      <c r="K191" s="40" t="n">
        <v>8E-005</v>
      </c>
      <c r="L191" s="39" t="n">
        <v>0.96681</v>
      </c>
      <c r="M191" s="40" t="n">
        <v>8E-005</v>
      </c>
      <c r="N191" s="39" t="n">
        <v>0.86759</v>
      </c>
      <c r="O191" s="40" t="n">
        <v>7E-005</v>
      </c>
      <c r="P191" s="39" t="n">
        <v>0.92934</v>
      </c>
      <c r="Q191" s="40" t="n">
        <v>6E-005</v>
      </c>
      <c r="R191" s="39" t="n">
        <v>0.86135</v>
      </c>
      <c r="S191" s="40" t="n">
        <v>0.00012</v>
      </c>
      <c r="T191" s="39" t="n">
        <v>0.91583</v>
      </c>
      <c r="U191" s="40" t="n">
        <v>5E-005</v>
      </c>
      <c r="V191" s="39" t="n">
        <v>0.86832</v>
      </c>
      <c r="W191" s="40" t="n">
        <v>7E-005</v>
      </c>
      <c r="X191" s="39" t="n">
        <v>0.90519</v>
      </c>
      <c r="Y191" s="40" t="n">
        <v>4E-005</v>
      </c>
    </row>
    <row r="192" customFormat="false" ht="15" hidden="false" customHeight="false" outlineLevel="0" collapsed="false">
      <c r="A192" s="38" t="n">
        <v>247</v>
      </c>
      <c r="B192" s="39" t="n">
        <v>0.94717</v>
      </c>
      <c r="C192" s="40" t="n">
        <v>4E-005</v>
      </c>
      <c r="D192" s="39" t="n">
        <v>1.04868</v>
      </c>
      <c r="E192" s="40" t="n">
        <v>0.00013</v>
      </c>
      <c r="F192" s="39" t="n">
        <v>0.94297</v>
      </c>
      <c r="G192" s="40" t="n">
        <v>0.00012</v>
      </c>
      <c r="H192" s="39" t="n">
        <v>0.94791</v>
      </c>
      <c r="I192" s="40" t="n">
        <v>0.00012</v>
      </c>
      <c r="J192" s="39" t="n">
        <v>0.94465</v>
      </c>
      <c r="K192" s="40" t="n">
        <v>8E-005</v>
      </c>
      <c r="L192" s="39" t="n">
        <v>0.96612</v>
      </c>
      <c r="M192" s="40" t="n">
        <v>7E-005</v>
      </c>
      <c r="N192" s="39" t="n">
        <v>0.86704</v>
      </c>
      <c r="O192" s="40" t="n">
        <v>7E-005</v>
      </c>
      <c r="P192" s="39" t="n">
        <v>0.92854</v>
      </c>
      <c r="Q192" s="40" t="n">
        <v>6E-005</v>
      </c>
      <c r="R192" s="39" t="n">
        <v>0.85978</v>
      </c>
      <c r="S192" s="40" t="n">
        <v>0.00012</v>
      </c>
      <c r="T192" s="39" t="n">
        <v>0.91529</v>
      </c>
      <c r="U192" s="40" t="n">
        <v>5E-005</v>
      </c>
      <c r="V192" s="39" t="n">
        <v>0.86763</v>
      </c>
      <c r="W192" s="40" t="n">
        <v>7E-005</v>
      </c>
      <c r="X192" s="39" t="n">
        <v>0.90498</v>
      </c>
      <c r="Y192" s="40" t="n">
        <v>4E-005</v>
      </c>
    </row>
    <row r="193" customFormat="false" ht="15" hidden="false" customHeight="false" outlineLevel="0" collapsed="false">
      <c r="A193" s="38" t="n">
        <v>248</v>
      </c>
      <c r="B193" s="39" t="n">
        <v>0.94667</v>
      </c>
      <c r="C193" s="40" t="n">
        <v>3E-005</v>
      </c>
      <c r="D193" s="39" t="n">
        <v>1.04773</v>
      </c>
      <c r="E193" s="40" t="n">
        <v>0.00013</v>
      </c>
      <c r="F193" s="39" t="n">
        <v>0.94201</v>
      </c>
      <c r="G193" s="40" t="n">
        <v>0.00012</v>
      </c>
      <c r="H193" s="39" t="n">
        <v>0.94668</v>
      </c>
      <c r="I193" s="40" t="n">
        <v>0.00012</v>
      </c>
      <c r="J193" s="39" t="n">
        <v>0.94384</v>
      </c>
      <c r="K193" s="40" t="n">
        <v>8E-005</v>
      </c>
      <c r="L193" s="39" t="n">
        <v>0.96548</v>
      </c>
      <c r="M193" s="40" t="n">
        <v>7E-005</v>
      </c>
      <c r="N193" s="39" t="n">
        <v>0.86636</v>
      </c>
      <c r="O193" s="40" t="n">
        <v>7E-005</v>
      </c>
      <c r="P193" s="39" t="n">
        <v>0.92786</v>
      </c>
      <c r="Q193" s="40" t="n">
        <v>6E-005</v>
      </c>
      <c r="R193" s="39" t="n">
        <v>0.85866</v>
      </c>
      <c r="S193" s="40" t="n">
        <v>0.00012</v>
      </c>
      <c r="T193" s="39" t="n">
        <v>0.9147</v>
      </c>
      <c r="U193" s="40" t="n">
        <v>5E-005</v>
      </c>
      <c r="V193" s="39" t="n">
        <v>0.86672</v>
      </c>
      <c r="W193" s="40" t="n">
        <v>7E-005</v>
      </c>
      <c r="X193" s="39" t="n">
        <v>0.90459</v>
      </c>
      <c r="Y193" s="40" t="n">
        <v>4E-005</v>
      </c>
    </row>
    <row r="194" customFormat="false" ht="15" hidden="false" customHeight="false" outlineLevel="0" collapsed="false">
      <c r="A194" s="38" t="n">
        <v>249</v>
      </c>
      <c r="B194" s="39" t="n">
        <v>0.94628</v>
      </c>
      <c r="C194" s="40" t="n">
        <v>3E-005</v>
      </c>
      <c r="D194" s="39" t="n">
        <v>1.04513</v>
      </c>
      <c r="E194" s="40" t="n">
        <v>0.0001</v>
      </c>
      <c r="F194" s="39" t="n">
        <v>0.94023</v>
      </c>
      <c r="G194" s="40" t="n">
        <v>0.00012</v>
      </c>
      <c r="H194" s="39" t="n">
        <v>0.94503</v>
      </c>
      <c r="I194" s="40" t="n">
        <v>0.00012</v>
      </c>
      <c r="J194" s="39" t="n">
        <v>0.94295</v>
      </c>
      <c r="K194" s="40" t="n">
        <v>8E-005</v>
      </c>
      <c r="L194" s="39" t="n">
        <v>0.96444</v>
      </c>
      <c r="M194" s="40" t="n">
        <v>7E-005</v>
      </c>
      <c r="N194" s="39" t="n">
        <v>0.86536</v>
      </c>
      <c r="O194" s="40" t="n">
        <v>8E-005</v>
      </c>
      <c r="P194" s="39" t="n">
        <v>0.92709</v>
      </c>
      <c r="Q194" s="40" t="n">
        <v>6E-005</v>
      </c>
      <c r="R194" s="39" t="n">
        <v>0.85694</v>
      </c>
      <c r="S194" s="40" t="n">
        <v>0.00011</v>
      </c>
      <c r="T194" s="39" t="n">
        <v>0.9142</v>
      </c>
      <c r="U194" s="40" t="n">
        <v>4E-005</v>
      </c>
      <c r="V194" s="39" t="n">
        <v>0.86569</v>
      </c>
      <c r="W194" s="40" t="n">
        <v>7E-005</v>
      </c>
      <c r="X194" s="39" t="n">
        <v>0.90382</v>
      </c>
      <c r="Y194" s="40" t="n">
        <v>4E-005</v>
      </c>
    </row>
    <row r="195" customFormat="false" ht="15" hidden="false" customHeight="false" outlineLevel="0" collapsed="false">
      <c r="A195" s="38" t="n">
        <v>250</v>
      </c>
      <c r="B195" s="39" t="n">
        <v>0.94545</v>
      </c>
      <c r="C195" s="40" t="n">
        <v>3E-005</v>
      </c>
      <c r="D195" s="39" t="n">
        <v>1.04243</v>
      </c>
      <c r="E195" s="40" t="n">
        <v>0.0001</v>
      </c>
      <c r="F195" s="39" t="n">
        <v>0.93843</v>
      </c>
      <c r="G195" s="40" t="n">
        <v>0.00012</v>
      </c>
      <c r="H195" s="39" t="n">
        <v>0.94337</v>
      </c>
      <c r="I195" s="40" t="n">
        <v>0.00012</v>
      </c>
      <c r="J195" s="39" t="n">
        <v>0.94189</v>
      </c>
      <c r="K195" s="40" t="n">
        <v>8E-005</v>
      </c>
      <c r="L195" s="39" t="n">
        <v>0.96337</v>
      </c>
      <c r="M195" s="40" t="n">
        <v>8E-005</v>
      </c>
      <c r="N195" s="39" t="n">
        <v>0.86421</v>
      </c>
      <c r="O195" s="40" t="n">
        <v>7E-005</v>
      </c>
      <c r="P195" s="39" t="n">
        <v>0.92659</v>
      </c>
      <c r="Q195" s="40" t="n">
        <v>6E-005</v>
      </c>
      <c r="R195" s="39" t="n">
        <v>0.85565</v>
      </c>
      <c r="S195" s="40" t="n">
        <v>0.00012</v>
      </c>
      <c r="T195" s="39" t="n">
        <v>0.91362</v>
      </c>
      <c r="U195" s="40" t="n">
        <v>4E-005</v>
      </c>
      <c r="V195" s="39" t="n">
        <v>0.86478</v>
      </c>
      <c r="W195" s="40" t="n">
        <v>8E-005</v>
      </c>
      <c r="X195" s="39" t="n">
        <v>0.90336</v>
      </c>
      <c r="Y195" s="40" t="n">
        <v>4E-005</v>
      </c>
    </row>
    <row r="196" customFormat="false" ht="15" hidden="false" customHeight="false" outlineLevel="0" collapsed="false">
      <c r="A196" s="38" t="n">
        <v>251</v>
      </c>
      <c r="B196" s="39" t="n">
        <v>0.94517</v>
      </c>
      <c r="C196" s="40" t="n">
        <v>3E-005</v>
      </c>
      <c r="D196" s="39" t="n">
        <v>1.04045</v>
      </c>
      <c r="E196" s="40" t="n">
        <v>0.00012</v>
      </c>
      <c r="F196" s="39" t="n">
        <v>0.93783</v>
      </c>
      <c r="G196" s="40" t="n">
        <v>0.00011</v>
      </c>
      <c r="H196" s="39" t="n">
        <v>0.94237</v>
      </c>
      <c r="I196" s="40" t="n">
        <v>0.00011</v>
      </c>
      <c r="J196" s="39" t="n">
        <v>0.94086</v>
      </c>
      <c r="K196" s="40" t="n">
        <v>8E-005</v>
      </c>
      <c r="L196" s="39" t="n">
        <v>0.96256</v>
      </c>
      <c r="M196" s="40" t="n">
        <v>8E-005</v>
      </c>
      <c r="N196" s="39" t="n">
        <v>0.86338</v>
      </c>
      <c r="O196" s="40" t="n">
        <v>8E-005</v>
      </c>
      <c r="P196" s="39" t="n">
        <v>0.92579</v>
      </c>
      <c r="Q196" s="40" t="n">
        <v>6E-005</v>
      </c>
      <c r="R196" s="39" t="n">
        <v>0.85427</v>
      </c>
      <c r="S196" s="40" t="n">
        <v>0.00012</v>
      </c>
      <c r="T196" s="39" t="n">
        <v>0.91318</v>
      </c>
      <c r="U196" s="40" t="n">
        <v>4E-005</v>
      </c>
      <c r="V196" s="39" t="n">
        <v>0.86394</v>
      </c>
      <c r="W196" s="40" t="n">
        <v>8E-005</v>
      </c>
      <c r="X196" s="39" t="n">
        <v>0.90286</v>
      </c>
      <c r="Y196" s="40" t="n">
        <v>4E-005</v>
      </c>
    </row>
    <row r="197" customFormat="false" ht="15" hidden="false" customHeight="false" outlineLevel="0" collapsed="false">
      <c r="A197" s="38" t="n">
        <v>252</v>
      </c>
      <c r="B197" s="39" t="n">
        <v>0.94534</v>
      </c>
      <c r="C197" s="40" t="n">
        <v>7E-005</v>
      </c>
      <c r="D197" s="39" t="n">
        <v>1.04098</v>
      </c>
      <c r="E197" s="40" t="n">
        <v>0.00013</v>
      </c>
      <c r="F197" s="39" t="n">
        <v>0.93641</v>
      </c>
      <c r="G197" s="40" t="n">
        <v>0.00011</v>
      </c>
      <c r="H197" s="39" t="n">
        <v>0.94093</v>
      </c>
      <c r="I197" s="40" t="n">
        <v>0.00011</v>
      </c>
      <c r="J197" s="39" t="n">
        <v>0.93986</v>
      </c>
      <c r="K197" s="40" t="n">
        <v>8E-005</v>
      </c>
      <c r="L197" s="39" t="n">
        <v>0.96169</v>
      </c>
      <c r="M197" s="40" t="n">
        <v>8E-005</v>
      </c>
      <c r="N197" s="39" t="n">
        <v>0.86253</v>
      </c>
      <c r="O197" s="40" t="n">
        <v>8E-005</v>
      </c>
      <c r="P197" s="39" t="n">
        <v>0.92497</v>
      </c>
      <c r="Q197" s="40" t="n">
        <v>6E-005</v>
      </c>
      <c r="R197" s="39" t="n">
        <v>0.85293</v>
      </c>
      <c r="S197" s="40" t="n">
        <v>0.00012</v>
      </c>
      <c r="T197" s="39" t="n">
        <v>0.9127</v>
      </c>
      <c r="U197" s="40" t="n">
        <v>4E-005</v>
      </c>
      <c r="V197" s="39" t="n">
        <v>0.86292</v>
      </c>
      <c r="W197" s="40" t="n">
        <v>8E-005</v>
      </c>
      <c r="X197" s="39" t="n">
        <v>0.90243</v>
      </c>
      <c r="Y197" s="40" t="n">
        <v>3E-005</v>
      </c>
    </row>
    <row r="198" customFormat="false" ht="15" hidden="false" customHeight="false" outlineLevel="0" collapsed="false">
      <c r="A198" s="38" t="n">
        <v>253</v>
      </c>
      <c r="B198" s="39" t="n">
        <v>0.94512</v>
      </c>
      <c r="C198" s="40" t="n">
        <v>2E-005</v>
      </c>
      <c r="D198" s="39" t="n">
        <v>1.04162</v>
      </c>
      <c r="E198" s="40" t="n">
        <v>9E-005</v>
      </c>
      <c r="F198" s="39" t="n">
        <v>0.93454</v>
      </c>
      <c r="G198" s="40" t="n">
        <v>0.00011</v>
      </c>
      <c r="H198" s="39" t="n">
        <v>0.93961</v>
      </c>
      <c r="I198" s="40" t="n">
        <v>0.00011</v>
      </c>
      <c r="J198" s="39" t="n">
        <v>0.9391</v>
      </c>
      <c r="K198" s="40" t="n">
        <v>8E-005</v>
      </c>
      <c r="L198" s="39" t="n">
        <v>0.96076</v>
      </c>
      <c r="M198" s="40" t="n">
        <v>8E-005</v>
      </c>
      <c r="N198" s="39" t="n">
        <v>0.86148</v>
      </c>
      <c r="O198" s="40" t="n">
        <v>7E-005</v>
      </c>
      <c r="P198" s="39" t="n">
        <v>0.92444</v>
      </c>
      <c r="Q198" s="40" t="n">
        <v>6E-005</v>
      </c>
      <c r="R198" s="39" t="n">
        <v>0.8516</v>
      </c>
      <c r="S198" s="40" t="n">
        <v>0.00012</v>
      </c>
      <c r="T198" s="39" t="n">
        <v>0.91218</v>
      </c>
      <c r="U198" s="40" t="n">
        <v>4E-005</v>
      </c>
      <c r="V198" s="39" t="n">
        <v>0.86212</v>
      </c>
      <c r="W198" s="40" t="n">
        <v>8E-005</v>
      </c>
      <c r="X198" s="39" t="n">
        <v>0.90227</v>
      </c>
      <c r="Y198" s="40" t="n">
        <v>3E-005</v>
      </c>
    </row>
    <row r="199" customFormat="false" ht="15" hidden="false" customHeight="false" outlineLevel="0" collapsed="false">
      <c r="A199" s="38" t="n">
        <v>254</v>
      </c>
      <c r="B199" s="39" t="n">
        <v>0.94435</v>
      </c>
      <c r="C199" s="40" t="n">
        <v>-7E-005</v>
      </c>
      <c r="D199" s="39" t="n">
        <v>1.03909</v>
      </c>
      <c r="E199" s="40" t="n">
        <v>0.00011</v>
      </c>
      <c r="F199" s="39" t="n">
        <v>0.93319</v>
      </c>
      <c r="G199" s="40" t="n">
        <v>0.0001</v>
      </c>
      <c r="H199" s="39" t="n">
        <v>0.93859</v>
      </c>
      <c r="I199" s="40" t="n">
        <v>0.00011</v>
      </c>
      <c r="J199" s="39" t="n">
        <v>0.93794</v>
      </c>
      <c r="K199" s="40" t="n">
        <v>8E-005</v>
      </c>
      <c r="L199" s="39" t="n">
        <v>0.95965</v>
      </c>
      <c r="M199" s="40" t="n">
        <v>8E-005</v>
      </c>
      <c r="N199" s="39" t="n">
        <v>0.8609</v>
      </c>
      <c r="O199" s="40" t="n">
        <v>7E-005</v>
      </c>
      <c r="P199" s="39" t="n">
        <v>0.92359</v>
      </c>
      <c r="Q199" s="40" t="n">
        <v>7E-005</v>
      </c>
      <c r="R199" s="39" t="n">
        <v>0.8499</v>
      </c>
      <c r="S199" s="40" t="n">
        <v>0.00012</v>
      </c>
      <c r="T199" s="39" t="n">
        <v>0.91161</v>
      </c>
      <c r="U199" s="40" t="n">
        <v>4E-005</v>
      </c>
      <c r="V199" s="39" t="n">
        <v>0.86108</v>
      </c>
      <c r="W199" s="40" t="n">
        <v>8E-005</v>
      </c>
      <c r="X199" s="39" t="n">
        <v>0.90167</v>
      </c>
      <c r="Y199" s="40" t="n">
        <v>3E-005</v>
      </c>
    </row>
    <row r="200" customFormat="false" ht="15" hidden="false" customHeight="false" outlineLevel="0" collapsed="false">
      <c r="A200" s="38" t="n">
        <v>255</v>
      </c>
      <c r="B200" s="39" t="n">
        <v>0.94443</v>
      </c>
      <c r="C200" s="40" t="n">
        <v>-0.00012</v>
      </c>
      <c r="D200" s="39" t="n">
        <v>1.03576</v>
      </c>
      <c r="E200" s="40" t="n">
        <v>0.00016</v>
      </c>
      <c r="F200" s="39" t="n">
        <v>0.9325</v>
      </c>
      <c r="G200" s="40" t="n">
        <v>0.00011</v>
      </c>
      <c r="H200" s="39" t="n">
        <v>0.93717</v>
      </c>
      <c r="I200" s="40" t="n">
        <v>0.00011</v>
      </c>
      <c r="J200" s="39" t="n">
        <v>0.93695</v>
      </c>
      <c r="K200" s="40" t="n">
        <v>9E-005</v>
      </c>
      <c r="L200" s="39" t="n">
        <v>0.95889</v>
      </c>
      <c r="M200" s="40" t="n">
        <v>8E-005</v>
      </c>
      <c r="N200" s="39" t="n">
        <v>0.85977</v>
      </c>
      <c r="O200" s="40" t="n">
        <v>8E-005</v>
      </c>
      <c r="P200" s="39" t="n">
        <v>0.92269</v>
      </c>
      <c r="Q200" s="40" t="n">
        <v>7E-005</v>
      </c>
      <c r="R200" s="39" t="n">
        <v>0.84851</v>
      </c>
      <c r="S200" s="40" t="n">
        <v>0.00013</v>
      </c>
      <c r="T200" s="39" t="n">
        <v>0.91107</v>
      </c>
      <c r="U200" s="40" t="n">
        <v>4E-005</v>
      </c>
      <c r="V200" s="39" t="n">
        <v>0.86023</v>
      </c>
      <c r="W200" s="40" t="n">
        <v>8E-005</v>
      </c>
      <c r="X200" s="39" t="n">
        <v>0.90151</v>
      </c>
      <c r="Y200" s="40" t="n">
        <v>3E-005</v>
      </c>
    </row>
    <row r="201" customFormat="false" ht="15" hidden="false" customHeight="false" outlineLevel="0" collapsed="false">
      <c r="A201" s="38" t="n">
        <v>256</v>
      </c>
      <c r="B201" s="39" t="n">
        <v>0.9437</v>
      </c>
      <c r="C201" s="40" t="n">
        <v>-0.00016</v>
      </c>
      <c r="D201" s="39" t="n">
        <v>1.03396</v>
      </c>
      <c r="E201" s="40" t="n">
        <v>0.00022</v>
      </c>
      <c r="F201" s="39" t="n">
        <v>0.93116</v>
      </c>
      <c r="G201" s="40" t="n">
        <v>0.0001</v>
      </c>
      <c r="H201" s="39" t="n">
        <v>0.9357</v>
      </c>
      <c r="I201" s="40" t="n">
        <v>0.00012</v>
      </c>
      <c r="J201" s="39" t="n">
        <v>0.93598</v>
      </c>
      <c r="K201" s="40" t="n">
        <v>9E-005</v>
      </c>
      <c r="L201" s="39" t="n">
        <v>0.95799</v>
      </c>
      <c r="M201" s="40" t="n">
        <v>8E-005</v>
      </c>
      <c r="N201" s="39" t="n">
        <v>0.85876</v>
      </c>
      <c r="O201" s="40" t="n">
        <v>8E-005</v>
      </c>
      <c r="P201" s="39" t="n">
        <v>0.92196</v>
      </c>
      <c r="Q201" s="40" t="n">
        <v>7E-005</v>
      </c>
      <c r="R201" s="39" t="n">
        <v>0.84704</v>
      </c>
      <c r="S201" s="40" t="n">
        <v>0.00013</v>
      </c>
      <c r="T201" s="39" t="n">
        <v>0.91062</v>
      </c>
      <c r="U201" s="40" t="n">
        <v>4E-005</v>
      </c>
      <c r="V201" s="39" t="n">
        <v>0.85926</v>
      </c>
      <c r="W201" s="40" t="n">
        <v>8E-005</v>
      </c>
      <c r="X201" s="39" t="n">
        <v>0.9011</v>
      </c>
      <c r="Y201" s="40" t="n">
        <v>3E-005</v>
      </c>
    </row>
    <row r="202" customFormat="false" ht="15" hidden="false" customHeight="false" outlineLevel="0" collapsed="false">
      <c r="A202" s="38" t="n">
        <v>257</v>
      </c>
      <c r="B202" s="39" t="n">
        <v>0.94883</v>
      </c>
      <c r="C202" s="40" t="n">
        <v>-0.00017</v>
      </c>
      <c r="D202" s="39" t="n">
        <v>1.03251</v>
      </c>
      <c r="E202" s="40" t="n">
        <v>0.00024</v>
      </c>
      <c r="F202" s="39" t="n">
        <v>0.92997</v>
      </c>
      <c r="G202" s="40" t="n">
        <v>0.0001</v>
      </c>
      <c r="H202" s="39" t="n">
        <v>0.93436</v>
      </c>
      <c r="I202" s="40" t="n">
        <v>0.00011</v>
      </c>
      <c r="J202" s="39" t="n">
        <v>0.93472</v>
      </c>
      <c r="K202" s="40" t="n">
        <v>0.0001</v>
      </c>
      <c r="L202" s="39" t="n">
        <v>0.95669</v>
      </c>
      <c r="M202" s="40" t="n">
        <v>8E-005</v>
      </c>
      <c r="N202" s="39" t="n">
        <v>0.85804</v>
      </c>
      <c r="O202" s="40" t="n">
        <v>8E-005</v>
      </c>
      <c r="P202" s="39" t="n">
        <v>0.92114</v>
      </c>
      <c r="Q202" s="40" t="n">
        <v>7E-005</v>
      </c>
      <c r="R202" s="39" t="n">
        <v>0.84553</v>
      </c>
      <c r="S202" s="40" t="n">
        <v>0.00013</v>
      </c>
      <c r="T202" s="39" t="n">
        <v>0.90993</v>
      </c>
      <c r="U202" s="40" t="n">
        <v>4E-005</v>
      </c>
      <c r="V202" s="39" t="n">
        <v>0.8582</v>
      </c>
      <c r="W202" s="40" t="n">
        <v>9E-005</v>
      </c>
      <c r="X202" s="39" t="n">
        <v>0.90074</v>
      </c>
      <c r="Y202" s="40" t="n">
        <v>3E-005</v>
      </c>
    </row>
    <row r="203" customFormat="false" ht="15" hidden="false" customHeight="false" outlineLevel="0" collapsed="false">
      <c r="A203" s="38" t="n">
        <v>258</v>
      </c>
      <c r="B203" s="39" t="n">
        <v>0.95504</v>
      </c>
      <c r="C203" s="40" t="n">
        <v>-0.00015</v>
      </c>
      <c r="D203" s="39" t="n">
        <v>1.02967</v>
      </c>
      <c r="E203" s="40" t="n">
        <v>0.00022</v>
      </c>
      <c r="F203" s="39" t="n">
        <v>0.92866</v>
      </c>
      <c r="G203" s="40" t="n">
        <v>0.0001</v>
      </c>
      <c r="H203" s="39" t="n">
        <v>0.93296</v>
      </c>
      <c r="I203" s="40" t="n">
        <v>0.00011</v>
      </c>
      <c r="J203" s="39" t="n">
        <v>0.93355</v>
      </c>
      <c r="K203" s="40" t="n">
        <v>0.0001</v>
      </c>
      <c r="L203" s="39" t="n">
        <v>0.95567</v>
      </c>
      <c r="M203" s="40" t="n">
        <v>9E-005</v>
      </c>
      <c r="N203" s="39" t="n">
        <v>0.85715</v>
      </c>
      <c r="O203" s="40" t="n">
        <v>8E-005</v>
      </c>
      <c r="P203" s="39" t="n">
        <v>0.92</v>
      </c>
      <c r="Q203" s="40" t="n">
        <v>7E-005</v>
      </c>
      <c r="R203" s="39" t="n">
        <v>0.84393</v>
      </c>
      <c r="S203" s="40" t="n">
        <v>0.00012</v>
      </c>
      <c r="T203" s="39" t="n">
        <v>0.9096</v>
      </c>
      <c r="U203" s="40" t="n">
        <v>4E-005</v>
      </c>
      <c r="V203" s="39" t="n">
        <v>0.85716</v>
      </c>
      <c r="W203" s="40" t="n">
        <v>9E-005</v>
      </c>
      <c r="X203" s="39" t="n">
        <v>0.90047</v>
      </c>
      <c r="Y203" s="40" t="n">
        <v>2E-005</v>
      </c>
    </row>
    <row r="204" customFormat="false" ht="15" hidden="false" customHeight="false" outlineLevel="0" collapsed="false">
      <c r="A204" s="38" t="n">
        <v>259</v>
      </c>
      <c r="B204" s="39" t="n">
        <v>0.95398</v>
      </c>
      <c r="C204" s="40" t="n">
        <v>-0.00011</v>
      </c>
      <c r="D204" s="39" t="n">
        <v>1.02503</v>
      </c>
      <c r="E204" s="40" t="n">
        <v>0.00024</v>
      </c>
      <c r="F204" s="39" t="n">
        <v>0.92751</v>
      </c>
      <c r="G204" s="40" t="n">
        <v>0.00011</v>
      </c>
      <c r="H204" s="39" t="n">
        <v>0.93157</v>
      </c>
      <c r="I204" s="40" t="n">
        <v>0.00011</v>
      </c>
      <c r="J204" s="39" t="n">
        <v>0.93235</v>
      </c>
      <c r="K204" s="40" t="n">
        <v>0.0001</v>
      </c>
      <c r="L204" s="39" t="n">
        <v>0.95467</v>
      </c>
      <c r="M204" s="40" t="n">
        <v>9E-005</v>
      </c>
      <c r="N204" s="39" t="n">
        <v>0.85583</v>
      </c>
      <c r="O204" s="40" t="n">
        <v>8E-005</v>
      </c>
      <c r="P204" s="39" t="n">
        <v>0.91918</v>
      </c>
      <c r="Q204" s="40" t="n">
        <v>8E-005</v>
      </c>
      <c r="R204" s="39" t="n">
        <v>0.84243</v>
      </c>
      <c r="S204" s="40" t="n">
        <v>0.00012</v>
      </c>
      <c r="T204" s="39" t="n">
        <v>0.90927</v>
      </c>
      <c r="U204" s="40" t="n">
        <v>4E-005</v>
      </c>
      <c r="V204" s="39" t="n">
        <v>0.85617</v>
      </c>
      <c r="W204" s="40" t="n">
        <v>9E-005</v>
      </c>
      <c r="X204" s="39" t="n">
        <v>0.90025</v>
      </c>
      <c r="Y204" s="40" t="n">
        <v>2E-005</v>
      </c>
    </row>
    <row r="205" customFormat="false" ht="15" hidden="false" customHeight="false" outlineLevel="0" collapsed="false">
      <c r="A205" s="38" t="n">
        <v>260</v>
      </c>
      <c r="B205" s="39" t="n">
        <v>0.95371</v>
      </c>
      <c r="C205" s="40" t="n">
        <v>-5E-005</v>
      </c>
      <c r="D205" s="39" t="n">
        <v>1.02261</v>
      </c>
      <c r="E205" s="40" t="n">
        <v>0.00031</v>
      </c>
      <c r="F205" s="39" t="n">
        <v>0.9264</v>
      </c>
      <c r="G205" s="40" t="n">
        <v>0.0001</v>
      </c>
      <c r="H205" s="39" t="n">
        <v>0.93034</v>
      </c>
      <c r="I205" s="40" t="n">
        <v>0.0001</v>
      </c>
      <c r="J205" s="39" t="n">
        <v>0.93106</v>
      </c>
      <c r="K205" s="40" t="n">
        <v>0.0001</v>
      </c>
      <c r="L205" s="39" t="n">
        <v>0.9538</v>
      </c>
      <c r="M205" s="40" t="n">
        <v>9E-005</v>
      </c>
      <c r="N205" s="39" t="n">
        <v>0.85462</v>
      </c>
      <c r="O205" s="40" t="n">
        <v>8E-005</v>
      </c>
      <c r="P205" s="39" t="n">
        <v>0.91858</v>
      </c>
      <c r="Q205" s="40" t="n">
        <v>8E-005</v>
      </c>
      <c r="R205" s="39" t="n">
        <v>0.84113</v>
      </c>
      <c r="S205" s="40" t="n">
        <v>0.00012</v>
      </c>
      <c r="T205" s="39" t="n">
        <v>0.9088</v>
      </c>
      <c r="U205" s="40" t="n">
        <v>4E-005</v>
      </c>
      <c r="V205" s="39" t="n">
        <v>0.85499</v>
      </c>
      <c r="W205" s="40" t="n">
        <v>8E-005</v>
      </c>
      <c r="X205" s="39" t="n">
        <v>0.89987</v>
      </c>
      <c r="Y205" s="40" t="n">
        <v>2E-005</v>
      </c>
    </row>
    <row r="206" customFormat="false" ht="15" hidden="false" customHeight="false" outlineLevel="0" collapsed="false">
      <c r="A206" s="38" t="n">
        <v>261</v>
      </c>
      <c r="B206" s="39" t="n">
        <v>0.95288</v>
      </c>
      <c r="C206" s="40" t="n">
        <v>2E-005</v>
      </c>
      <c r="D206" s="39" t="n">
        <v>1.0197</v>
      </c>
      <c r="E206" s="40" t="n">
        <v>0.00031</v>
      </c>
      <c r="F206" s="39" t="n">
        <v>0.9248</v>
      </c>
      <c r="G206" s="40" t="n">
        <v>9E-005</v>
      </c>
      <c r="H206" s="39" t="n">
        <v>0.9293</v>
      </c>
      <c r="I206" s="40" t="n">
        <v>0.0001</v>
      </c>
      <c r="J206" s="39" t="n">
        <v>0.93001</v>
      </c>
      <c r="K206" s="40" t="n">
        <v>0.0001</v>
      </c>
      <c r="L206" s="39" t="n">
        <v>0.95249</v>
      </c>
      <c r="M206" s="40" t="n">
        <v>9E-005</v>
      </c>
      <c r="N206" s="39" t="n">
        <v>0.85383</v>
      </c>
      <c r="O206" s="40" t="n">
        <v>9E-005</v>
      </c>
      <c r="P206" s="39" t="n">
        <v>0.91755</v>
      </c>
      <c r="Q206" s="40" t="n">
        <v>8E-005</v>
      </c>
      <c r="R206" s="39" t="n">
        <v>0.8397</v>
      </c>
      <c r="S206" s="40" t="n">
        <v>0.00012</v>
      </c>
      <c r="T206" s="39" t="n">
        <v>0.90839</v>
      </c>
      <c r="U206" s="40" t="n">
        <v>4E-005</v>
      </c>
      <c r="V206" s="39" t="n">
        <v>0.85399</v>
      </c>
      <c r="W206" s="40" t="n">
        <v>8E-005</v>
      </c>
      <c r="X206" s="39" t="n">
        <v>0.89968</v>
      </c>
      <c r="Y206" s="40" t="n">
        <v>2E-005</v>
      </c>
    </row>
    <row r="207" customFormat="false" ht="15" hidden="false" customHeight="false" outlineLevel="0" collapsed="false">
      <c r="A207" s="38" t="n">
        <v>262</v>
      </c>
      <c r="B207" s="39" t="n">
        <v>0.95229</v>
      </c>
      <c r="C207" s="40" t="n">
        <v>8E-005</v>
      </c>
      <c r="D207" s="39" t="n">
        <v>1.01713</v>
      </c>
      <c r="E207" s="40" t="n">
        <v>0.00031</v>
      </c>
      <c r="F207" s="39" t="n">
        <v>0.92386</v>
      </c>
      <c r="G207" s="40" t="n">
        <v>0.0001</v>
      </c>
      <c r="H207" s="39" t="n">
        <v>0.92831</v>
      </c>
      <c r="I207" s="40" t="n">
        <v>0.0001</v>
      </c>
      <c r="J207" s="39" t="n">
        <v>0.92877</v>
      </c>
      <c r="K207" s="40" t="n">
        <v>0.0001</v>
      </c>
      <c r="L207" s="39" t="n">
        <v>0.95121</v>
      </c>
      <c r="M207" s="40" t="n">
        <v>9E-005</v>
      </c>
      <c r="N207" s="39" t="n">
        <v>0.853</v>
      </c>
      <c r="O207" s="40" t="n">
        <v>0.0001</v>
      </c>
      <c r="P207" s="39" t="n">
        <v>0.91643</v>
      </c>
      <c r="Q207" s="40" t="n">
        <v>9E-005</v>
      </c>
      <c r="R207" s="39" t="n">
        <v>0.83841</v>
      </c>
      <c r="S207" s="40" t="n">
        <v>0.00013</v>
      </c>
      <c r="T207" s="39" t="n">
        <v>0.90791</v>
      </c>
      <c r="U207" s="40" t="n">
        <v>4E-005</v>
      </c>
      <c r="V207" s="39" t="n">
        <v>0.8531</v>
      </c>
      <c r="W207" s="40" t="n">
        <v>8E-005</v>
      </c>
      <c r="X207" s="39" t="n">
        <v>0.89947</v>
      </c>
      <c r="Y207" s="40" t="n">
        <v>2E-005</v>
      </c>
    </row>
    <row r="208" customFormat="false" ht="15" hidden="false" customHeight="false" outlineLevel="0" collapsed="false">
      <c r="A208" s="38" t="n">
        <v>263</v>
      </c>
      <c r="B208" s="39" t="n">
        <v>0.95234</v>
      </c>
      <c r="C208" s="40" t="n">
        <v>2E-005</v>
      </c>
      <c r="D208" s="39" t="n">
        <v>1.01121</v>
      </c>
      <c r="E208" s="40" t="n">
        <v>0.0003</v>
      </c>
      <c r="F208" s="39" t="n">
        <v>0.92273</v>
      </c>
      <c r="G208" s="40" t="n">
        <v>0.0001</v>
      </c>
      <c r="H208" s="39" t="n">
        <v>0.92671</v>
      </c>
      <c r="I208" s="40" t="n">
        <v>0.00011</v>
      </c>
      <c r="J208" s="39" t="n">
        <v>0.92743</v>
      </c>
      <c r="K208" s="40" t="n">
        <v>0.0001</v>
      </c>
      <c r="L208" s="39" t="n">
        <v>0.95009</v>
      </c>
      <c r="M208" s="40" t="n">
        <v>0.0001</v>
      </c>
      <c r="N208" s="39" t="n">
        <v>0.85197</v>
      </c>
      <c r="O208" s="40" t="n">
        <v>0.0001</v>
      </c>
      <c r="P208" s="39" t="n">
        <v>0.91523</v>
      </c>
      <c r="Q208" s="40" t="n">
        <v>9E-005</v>
      </c>
      <c r="R208" s="39" t="n">
        <v>0.83675</v>
      </c>
      <c r="S208" s="40" t="n">
        <v>0.00013</v>
      </c>
      <c r="T208" s="39" t="n">
        <v>0.90733</v>
      </c>
      <c r="U208" s="40" t="n">
        <v>4E-005</v>
      </c>
      <c r="V208" s="39" t="n">
        <v>0.85219</v>
      </c>
      <c r="W208" s="40" t="n">
        <v>8E-005</v>
      </c>
      <c r="X208" s="39" t="n">
        <v>0.89916</v>
      </c>
      <c r="Y208" s="40" t="n">
        <v>3E-005</v>
      </c>
    </row>
    <row r="209" customFormat="false" ht="15" hidden="false" customHeight="false" outlineLevel="0" collapsed="false">
      <c r="A209" s="38" t="n">
        <v>264</v>
      </c>
      <c r="B209" s="39" t="n">
        <v>0.95259</v>
      </c>
      <c r="C209" s="40" t="n">
        <v>2E-005</v>
      </c>
      <c r="D209" s="39" t="n">
        <v>1.00581</v>
      </c>
      <c r="E209" s="40" t="n">
        <v>0.00032</v>
      </c>
      <c r="F209" s="39" t="n">
        <v>0.92178</v>
      </c>
      <c r="G209" s="40" t="n">
        <v>0.0001</v>
      </c>
      <c r="H209" s="39" t="n">
        <v>0.92536</v>
      </c>
      <c r="I209" s="40" t="n">
        <v>0.00011</v>
      </c>
      <c r="J209" s="39" t="n">
        <v>0.92639</v>
      </c>
      <c r="K209" s="40" t="n">
        <v>0.00011</v>
      </c>
      <c r="L209" s="39" t="n">
        <v>0.94905</v>
      </c>
      <c r="M209" s="40" t="n">
        <v>0.0001</v>
      </c>
      <c r="N209" s="39" t="n">
        <v>0.85041</v>
      </c>
      <c r="O209" s="40" t="n">
        <v>0.0001</v>
      </c>
      <c r="P209" s="39" t="n">
        <v>0.91434</v>
      </c>
      <c r="Q209" s="40" t="n">
        <v>0.0001</v>
      </c>
      <c r="R209" s="39" t="n">
        <v>0.83494</v>
      </c>
      <c r="S209" s="40" t="n">
        <v>0.00013</v>
      </c>
      <c r="T209" s="39" t="n">
        <v>0.90677</v>
      </c>
      <c r="U209" s="40" t="n">
        <v>4E-005</v>
      </c>
      <c r="V209" s="39" t="n">
        <v>0.85114</v>
      </c>
      <c r="W209" s="40" t="n">
        <v>8E-005</v>
      </c>
      <c r="X209" s="39" t="n">
        <v>0.8988</v>
      </c>
      <c r="Y209" s="40" t="n">
        <v>3E-005</v>
      </c>
    </row>
    <row r="210" customFormat="false" ht="15" hidden="false" customHeight="false" outlineLevel="0" collapsed="false">
      <c r="A210" s="38" t="n">
        <v>265</v>
      </c>
      <c r="B210" s="39" t="n">
        <v>0.95232</v>
      </c>
      <c r="C210" s="40" t="n">
        <v>1E-005</v>
      </c>
      <c r="D210" s="39" t="n">
        <v>1.00429</v>
      </c>
      <c r="E210" s="40" t="n">
        <v>0.00034</v>
      </c>
      <c r="F210" s="39" t="n">
        <v>0.92062</v>
      </c>
      <c r="G210" s="40" t="n">
        <v>0.0001</v>
      </c>
      <c r="H210" s="39" t="n">
        <v>0.92404</v>
      </c>
      <c r="I210" s="40" t="n">
        <v>0.00011</v>
      </c>
      <c r="J210" s="39" t="n">
        <v>0.92501</v>
      </c>
      <c r="K210" s="40" t="n">
        <v>0.00011</v>
      </c>
      <c r="L210" s="39" t="n">
        <v>0.94778</v>
      </c>
      <c r="M210" s="40" t="n">
        <v>0.0001</v>
      </c>
      <c r="N210" s="39" t="n">
        <v>0.84886</v>
      </c>
      <c r="O210" s="40" t="n">
        <v>0.00011</v>
      </c>
      <c r="P210" s="39" t="n">
        <v>0.913</v>
      </c>
      <c r="Q210" s="40" t="n">
        <v>0.0001</v>
      </c>
      <c r="R210" s="39" t="n">
        <v>0.83331</v>
      </c>
      <c r="S210" s="40" t="n">
        <v>0.00013</v>
      </c>
      <c r="T210" s="39" t="n">
        <v>0.90617</v>
      </c>
      <c r="U210" s="40" t="n">
        <v>4E-005</v>
      </c>
      <c r="V210" s="39" t="n">
        <v>0.85</v>
      </c>
      <c r="W210" s="40" t="n">
        <v>8E-005</v>
      </c>
      <c r="X210" s="39" t="n">
        <v>0.89849</v>
      </c>
      <c r="Y210" s="40" t="n">
        <v>3E-005</v>
      </c>
    </row>
    <row r="211" customFormat="false" ht="15" hidden="false" customHeight="false" outlineLevel="0" collapsed="false">
      <c r="A211" s="38" t="n">
        <v>266</v>
      </c>
      <c r="B211" s="39" t="n">
        <v>0.95211</v>
      </c>
      <c r="C211" s="40" t="n">
        <v>2E-005</v>
      </c>
      <c r="D211" s="39" t="n">
        <v>1.00115</v>
      </c>
      <c r="E211" s="40" t="n">
        <v>0.00037</v>
      </c>
      <c r="F211" s="39" t="n">
        <v>0.91884</v>
      </c>
      <c r="G211" s="40" t="n">
        <v>0.00011</v>
      </c>
      <c r="H211" s="39" t="n">
        <v>0.92276</v>
      </c>
      <c r="I211" s="40" t="n">
        <v>0.00011</v>
      </c>
      <c r="J211" s="39" t="n">
        <v>0.92346</v>
      </c>
      <c r="K211" s="40" t="n">
        <v>0.00013</v>
      </c>
      <c r="L211" s="39" t="n">
        <v>0.94666</v>
      </c>
      <c r="M211" s="40" t="n">
        <v>0.0001</v>
      </c>
      <c r="N211" s="39" t="n">
        <v>0.84735</v>
      </c>
      <c r="O211" s="40" t="n">
        <v>0.00011</v>
      </c>
      <c r="P211" s="39" t="n">
        <v>0.91151</v>
      </c>
      <c r="Q211" s="40" t="n">
        <v>0.0001</v>
      </c>
      <c r="R211" s="39" t="n">
        <v>0.83187</v>
      </c>
      <c r="S211" s="40" t="n">
        <v>0.00014</v>
      </c>
      <c r="T211" s="39" t="n">
        <v>0.90578</v>
      </c>
      <c r="U211" s="40" t="n">
        <v>4E-005</v>
      </c>
      <c r="V211" s="39" t="n">
        <v>0.84904</v>
      </c>
      <c r="W211" s="40" t="n">
        <v>9E-005</v>
      </c>
      <c r="X211" s="39" t="n">
        <v>0.8982</v>
      </c>
      <c r="Y211" s="40" t="n">
        <v>2E-005</v>
      </c>
    </row>
    <row r="212" customFormat="false" ht="15" hidden="false" customHeight="false" outlineLevel="0" collapsed="false">
      <c r="A212" s="38" t="n">
        <v>267</v>
      </c>
      <c r="B212" s="39" t="n">
        <v>0.95157</v>
      </c>
      <c r="C212" s="40" t="n">
        <v>2E-005</v>
      </c>
      <c r="D212" s="39" t="n">
        <v>0.99563</v>
      </c>
      <c r="E212" s="40" t="n">
        <v>0.00038</v>
      </c>
      <c r="F212" s="39" t="n">
        <v>0.91779</v>
      </c>
      <c r="G212" s="40" t="n">
        <v>0.00011</v>
      </c>
      <c r="H212" s="39" t="n">
        <v>0.92141</v>
      </c>
      <c r="I212" s="40" t="n">
        <v>0.0001</v>
      </c>
      <c r="J212" s="39" t="n">
        <v>0.92207</v>
      </c>
      <c r="K212" s="40" t="n">
        <v>0.00013</v>
      </c>
      <c r="L212" s="39" t="n">
        <v>0.94534</v>
      </c>
      <c r="M212" s="40" t="n">
        <v>0.00011</v>
      </c>
      <c r="N212" s="39" t="n">
        <v>0.84634</v>
      </c>
      <c r="O212" s="40" t="n">
        <v>0.00011</v>
      </c>
      <c r="P212" s="39" t="n">
        <v>0.91059</v>
      </c>
      <c r="Q212" s="40" t="n">
        <v>0.00011</v>
      </c>
      <c r="R212" s="39" t="n">
        <v>0.83048</v>
      </c>
      <c r="S212" s="40" t="n">
        <v>0.00013</v>
      </c>
      <c r="T212" s="39" t="n">
        <v>0.90548</v>
      </c>
      <c r="U212" s="40" t="n">
        <v>4E-005</v>
      </c>
      <c r="V212" s="39" t="n">
        <v>0.84815</v>
      </c>
      <c r="W212" s="40" t="n">
        <v>9E-005</v>
      </c>
      <c r="X212" s="39" t="n">
        <v>0.89773</v>
      </c>
      <c r="Y212" s="40" t="n">
        <v>2E-005</v>
      </c>
    </row>
    <row r="213" customFormat="false" ht="15" hidden="false" customHeight="false" outlineLevel="0" collapsed="false">
      <c r="A213" s="38" t="n">
        <v>268</v>
      </c>
      <c r="B213" s="39" t="n">
        <v>0.95107</v>
      </c>
      <c r="C213" s="40" t="n">
        <v>3E-005</v>
      </c>
      <c r="D213" s="39" t="n">
        <v>0.99131</v>
      </c>
      <c r="E213" s="40" t="n">
        <v>0.00042</v>
      </c>
      <c r="F213" s="39" t="n">
        <v>0.91658</v>
      </c>
      <c r="G213" s="40" t="n">
        <v>0.0001</v>
      </c>
      <c r="H213" s="39" t="n">
        <v>0.92027</v>
      </c>
      <c r="I213" s="40" t="n">
        <v>0.00011</v>
      </c>
      <c r="J213" s="39" t="n">
        <v>0.92044</v>
      </c>
      <c r="K213" s="40" t="n">
        <v>0.00013</v>
      </c>
      <c r="L213" s="39" t="n">
        <v>0.94394</v>
      </c>
      <c r="M213" s="40" t="n">
        <v>0.00011</v>
      </c>
      <c r="N213" s="39" t="n">
        <v>0.84524</v>
      </c>
      <c r="O213" s="40" t="n">
        <v>0.00011</v>
      </c>
      <c r="P213" s="39" t="n">
        <v>0.90927</v>
      </c>
      <c r="Q213" s="40" t="n">
        <v>0.00011</v>
      </c>
      <c r="R213" s="39" t="n">
        <v>0.82883</v>
      </c>
      <c r="S213" s="40" t="n">
        <v>0.00013</v>
      </c>
      <c r="T213" s="39" t="n">
        <v>0.90498</v>
      </c>
      <c r="U213" s="40" t="n">
        <v>4E-005</v>
      </c>
      <c r="V213" s="39" t="n">
        <v>0.84707</v>
      </c>
      <c r="W213" s="40" t="n">
        <v>9E-005</v>
      </c>
      <c r="X213" s="39" t="n">
        <v>0.89733</v>
      </c>
      <c r="Y213" s="40" t="n">
        <v>2E-005</v>
      </c>
    </row>
    <row r="214" customFormat="false" ht="15" hidden="false" customHeight="false" outlineLevel="0" collapsed="false">
      <c r="A214" s="38" t="n">
        <v>269</v>
      </c>
      <c r="B214" s="39" t="n">
        <v>0.95105</v>
      </c>
      <c r="C214" s="40" t="n">
        <v>2E-005</v>
      </c>
      <c r="D214" s="39" t="n">
        <v>0.98468</v>
      </c>
      <c r="E214" s="40" t="n">
        <v>0.0005</v>
      </c>
      <c r="F214" s="39" t="n">
        <v>0.91529</v>
      </c>
      <c r="G214" s="40" t="n">
        <v>0.00011</v>
      </c>
      <c r="H214" s="39" t="n">
        <v>0.91926</v>
      </c>
      <c r="I214" s="40" t="n">
        <v>0.00011</v>
      </c>
      <c r="J214" s="39" t="n">
        <v>0.91876</v>
      </c>
      <c r="K214" s="40" t="n">
        <v>0.00014</v>
      </c>
      <c r="L214" s="39" t="n">
        <v>0.94257</v>
      </c>
      <c r="M214" s="40" t="n">
        <v>0.00012</v>
      </c>
      <c r="N214" s="39" t="n">
        <v>0.84373</v>
      </c>
      <c r="O214" s="40" t="n">
        <v>0.00012</v>
      </c>
      <c r="P214" s="39" t="n">
        <v>0.90787</v>
      </c>
      <c r="Q214" s="40" t="n">
        <v>0.00011</v>
      </c>
      <c r="R214" s="39" t="n">
        <v>0.82692</v>
      </c>
      <c r="S214" s="40" t="n">
        <v>0.00013</v>
      </c>
      <c r="T214" s="39" t="n">
        <v>0.9046</v>
      </c>
      <c r="U214" s="40" t="n">
        <v>4E-005</v>
      </c>
      <c r="V214" s="39" t="n">
        <v>0.8459</v>
      </c>
      <c r="W214" s="40" t="n">
        <v>9E-005</v>
      </c>
      <c r="X214" s="39" t="n">
        <v>0.89751</v>
      </c>
      <c r="Y214" s="40" t="n">
        <v>2E-005</v>
      </c>
    </row>
    <row r="215" customFormat="false" ht="15" hidden="false" customHeight="false" outlineLevel="0" collapsed="false">
      <c r="A215" s="38" t="n">
        <v>270</v>
      </c>
      <c r="B215" s="39" t="n">
        <v>0.95071</v>
      </c>
      <c r="C215" s="40" t="n">
        <v>2E-005</v>
      </c>
      <c r="D215" s="39" t="n">
        <v>0.97796</v>
      </c>
      <c r="E215" s="40" t="n">
        <v>0.00056</v>
      </c>
      <c r="F215" s="39" t="n">
        <v>0.91409</v>
      </c>
      <c r="G215" s="40" t="n">
        <v>0.0001</v>
      </c>
      <c r="H215" s="39" t="n">
        <v>0.9178</v>
      </c>
      <c r="I215" s="40" t="n">
        <v>0.0001</v>
      </c>
      <c r="J215" s="39" t="n">
        <v>0.91681</v>
      </c>
      <c r="K215" s="40" t="n">
        <v>0.00014</v>
      </c>
      <c r="L215" s="39" t="n">
        <v>0.94127</v>
      </c>
      <c r="M215" s="40" t="n">
        <v>0.00013</v>
      </c>
      <c r="N215" s="39" t="n">
        <v>0.84224</v>
      </c>
      <c r="O215" s="40" t="n">
        <v>0.00013</v>
      </c>
      <c r="P215" s="39" t="n">
        <v>0.90651</v>
      </c>
      <c r="Q215" s="40" t="n">
        <v>0.00011</v>
      </c>
      <c r="R215" s="39" t="n">
        <v>0.82526</v>
      </c>
      <c r="S215" s="40" t="n">
        <v>0.00013</v>
      </c>
      <c r="T215" s="39" t="n">
        <v>0.904</v>
      </c>
      <c r="U215" s="40" t="n">
        <v>4E-005</v>
      </c>
      <c r="V215" s="39" t="n">
        <v>0.84488</v>
      </c>
      <c r="W215" s="40" t="n">
        <v>9E-005</v>
      </c>
      <c r="X215" s="39" t="n">
        <v>0.89738</v>
      </c>
      <c r="Y215" s="40" t="n">
        <v>2E-005</v>
      </c>
    </row>
    <row r="216" customFormat="false" ht="15" hidden="false" customHeight="false" outlineLevel="0" collapsed="false">
      <c r="A216" s="38" t="n">
        <v>271</v>
      </c>
      <c r="B216" s="39" t="n">
        <v>0.95082</v>
      </c>
      <c r="C216" s="40" t="n">
        <v>2E-005</v>
      </c>
      <c r="D216" s="39" t="n">
        <v>0.97194</v>
      </c>
      <c r="E216" s="40" t="n">
        <v>0.0006</v>
      </c>
      <c r="F216" s="39" t="n">
        <v>0.91272</v>
      </c>
      <c r="G216" s="40" t="n">
        <v>0.0001</v>
      </c>
      <c r="H216" s="39" t="n">
        <v>0.91631</v>
      </c>
      <c r="I216" s="40" t="n">
        <v>0.0001</v>
      </c>
      <c r="J216" s="39" t="n">
        <v>0.91535</v>
      </c>
      <c r="K216" s="40" t="n">
        <v>0.00015</v>
      </c>
      <c r="L216" s="39" t="n">
        <v>0.93959</v>
      </c>
      <c r="M216" s="40" t="n">
        <v>0.00013</v>
      </c>
      <c r="N216" s="39" t="n">
        <v>0.84048</v>
      </c>
      <c r="O216" s="40" t="n">
        <v>0.00015</v>
      </c>
      <c r="P216" s="39" t="n">
        <v>0.90505</v>
      </c>
      <c r="Q216" s="40" t="n">
        <v>0.00012</v>
      </c>
      <c r="R216" s="39" t="n">
        <v>0.82391</v>
      </c>
      <c r="S216" s="40" t="n">
        <v>0.00013</v>
      </c>
      <c r="T216" s="39" t="n">
        <v>0.90357</v>
      </c>
      <c r="U216" s="40" t="n">
        <v>4E-005</v>
      </c>
      <c r="V216" s="39" t="n">
        <v>0.84387</v>
      </c>
      <c r="W216" s="40" t="n">
        <v>9E-005</v>
      </c>
      <c r="X216" s="39" t="n">
        <v>0.89695</v>
      </c>
      <c r="Y216" s="40" t="n">
        <v>2E-005</v>
      </c>
    </row>
    <row r="217" customFormat="false" ht="15" hidden="false" customHeight="false" outlineLevel="0" collapsed="false">
      <c r="A217" s="38" t="n">
        <v>272</v>
      </c>
      <c r="B217" s="39" t="n">
        <v>0.95047</v>
      </c>
      <c r="C217" s="40" t="n">
        <v>2E-005</v>
      </c>
      <c r="D217" s="39" t="n">
        <v>0.9651</v>
      </c>
      <c r="E217" s="40" t="n">
        <v>0.00063</v>
      </c>
      <c r="F217" s="39" t="n">
        <v>0.91188</v>
      </c>
      <c r="G217" s="40" t="n">
        <v>0.0001</v>
      </c>
      <c r="H217" s="39" t="n">
        <v>0.91509</v>
      </c>
      <c r="I217" s="40" t="n">
        <v>0.00011</v>
      </c>
      <c r="J217" s="39" t="n">
        <v>0.91388</v>
      </c>
      <c r="K217" s="40" t="n">
        <v>0.00015</v>
      </c>
      <c r="L217" s="39" t="n">
        <v>0.93798</v>
      </c>
      <c r="M217" s="40" t="n">
        <v>0.00013</v>
      </c>
      <c r="N217" s="39" t="n">
        <v>0.83861</v>
      </c>
      <c r="O217" s="40" t="n">
        <v>0.00016</v>
      </c>
      <c r="P217" s="39" t="n">
        <v>0.9035</v>
      </c>
      <c r="Q217" s="40" t="n">
        <v>0.00013</v>
      </c>
      <c r="R217" s="39" t="n">
        <v>0.82248</v>
      </c>
      <c r="S217" s="40" t="n">
        <v>0.00013</v>
      </c>
      <c r="T217" s="39" t="n">
        <v>0.903</v>
      </c>
      <c r="U217" s="40" t="n">
        <v>4E-005</v>
      </c>
      <c r="V217" s="39" t="n">
        <v>0.84264</v>
      </c>
      <c r="W217" s="40" t="n">
        <v>9E-005</v>
      </c>
      <c r="X217" s="39" t="n">
        <v>0.89673</v>
      </c>
      <c r="Y217" s="40" t="n">
        <v>2E-005</v>
      </c>
    </row>
    <row r="218" customFormat="false" ht="15" hidden="false" customHeight="false" outlineLevel="0" collapsed="false">
      <c r="A218" s="38" t="n">
        <v>273</v>
      </c>
      <c r="B218" s="39" t="n">
        <v>0.95017</v>
      </c>
      <c r="C218" s="40" t="n">
        <v>3E-005</v>
      </c>
      <c r="D218" s="39" t="n">
        <v>0.95706</v>
      </c>
      <c r="E218" s="40" t="n">
        <v>0.00065</v>
      </c>
      <c r="F218" s="39" t="n">
        <v>0.91019</v>
      </c>
      <c r="G218" s="40" t="n">
        <v>9E-005</v>
      </c>
      <c r="H218" s="39" t="n">
        <v>0.91396</v>
      </c>
      <c r="I218" s="40" t="n">
        <v>0.00011</v>
      </c>
      <c r="J218" s="39" t="n">
        <v>0.91177</v>
      </c>
      <c r="K218" s="40" t="n">
        <v>0.00016</v>
      </c>
      <c r="L218" s="39" t="n">
        <v>0.93629</v>
      </c>
      <c r="M218" s="40" t="n">
        <v>0.00014</v>
      </c>
      <c r="N218" s="39" t="n">
        <v>0.83673</v>
      </c>
      <c r="O218" s="40" t="n">
        <v>0.00016</v>
      </c>
      <c r="P218" s="39" t="n">
        <v>0.90224</v>
      </c>
      <c r="Q218" s="40" t="n">
        <v>0.00013</v>
      </c>
      <c r="R218" s="39" t="n">
        <v>0.82066</v>
      </c>
      <c r="S218" s="40" t="n">
        <v>0.00013</v>
      </c>
      <c r="T218" s="39" t="n">
        <v>0.90251</v>
      </c>
      <c r="U218" s="40" t="n">
        <v>4E-005</v>
      </c>
      <c r="V218" s="39" t="n">
        <v>0.84153</v>
      </c>
      <c r="W218" s="40" t="n">
        <v>9E-005</v>
      </c>
      <c r="X218" s="39" t="n">
        <v>0.89642</v>
      </c>
      <c r="Y218" s="40" t="n">
        <v>3E-005</v>
      </c>
    </row>
    <row r="219" customFormat="false" ht="15" hidden="false" customHeight="false" outlineLevel="0" collapsed="false">
      <c r="A219" s="38" t="n">
        <v>274</v>
      </c>
      <c r="B219" s="39" t="n">
        <v>0.94976</v>
      </c>
      <c r="C219" s="40" t="n">
        <v>3E-005</v>
      </c>
      <c r="D219" s="39" t="n">
        <v>0.94749</v>
      </c>
      <c r="E219" s="40" t="n">
        <v>0.00068</v>
      </c>
      <c r="F219" s="39" t="n">
        <v>0.90933</v>
      </c>
      <c r="G219" s="40" t="n">
        <v>9E-005</v>
      </c>
      <c r="H219" s="39" t="n">
        <v>0.91282</v>
      </c>
      <c r="I219" s="40" t="n">
        <v>0.0001</v>
      </c>
      <c r="J219" s="39" t="n">
        <v>0.90944</v>
      </c>
      <c r="K219" s="40" t="n">
        <v>0.00016</v>
      </c>
      <c r="L219" s="39" t="n">
        <v>0.93443</v>
      </c>
      <c r="M219" s="40" t="n">
        <v>0.00015</v>
      </c>
      <c r="N219" s="39" t="n">
        <v>0.8344</v>
      </c>
      <c r="O219" s="40" t="n">
        <v>0.00016</v>
      </c>
      <c r="P219" s="39" t="n">
        <v>0.90048</v>
      </c>
      <c r="Q219" s="40" t="n">
        <v>0.00014</v>
      </c>
      <c r="R219" s="39" t="n">
        <v>0.81912</v>
      </c>
      <c r="S219" s="40" t="n">
        <v>0.00014</v>
      </c>
      <c r="T219" s="39" t="n">
        <v>0.90209</v>
      </c>
      <c r="U219" s="40" t="n">
        <v>3E-005</v>
      </c>
      <c r="V219" s="39" t="n">
        <v>0.84038</v>
      </c>
      <c r="W219" s="40" t="n">
        <v>9E-005</v>
      </c>
      <c r="X219" s="39" t="n">
        <v>0.89606</v>
      </c>
      <c r="Y219" s="40" t="n">
        <v>3E-005</v>
      </c>
    </row>
    <row r="220" customFormat="false" ht="15" hidden="false" customHeight="false" outlineLevel="0" collapsed="false">
      <c r="A220" s="38" t="n">
        <v>275</v>
      </c>
      <c r="B220" s="39" t="n">
        <v>0.94942</v>
      </c>
      <c r="C220" s="40" t="n">
        <v>3E-005</v>
      </c>
      <c r="D220" s="39" t="n">
        <v>0.93936</v>
      </c>
      <c r="E220" s="40" t="n">
        <v>0.00075</v>
      </c>
      <c r="F220" s="39" t="n">
        <v>0.90805</v>
      </c>
      <c r="G220" s="40" t="n">
        <v>9E-005</v>
      </c>
      <c r="H220" s="39" t="n">
        <v>0.91143</v>
      </c>
      <c r="I220" s="40" t="n">
        <v>0.00011</v>
      </c>
      <c r="J220" s="39" t="n">
        <v>0.90765</v>
      </c>
      <c r="K220" s="40" t="n">
        <v>0.00018</v>
      </c>
      <c r="L220" s="39" t="n">
        <v>0.93285</v>
      </c>
      <c r="M220" s="40" t="n">
        <v>0.00016</v>
      </c>
      <c r="N220" s="39" t="n">
        <v>0.83246</v>
      </c>
      <c r="O220" s="40" t="n">
        <v>0.00017</v>
      </c>
      <c r="P220" s="39" t="n">
        <v>0.89857</v>
      </c>
      <c r="Q220" s="40" t="n">
        <v>0.00015</v>
      </c>
      <c r="R220" s="39" t="n">
        <v>0.81747</v>
      </c>
      <c r="S220" s="40" t="n">
        <v>0.00014</v>
      </c>
      <c r="T220" s="39" t="n">
        <v>0.90176</v>
      </c>
      <c r="U220" s="40" t="n">
        <v>3E-005</v>
      </c>
      <c r="V220" s="39" t="n">
        <v>0.83938</v>
      </c>
      <c r="W220" s="40" t="n">
        <v>9E-005</v>
      </c>
      <c r="X220" s="39" t="n">
        <v>0.89575</v>
      </c>
      <c r="Y220" s="40" t="n">
        <v>3E-005</v>
      </c>
    </row>
    <row r="221" customFormat="false" ht="15" hidden="false" customHeight="false" outlineLevel="0" collapsed="false">
      <c r="A221" s="38" t="n">
        <v>276</v>
      </c>
      <c r="B221" s="39" t="n">
        <v>0.94886</v>
      </c>
      <c r="C221" s="40" t="n">
        <v>3E-005</v>
      </c>
      <c r="D221" s="39" t="n">
        <v>0.93134</v>
      </c>
      <c r="E221" s="40" t="n">
        <v>0.00079</v>
      </c>
      <c r="F221" s="39" t="n">
        <v>0.90712</v>
      </c>
      <c r="G221" s="40" t="n">
        <v>9E-005</v>
      </c>
      <c r="H221" s="39" t="n">
        <v>0.91002</v>
      </c>
      <c r="I221" s="40" t="n">
        <v>0.00011</v>
      </c>
      <c r="J221" s="39" t="n">
        <v>0.90558</v>
      </c>
      <c r="K221" s="40" t="n">
        <v>0.00019</v>
      </c>
      <c r="L221" s="39" t="n">
        <v>0.93113</v>
      </c>
      <c r="M221" s="40" t="n">
        <v>0.00016</v>
      </c>
      <c r="N221" s="39" t="n">
        <v>0.83064</v>
      </c>
      <c r="O221" s="40" t="n">
        <v>0.00017</v>
      </c>
      <c r="P221" s="39" t="n">
        <v>0.89679</v>
      </c>
      <c r="Q221" s="40" t="n">
        <v>0.00016</v>
      </c>
      <c r="R221" s="39" t="n">
        <v>0.81584</v>
      </c>
      <c r="S221" s="40" t="n">
        <v>0.00014</v>
      </c>
      <c r="T221" s="39" t="n">
        <v>0.9014</v>
      </c>
      <c r="U221" s="40" t="n">
        <v>3E-005</v>
      </c>
      <c r="V221" s="39" t="n">
        <v>0.83829</v>
      </c>
      <c r="W221" s="40" t="n">
        <v>9E-005</v>
      </c>
      <c r="X221" s="39" t="n">
        <v>0.89561</v>
      </c>
      <c r="Y221" s="40" t="n">
        <v>2E-005</v>
      </c>
    </row>
    <row r="222" customFormat="false" ht="15" hidden="false" customHeight="false" outlineLevel="0" collapsed="false">
      <c r="A222" s="38" t="n">
        <v>277</v>
      </c>
      <c r="B222" s="39" t="n">
        <v>0.94848</v>
      </c>
      <c r="C222" s="40" t="n">
        <v>3E-005</v>
      </c>
      <c r="D222" s="39" t="n">
        <v>0.92222</v>
      </c>
      <c r="E222" s="40" t="n">
        <v>0.00082</v>
      </c>
      <c r="F222" s="39" t="n">
        <v>0.90626</v>
      </c>
      <c r="G222" s="40" t="n">
        <v>0.0001</v>
      </c>
      <c r="H222" s="39" t="n">
        <v>0.90872</v>
      </c>
      <c r="I222" s="40" t="n">
        <v>0.00011</v>
      </c>
      <c r="J222" s="39" t="n">
        <v>0.90317</v>
      </c>
      <c r="K222" s="40" t="n">
        <v>0.00019</v>
      </c>
      <c r="L222" s="39" t="n">
        <v>0.92869</v>
      </c>
      <c r="M222" s="40" t="n">
        <v>0.00017</v>
      </c>
      <c r="N222" s="39" t="n">
        <v>0.8288</v>
      </c>
      <c r="O222" s="40" t="n">
        <v>0.00018</v>
      </c>
      <c r="P222" s="39" t="n">
        <v>0.8948</v>
      </c>
      <c r="Q222" s="40" t="n">
        <v>0.00017</v>
      </c>
      <c r="R222" s="39" t="n">
        <v>0.81401</v>
      </c>
      <c r="S222" s="40" t="n">
        <v>0.00014</v>
      </c>
      <c r="T222" s="39" t="n">
        <v>0.90098</v>
      </c>
      <c r="U222" s="40" t="n">
        <v>3E-005</v>
      </c>
      <c r="V222" s="39" t="n">
        <v>0.83711</v>
      </c>
      <c r="W222" s="40" t="n">
        <v>9E-005</v>
      </c>
      <c r="X222" s="39" t="n">
        <v>0.89504</v>
      </c>
      <c r="Y222" s="40" t="n">
        <v>3E-005</v>
      </c>
    </row>
    <row r="223" customFormat="false" ht="15" hidden="false" customHeight="false" outlineLevel="0" collapsed="false">
      <c r="A223" s="38" t="n">
        <v>278</v>
      </c>
      <c r="B223" s="39" t="n">
        <v>0.94846</v>
      </c>
      <c r="C223" s="40" t="n">
        <v>3E-005</v>
      </c>
      <c r="D223" s="39" t="n">
        <v>0.91062</v>
      </c>
      <c r="E223" s="40" t="n">
        <v>0.00091</v>
      </c>
      <c r="F223" s="39" t="n">
        <v>0.90505</v>
      </c>
      <c r="G223" s="40" t="n">
        <v>0.0001</v>
      </c>
      <c r="H223" s="39" t="n">
        <v>0.90742</v>
      </c>
      <c r="I223" s="40" t="n">
        <v>0.00012</v>
      </c>
      <c r="J223" s="39" t="n">
        <v>0.90108</v>
      </c>
      <c r="K223" s="40" t="n">
        <v>0.0002</v>
      </c>
      <c r="L223" s="39" t="n">
        <v>0.92682</v>
      </c>
      <c r="M223" s="40" t="n">
        <v>0.00018</v>
      </c>
      <c r="N223" s="39" t="n">
        <v>0.82642</v>
      </c>
      <c r="O223" s="40" t="n">
        <v>0.00019</v>
      </c>
      <c r="P223" s="39" t="n">
        <v>0.89281</v>
      </c>
      <c r="Q223" s="40" t="n">
        <v>0.00017</v>
      </c>
      <c r="R223" s="39" t="n">
        <v>0.81219</v>
      </c>
      <c r="S223" s="40" t="n">
        <v>0.00015</v>
      </c>
      <c r="T223" s="39" t="n">
        <v>0.90066</v>
      </c>
      <c r="U223" s="40" t="n">
        <v>4E-005</v>
      </c>
      <c r="V223" s="39" t="n">
        <v>0.83596</v>
      </c>
      <c r="W223" s="40" t="n">
        <v>9E-005</v>
      </c>
      <c r="X223" s="39" t="n">
        <v>0.89474</v>
      </c>
      <c r="Y223" s="40" t="n">
        <v>3E-005</v>
      </c>
    </row>
    <row r="224" customFormat="false" ht="15" hidden="false" customHeight="false" outlineLevel="0" collapsed="false">
      <c r="A224" s="38" t="n">
        <v>279</v>
      </c>
      <c r="B224" s="39" t="n">
        <v>0.94814</v>
      </c>
      <c r="C224" s="40" t="n">
        <v>4E-005</v>
      </c>
      <c r="D224" s="39" t="n">
        <v>0.89888</v>
      </c>
      <c r="E224" s="40" t="n">
        <v>0.00102</v>
      </c>
      <c r="F224" s="39" t="n">
        <v>0.90367</v>
      </c>
      <c r="G224" s="40" t="n">
        <v>0.0001</v>
      </c>
      <c r="H224" s="39" t="n">
        <v>0.90575</v>
      </c>
      <c r="I224" s="40" t="n">
        <v>0.00012</v>
      </c>
      <c r="J224" s="39" t="n">
        <v>0.89844</v>
      </c>
      <c r="K224" s="40" t="n">
        <v>0.00022</v>
      </c>
      <c r="L224" s="39" t="n">
        <v>0.92462</v>
      </c>
      <c r="M224" s="40" t="n">
        <v>0.00019</v>
      </c>
      <c r="N224" s="39" t="n">
        <v>0.824</v>
      </c>
      <c r="O224" s="40" t="n">
        <v>0.0002</v>
      </c>
      <c r="P224" s="39" t="n">
        <v>0.89069</v>
      </c>
      <c r="Q224" s="40" t="n">
        <v>0.00017</v>
      </c>
      <c r="R224" s="39" t="n">
        <v>0.81032</v>
      </c>
      <c r="S224" s="40" t="n">
        <v>0.00015</v>
      </c>
      <c r="T224" s="39" t="n">
        <v>0.90012</v>
      </c>
      <c r="U224" s="40" t="n">
        <v>4E-005</v>
      </c>
      <c r="V224" s="39" t="n">
        <v>0.83512</v>
      </c>
      <c r="W224" s="40" t="n">
        <v>9E-005</v>
      </c>
      <c r="X224" s="39" t="n">
        <v>0.89453</v>
      </c>
      <c r="Y224" s="40" t="n">
        <v>2E-005</v>
      </c>
    </row>
    <row r="225" customFormat="false" ht="15" hidden="false" customHeight="false" outlineLevel="0" collapsed="false">
      <c r="A225" s="38" t="n">
        <v>280</v>
      </c>
      <c r="B225" s="39" t="n">
        <v>0.94758</v>
      </c>
      <c r="C225" s="40" t="n">
        <v>4E-005</v>
      </c>
      <c r="D225" s="39" t="n">
        <v>0.8864</v>
      </c>
      <c r="E225" s="40" t="n">
        <v>0.00111</v>
      </c>
      <c r="F225" s="39" t="n">
        <v>0.9022</v>
      </c>
      <c r="G225" s="40" t="n">
        <v>0.0001</v>
      </c>
      <c r="H225" s="39" t="n">
        <v>0.90455</v>
      </c>
      <c r="I225" s="40" t="n">
        <v>0.00011</v>
      </c>
      <c r="J225" s="39" t="n">
        <v>0.89586</v>
      </c>
      <c r="K225" s="40" t="n">
        <v>0.00023</v>
      </c>
      <c r="L225" s="39" t="n">
        <v>0.92256</v>
      </c>
      <c r="M225" s="40" t="n">
        <v>0.0002</v>
      </c>
      <c r="N225" s="39" t="n">
        <v>0.82129</v>
      </c>
      <c r="O225" s="40" t="n">
        <v>0.00021</v>
      </c>
      <c r="P225" s="39" t="n">
        <v>0.88867</v>
      </c>
      <c r="Q225" s="40" t="n">
        <v>0.00018</v>
      </c>
      <c r="R225" s="39" t="n">
        <v>0.80879</v>
      </c>
      <c r="S225" s="40" t="n">
        <v>0.00015</v>
      </c>
      <c r="T225" s="39" t="n">
        <v>0.89957</v>
      </c>
      <c r="U225" s="40" t="n">
        <v>4E-005</v>
      </c>
      <c r="V225" s="39" t="n">
        <v>0.83388</v>
      </c>
      <c r="W225" s="40" t="n">
        <v>0.0001</v>
      </c>
      <c r="X225" s="39" t="n">
        <v>0.89441</v>
      </c>
      <c r="Y225" s="40" t="n">
        <v>2E-005</v>
      </c>
    </row>
    <row r="226" customFormat="false" ht="15" hidden="false" customHeight="false" outlineLevel="0" collapsed="false">
      <c r="A226" s="38" t="n">
        <v>281</v>
      </c>
      <c r="B226" s="39" t="n">
        <v>0.94711</v>
      </c>
      <c r="C226" s="40" t="n">
        <v>4E-005</v>
      </c>
      <c r="D226" s="39" t="n">
        <v>0.87421</v>
      </c>
      <c r="E226" s="40" t="n">
        <v>0.0012</v>
      </c>
      <c r="F226" s="39" t="n">
        <v>0.90092</v>
      </c>
      <c r="G226" s="40" t="n">
        <v>0.0001</v>
      </c>
      <c r="H226" s="39" t="n">
        <v>0.90331</v>
      </c>
      <c r="I226" s="40" t="n">
        <v>0.00012</v>
      </c>
      <c r="J226" s="39" t="n">
        <v>0.89289</v>
      </c>
      <c r="K226" s="40" t="n">
        <v>0.00024</v>
      </c>
      <c r="L226" s="39" t="n">
        <v>0.92013</v>
      </c>
      <c r="M226" s="40" t="n">
        <v>0.0002</v>
      </c>
      <c r="N226" s="39" t="n">
        <v>0.81859</v>
      </c>
      <c r="O226" s="40" t="n">
        <v>0.00022</v>
      </c>
      <c r="P226" s="39" t="n">
        <v>0.88643</v>
      </c>
      <c r="Q226" s="40" t="n">
        <v>0.00018</v>
      </c>
      <c r="R226" s="39" t="n">
        <v>0.807</v>
      </c>
      <c r="S226" s="40" t="n">
        <v>0.00014</v>
      </c>
      <c r="T226" s="39" t="n">
        <v>0.89905</v>
      </c>
      <c r="U226" s="40" t="n">
        <v>4E-005</v>
      </c>
      <c r="V226" s="39" t="n">
        <v>0.83246</v>
      </c>
      <c r="W226" s="40" t="n">
        <v>0.0001</v>
      </c>
      <c r="X226" s="39" t="n">
        <v>0.89394</v>
      </c>
      <c r="Y226" s="40" t="n">
        <v>2E-005</v>
      </c>
    </row>
    <row r="227" customFormat="false" ht="15" hidden="false" customHeight="false" outlineLevel="0" collapsed="false">
      <c r="A227" s="38" t="n">
        <v>282</v>
      </c>
      <c r="B227" s="39" t="n">
        <v>0.94621</v>
      </c>
      <c r="C227" s="40" t="n">
        <v>5E-005</v>
      </c>
      <c r="D227" s="39" t="n">
        <v>0.85731</v>
      </c>
      <c r="E227" s="40" t="n">
        <v>0.00125</v>
      </c>
      <c r="F227" s="39" t="n">
        <v>0.90001</v>
      </c>
      <c r="G227" s="40" t="n">
        <v>0.0001</v>
      </c>
      <c r="H227" s="39" t="n">
        <v>0.90169</v>
      </c>
      <c r="I227" s="40" t="n">
        <v>0.00012</v>
      </c>
      <c r="J227" s="39" t="n">
        <v>0.88996</v>
      </c>
      <c r="K227" s="40" t="n">
        <v>0.00025</v>
      </c>
      <c r="L227" s="39" t="n">
        <v>0.9173</v>
      </c>
      <c r="M227" s="40" t="n">
        <v>0.00021</v>
      </c>
      <c r="N227" s="39" t="n">
        <v>0.81627</v>
      </c>
      <c r="O227" s="40" t="n">
        <v>0.00023</v>
      </c>
      <c r="P227" s="39" t="n">
        <v>0.88433</v>
      </c>
      <c r="Q227" s="40" t="n">
        <v>0.00019</v>
      </c>
      <c r="R227" s="39" t="n">
        <v>0.8052</v>
      </c>
      <c r="S227" s="40" t="n">
        <v>0.00014</v>
      </c>
      <c r="T227" s="39" t="n">
        <v>0.89867</v>
      </c>
      <c r="U227" s="40" t="n">
        <v>4E-005</v>
      </c>
      <c r="V227" s="39" t="n">
        <v>0.83136</v>
      </c>
      <c r="W227" s="40" t="n">
        <v>0.0001</v>
      </c>
      <c r="X227" s="39" t="n">
        <v>0.89356</v>
      </c>
      <c r="Y227" s="40" t="n">
        <v>2E-005</v>
      </c>
    </row>
    <row r="228" customFormat="false" ht="15" hidden="false" customHeight="false" outlineLevel="0" collapsed="false">
      <c r="A228" s="38" t="n">
        <v>283</v>
      </c>
      <c r="B228" s="39" t="n">
        <v>0.94595</v>
      </c>
      <c r="C228" s="40" t="n">
        <v>4E-005</v>
      </c>
      <c r="D228" s="39" t="n">
        <v>0.84115</v>
      </c>
      <c r="E228" s="40" t="n">
        <v>0.00134</v>
      </c>
      <c r="F228" s="39" t="n">
        <v>0.89888</v>
      </c>
      <c r="G228" s="40" t="n">
        <v>8E-005</v>
      </c>
      <c r="H228" s="39" t="n">
        <v>0.90022</v>
      </c>
      <c r="I228" s="40" t="n">
        <v>0.00013</v>
      </c>
      <c r="J228" s="39" t="n">
        <v>0.88692</v>
      </c>
      <c r="K228" s="40" t="n">
        <v>0.00026</v>
      </c>
      <c r="L228" s="39" t="n">
        <v>0.91496</v>
      </c>
      <c r="M228" s="40" t="n">
        <v>0.00022</v>
      </c>
      <c r="N228" s="39" t="n">
        <v>0.81347</v>
      </c>
      <c r="O228" s="40" t="n">
        <v>0.00023</v>
      </c>
      <c r="P228" s="39" t="n">
        <v>0.88196</v>
      </c>
      <c r="Q228" s="40" t="n">
        <v>0.00019</v>
      </c>
      <c r="R228" s="39" t="n">
        <v>0.80354</v>
      </c>
      <c r="S228" s="40" t="n">
        <v>0.00014</v>
      </c>
      <c r="T228" s="39" t="n">
        <v>0.89831</v>
      </c>
      <c r="U228" s="40" t="n">
        <v>4E-005</v>
      </c>
      <c r="V228" s="39" t="n">
        <v>0.83033</v>
      </c>
      <c r="W228" s="40" t="n">
        <v>0.0001</v>
      </c>
      <c r="X228" s="39" t="n">
        <v>0.89347</v>
      </c>
      <c r="Y228" s="40" t="n">
        <v>3E-005</v>
      </c>
    </row>
    <row r="229" customFormat="false" ht="15" hidden="false" customHeight="false" outlineLevel="0" collapsed="false">
      <c r="A229" s="38" t="n">
        <v>284</v>
      </c>
      <c r="B229" s="39" t="n">
        <v>0.94542</v>
      </c>
      <c r="C229" s="40" t="n">
        <v>4E-005</v>
      </c>
      <c r="D229" s="39" t="n">
        <v>0.82593</v>
      </c>
      <c r="E229" s="40" t="n">
        <v>0.00147</v>
      </c>
      <c r="F229" s="39" t="n">
        <v>0.89806</v>
      </c>
      <c r="G229" s="40" t="n">
        <v>8E-005</v>
      </c>
      <c r="H229" s="39" t="n">
        <v>0.89879</v>
      </c>
      <c r="I229" s="40" t="n">
        <v>0.00013</v>
      </c>
      <c r="J229" s="39" t="n">
        <v>0.88389</v>
      </c>
      <c r="K229" s="40" t="n">
        <v>0.00027</v>
      </c>
      <c r="L229" s="39" t="n">
        <v>0.9124</v>
      </c>
      <c r="M229" s="40" t="n">
        <v>0.00023</v>
      </c>
      <c r="N229" s="39" t="n">
        <v>0.81081</v>
      </c>
      <c r="O229" s="40" t="n">
        <v>0.00023</v>
      </c>
      <c r="P229" s="39" t="n">
        <v>0.87964</v>
      </c>
      <c r="Q229" s="40" t="n">
        <v>0.0002</v>
      </c>
      <c r="R229" s="39" t="n">
        <v>0.80174</v>
      </c>
      <c r="S229" s="40" t="n">
        <v>0.00014</v>
      </c>
      <c r="T229" s="39" t="n">
        <v>0.89776</v>
      </c>
      <c r="U229" s="40" t="n">
        <v>4E-005</v>
      </c>
      <c r="V229" s="39" t="n">
        <v>0.82896</v>
      </c>
      <c r="W229" s="40" t="n">
        <v>0.0001</v>
      </c>
      <c r="X229" s="39" t="n">
        <v>0.89308</v>
      </c>
      <c r="Y229" s="40" t="n">
        <v>3E-005</v>
      </c>
    </row>
    <row r="230" customFormat="false" ht="15" hidden="false" customHeight="false" outlineLevel="0" collapsed="false">
      <c r="A230" s="38" t="n">
        <v>285</v>
      </c>
      <c r="B230" s="39" t="n">
        <v>0.94503</v>
      </c>
      <c r="C230" s="40" t="n">
        <v>4E-005</v>
      </c>
      <c r="D230" s="39" t="n">
        <v>0.80784</v>
      </c>
      <c r="E230" s="40" t="n">
        <v>0.00158</v>
      </c>
      <c r="F230" s="39" t="n">
        <v>0.89666</v>
      </c>
      <c r="G230" s="40" t="n">
        <v>8E-005</v>
      </c>
      <c r="H230" s="39" t="n">
        <v>0.89715</v>
      </c>
      <c r="I230" s="40" t="n">
        <v>0.00013</v>
      </c>
      <c r="J230" s="39" t="n">
        <v>0.88047</v>
      </c>
      <c r="K230" s="40" t="n">
        <v>0.00028</v>
      </c>
      <c r="L230" s="39" t="n">
        <v>0.90958</v>
      </c>
      <c r="M230" s="40" t="n">
        <v>0.00023</v>
      </c>
      <c r="N230" s="39" t="n">
        <v>0.80789</v>
      </c>
      <c r="O230" s="40" t="n">
        <v>0.00024</v>
      </c>
      <c r="P230" s="39" t="n">
        <v>0.87716</v>
      </c>
      <c r="Q230" s="40" t="n">
        <v>0.00021</v>
      </c>
      <c r="R230" s="39" t="n">
        <v>0.80017</v>
      </c>
      <c r="S230" s="40" t="n">
        <v>0.00014</v>
      </c>
      <c r="T230" s="39" t="n">
        <v>0.89703</v>
      </c>
      <c r="U230" s="40" t="n">
        <v>4E-005</v>
      </c>
      <c r="V230" s="39" t="n">
        <v>0.82784</v>
      </c>
      <c r="W230" s="40" t="n">
        <v>0.0001</v>
      </c>
      <c r="X230" s="39" t="n">
        <v>0.89258</v>
      </c>
      <c r="Y230" s="40" t="n">
        <v>3E-005</v>
      </c>
    </row>
    <row r="231" customFormat="false" ht="15" hidden="false" customHeight="false" outlineLevel="0" collapsed="false">
      <c r="A231" s="38" t="n">
        <v>286</v>
      </c>
      <c r="B231" s="39" t="n">
        <v>0.94454</v>
      </c>
      <c r="C231" s="40" t="n">
        <v>3E-005</v>
      </c>
      <c r="D231" s="39" t="n">
        <v>0.78901</v>
      </c>
      <c r="E231" s="40" t="n">
        <v>0.00164</v>
      </c>
      <c r="F231" s="39" t="n">
        <v>0.89561</v>
      </c>
      <c r="G231" s="40" t="n">
        <v>9E-005</v>
      </c>
      <c r="H231" s="39" t="n">
        <v>0.89529</v>
      </c>
      <c r="I231" s="40" t="n">
        <v>0.00013</v>
      </c>
      <c r="J231" s="39" t="n">
        <v>0.87697</v>
      </c>
      <c r="K231" s="40" t="n">
        <v>0.0003</v>
      </c>
      <c r="L231" s="39" t="n">
        <v>0.907</v>
      </c>
      <c r="M231" s="40" t="n">
        <v>0.00023</v>
      </c>
      <c r="N231" s="39" t="n">
        <v>0.80465</v>
      </c>
      <c r="O231" s="40" t="n">
        <v>0.00025</v>
      </c>
      <c r="P231" s="39" t="n">
        <v>0.87466</v>
      </c>
      <c r="Q231" s="40" t="n">
        <v>0.00021</v>
      </c>
      <c r="R231" s="39" t="n">
        <v>0.79837</v>
      </c>
      <c r="S231" s="40" t="n">
        <v>0.00015</v>
      </c>
      <c r="T231" s="39" t="n">
        <v>0.8967</v>
      </c>
      <c r="U231" s="40" t="n">
        <v>4E-005</v>
      </c>
      <c r="V231" s="39" t="n">
        <v>0.82677</v>
      </c>
      <c r="W231" s="40" t="n">
        <v>0.0001</v>
      </c>
      <c r="X231" s="39" t="n">
        <v>0.8923</v>
      </c>
      <c r="Y231" s="40" t="n">
        <v>3E-005</v>
      </c>
    </row>
    <row r="232" customFormat="false" ht="15" hidden="false" customHeight="false" outlineLevel="0" collapsed="false">
      <c r="A232" s="38" t="n">
        <v>287</v>
      </c>
      <c r="B232" s="39" t="n">
        <v>0.94428</v>
      </c>
      <c r="C232" s="40" t="n">
        <v>3E-005</v>
      </c>
      <c r="D232" s="39" t="n">
        <v>0.76924</v>
      </c>
      <c r="E232" s="40" t="n">
        <v>0.00173</v>
      </c>
      <c r="F232" s="39" t="n">
        <v>0.89522</v>
      </c>
      <c r="G232" s="40" t="n">
        <v>8E-005</v>
      </c>
      <c r="H232" s="39" t="n">
        <v>0.89383</v>
      </c>
      <c r="I232" s="40" t="n">
        <v>0.00014</v>
      </c>
      <c r="J232" s="39" t="n">
        <v>0.87347</v>
      </c>
      <c r="K232" s="40" t="n">
        <v>0.00031</v>
      </c>
      <c r="L232" s="39" t="n">
        <v>0.90399</v>
      </c>
      <c r="M232" s="40" t="n">
        <v>0.00024</v>
      </c>
      <c r="N232" s="39" t="n">
        <v>0.8019</v>
      </c>
      <c r="O232" s="40" t="n">
        <v>0.00025</v>
      </c>
      <c r="P232" s="39" t="n">
        <v>0.8722</v>
      </c>
      <c r="Q232" s="40" t="n">
        <v>0.00022</v>
      </c>
      <c r="R232" s="39" t="n">
        <v>0.79643</v>
      </c>
      <c r="S232" s="40" t="n">
        <v>0.00015</v>
      </c>
      <c r="T232" s="39" t="n">
        <v>0.89629</v>
      </c>
      <c r="U232" s="40" t="n">
        <v>4E-005</v>
      </c>
      <c r="V232" s="39" t="n">
        <v>0.82552</v>
      </c>
      <c r="W232" s="40" t="n">
        <v>0.0001</v>
      </c>
      <c r="X232" s="39" t="n">
        <v>0.89191</v>
      </c>
      <c r="Y232" s="40" t="n">
        <v>3E-005</v>
      </c>
    </row>
    <row r="233" customFormat="false" ht="15" hidden="false" customHeight="false" outlineLevel="0" collapsed="false">
      <c r="A233" s="38" t="n">
        <v>288</v>
      </c>
      <c r="B233" s="39" t="n">
        <v>0.94372</v>
      </c>
      <c r="C233" s="40" t="n">
        <v>3E-005</v>
      </c>
      <c r="D233" s="39" t="n">
        <v>0.74423</v>
      </c>
      <c r="E233" s="40" t="n">
        <v>0.00185</v>
      </c>
      <c r="F233" s="39" t="n">
        <v>0.89397</v>
      </c>
      <c r="G233" s="40" t="n">
        <v>8E-005</v>
      </c>
      <c r="H233" s="39" t="n">
        <v>0.8924</v>
      </c>
      <c r="I233" s="40" t="n">
        <v>0.00014</v>
      </c>
      <c r="J233" s="39" t="n">
        <v>0.86955</v>
      </c>
      <c r="K233" s="40" t="n">
        <v>0.00032</v>
      </c>
      <c r="L233" s="39" t="n">
        <v>0.9008</v>
      </c>
      <c r="M233" s="40" t="n">
        <v>0.00025</v>
      </c>
      <c r="N233" s="39" t="n">
        <v>0.7992</v>
      </c>
      <c r="O233" s="40" t="n">
        <v>0.00026</v>
      </c>
      <c r="P233" s="39" t="n">
        <v>0.86973</v>
      </c>
      <c r="Q233" s="40" t="n">
        <v>0.00022</v>
      </c>
      <c r="R233" s="39" t="n">
        <v>0.79476</v>
      </c>
      <c r="S233" s="40" t="n">
        <v>0.00016</v>
      </c>
      <c r="T233" s="39" t="n">
        <v>0.89588</v>
      </c>
      <c r="U233" s="40" t="n">
        <v>4E-005</v>
      </c>
      <c r="V233" s="39" t="n">
        <v>0.82422</v>
      </c>
      <c r="W233" s="40" t="n">
        <v>0.0001</v>
      </c>
      <c r="X233" s="39" t="n">
        <v>0.89162</v>
      </c>
      <c r="Y233" s="40" t="n">
        <v>2E-005</v>
      </c>
    </row>
    <row r="234" customFormat="false" ht="15" hidden="false" customHeight="false" outlineLevel="0" collapsed="false">
      <c r="A234" s="38" t="n">
        <v>289</v>
      </c>
      <c r="B234" s="39" t="n">
        <v>0.94354</v>
      </c>
      <c r="C234" s="40" t="n">
        <v>3E-005</v>
      </c>
      <c r="D234" s="39" t="n">
        <v>0.72389</v>
      </c>
      <c r="E234" s="40" t="n">
        <v>0.00191</v>
      </c>
      <c r="F234" s="39" t="n">
        <v>0.89264</v>
      </c>
      <c r="G234" s="40" t="n">
        <v>8E-005</v>
      </c>
      <c r="H234" s="39" t="n">
        <v>0.89062</v>
      </c>
      <c r="I234" s="40" t="n">
        <v>0.00014</v>
      </c>
      <c r="J234" s="39" t="n">
        <v>0.86568</v>
      </c>
      <c r="K234" s="40" t="n">
        <v>0.00033</v>
      </c>
      <c r="L234" s="39" t="n">
        <v>0.89778</v>
      </c>
      <c r="M234" s="40" t="n">
        <v>0.00026</v>
      </c>
      <c r="N234" s="39" t="n">
        <v>0.79566</v>
      </c>
      <c r="O234" s="40" t="n">
        <v>0.00027</v>
      </c>
      <c r="P234" s="39" t="n">
        <v>0.86677</v>
      </c>
      <c r="Q234" s="40" t="n">
        <v>0.00022</v>
      </c>
      <c r="R234" s="39" t="n">
        <v>0.79283</v>
      </c>
      <c r="S234" s="40" t="n">
        <v>0.00016</v>
      </c>
      <c r="T234" s="39" t="n">
        <v>0.89551</v>
      </c>
      <c r="U234" s="40" t="n">
        <v>3E-005</v>
      </c>
      <c r="V234" s="39" t="n">
        <v>0.82305</v>
      </c>
      <c r="W234" s="40" t="n">
        <v>0.0001</v>
      </c>
      <c r="X234" s="39" t="n">
        <v>0.89144</v>
      </c>
      <c r="Y234" s="40" t="n">
        <v>2E-005</v>
      </c>
    </row>
    <row r="235" customFormat="false" ht="15" hidden="false" customHeight="false" outlineLevel="0" collapsed="false">
      <c r="A235" s="38" t="n">
        <v>290</v>
      </c>
      <c r="B235" s="39" t="n">
        <v>0.94334</v>
      </c>
      <c r="C235" s="40" t="n">
        <v>4E-005</v>
      </c>
      <c r="D235" s="39" t="n">
        <v>0.70137</v>
      </c>
      <c r="E235" s="40" t="n">
        <v>0.00196</v>
      </c>
      <c r="F235" s="39" t="n">
        <v>0.89174</v>
      </c>
      <c r="G235" s="40" t="n">
        <v>8E-005</v>
      </c>
      <c r="H235" s="39" t="n">
        <v>0.88874</v>
      </c>
      <c r="I235" s="40" t="n">
        <v>0.00014</v>
      </c>
      <c r="J235" s="39" t="n">
        <v>0.86167</v>
      </c>
      <c r="K235" s="40" t="n">
        <v>0.00034</v>
      </c>
      <c r="L235" s="39" t="n">
        <v>0.8953</v>
      </c>
      <c r="M235" s="40" t="n">
        <v>0.00026</v>
      </c>
      <c r="N235" s="39" t="n">
        <v>0.7923</v>
      </c>
      <c r="O235" s="40" t="n">
        <v>0.00027</v>
      </c>
      <c r="P235" s="39" t="n">
        <v>0.86426</v>
      </c>
      <c r="Q235" s="40" t="n">
        <v>0.00022</v>
      </c>
      <c r="R235" s="39" t="n">
        <v>0.79067</v>
      </c>
      <c r="S235" s="40" t="n">
        <v>0.00016</v>
      </c>
      <c r="T235" s="39" t="n">
        <v>0.89476</v>
      </c>
      <c r="U235" s="40" t="n">
        <v>4E-005</v>
      </c>
      <c r="V235" s="39" t="n">
        <v>0.82183</v>
      </c>
      <c r="W235" s="40" t="n">
        <v>0.0001</v>
      </c>
      <c r="X235" s="39" t="n">
        <v>0.89104</v>
      </c>
      <c r="Y235" s="40" t="n">
        <v>2E-005</v>
      </c>
    </row>
    <row r="236" customFormat="false" ht="15" hidden="false" customHeight="false" outlineLevel="0" collapsed="false">
      <c r="A236" s="38" t="n">
        <v>291</v>
      </c>
      <c r="B236" s="39" t="n">
        <v>0.94251</v>
      </c>
      <c r="C236" s="40" t="n">
        <v>3E-005</v>
      </c>
      <c r="D236" s="39" t="n">
        <v>0.67797</v>
      </c>
      <c r="E236" s="40" t="n">
        <v>0.00198</v>
      </c>
      <c r="F236" s="39" t="n">
        <v>0.89098</v>
      </c>
      <c r="G236" s="40" t="n">
        <v>9E-005</v>
      </c>
      <c r="H236" s="39" t="n">
        <v>0.88697</v>
      </c>
      <c r="I236" s="40" t="n">
        <v>0.00015</v>
      </c>
      <c r="J236" s="39" t="n">
        <v>0.85763</v>
      </c>
      <c r="K236" s="40" t="n">
        <v>0.00035</v>
      </c>
      <c r="L236" s="39" t="n">
        <v>0.89183</v>
      </c>
      <c r="M236" s="40" t="n">
        <v>0.00027</v>
      </c>
      <c r="N236" s="39" t="n">
        <v>0.78928</v>
      </c>
      <c r="O236" s="40" t="n">
        <v>0.00028</v>
      </c>
      <c r="P236" s="39" t="n">
        <v>0.86165</v>
      </c>
      <c r="Q236" s="40" t="n">
        <v>0.00022</v>
      </c>
      <c r="R236" s="39" t="n">
        <v>0.78888</v>
      </c>
      <c r="S236" s="40" t="n">
        <v>0.00016</v>
      </c>
      <c r="T236" s="39" t="n">
        <v>0.89442</v>
      </c>
      <c r="U236" s="40" t="n">
        <v>4E-005</v>
      </c>
      <c r="V236" s="39" t="n">
        <v>0.82069</v>
      </c>
      <c r="W236" s="40" t="n">
        <v>0.0001</v>
      </c>
      <c r="X236" s="39" t="n">
        <v>0.8907</v>
      </c>
      <c r="Y236" s="40" t="n">
        <v>3E-005</v>
      </c>
    </row>
    <row r="237" customFormat="false" ht="15" hidden="false" customHeight="false" outlineLevel="0" collapsed="false">
      <c r="A237" s="38" t="n">
        <v>292</v>
      </c>
      <c r="B237" s="39" t="n">
        <v>0.94258</v>
      </c>
      <c r="C237" s="40" t="n">
        <v>3E-005</v>
      </c>
      <c r="D237" s="39" t="n">
        <v>0.65241</v>
      </c>
      <c r="E237" s="40" t="n">
        <v>0.00197</v>
      </c>
      <c r="F237" s="39" t="n">
        <v>0.89033</v>
      </c>
      <c r="G237" s="40" t="n">
        <v>8E-005</v>
      </c>
      <c r="H237" s="39" t="n">
        <v>0.88511</v>
      </c>
      <c r="I237" s="40" t="n">
        <v>0.00016</v>
      </c>
      <c r="J237" s="39" t="n">
        <v>0.85314</v>
      </c>
      <c r="K237" s="40" t="n">
        <v>0.00037</v>
      </c>
      <c r="L237" s="39" t="n">
        <v>0.88831</v>
      </c>
      <c r="M237" s="40" t="n">
        <v>0.00028</v>
      </c>
      <c r="N237" s="39" t="n">
        <v>0.78575</v>
      </c>
      <c r="O237" s="40" t="n">
        <v>0.00029</v>
      </c>
      <c r="P237" s="39" t="n">
        <v>0.85917</v>
      </c>
      <c r="Q237" s="40" t="n">
        <v>0.00022</v>
      </c>
      <c r="R237" s="39" t="n">
        <v>0.78706</v>
      </c>
      <c r="S237" s="40" t="n">
        <v>0.00016</v>
      </c>
      <c r="T237" s="39" t="n">
        <v>0.89411</v>
      </c>
      <c r="U237" s="40" t="n">
        <v>4E-005</v>
      </c>
      <c r="V237" s="39" t="n">
        <v>0.81951</v>
      </c>
      <c r="W237" s="40" t="n">
        <v>0.0001</v>
      </c>
      <c r="X237" s="39" t="n">
        <v>0.89059</v>
      </c>
      <c r="Y237" s="40" t="n">
        <v>3E-005</v>
      </c>
    </row>
    <row r="238" customFormat="false" ht="15" hidden="false" customHeight="false" outlineLevel="0" collapsed="false">
      <c r="A238" s="38" t="n">
        <v>293</v>
      </c>
      <c r="B238" s="39" t="n">
        <v>0.94174</v>
      </c>
      <c r="C238" s="40" t="n">
        <v>4E-005</v>
      </c>
      <c r="D238" s="39" t="n">
        <v>0.62928</v>
      </c>
      <c r="E238" s="40" t="n">
        <v>0.00199</v>
      </c>
      <c r="F238" s="39" t="n">
        <v>0.88895</v>
      </c>
      <c r="G238" s="40" t="n">
        <v>7E-005</v>
      </c>
      <c r="H238" s="39" t="n">
        <v>0.88327</v>
      </c>
      <c r="I238" s="40" t="n">
        <v>0.00017</v>
      </c>
      <c r="J238" s="39" t="n">
        <v>0.84871</v>
      </c>
      <c r="K238" s="40" t="n">
        <v>0.00038</v>
      </c>
      <c r="L238" s="39" t="n">
        <v>0.88487</v>
      </c>
      <c r="M238" s="40" t="n">
        <v>0.00028</v>
      </c>
      <c r="N238" s="39" t="n">
        <v>0.78237</v>
      </c>
      <c r="O238" s="40" t="n">
        <v>0.00028</v>
      </c>
      <c r="P238" s="39" t="n">
        <v>0.85652</v>
      </c>
      <c r="Q238" s="40" t="n">
        <v>0.00022</v>
      </c>
      <c r="R238" s="39" t="n">
        <v>0.78516</v>
      </c>
      <c r="S238" s="40" t="n">
        <v>0.00015</v>
      </c>
      <c r="T238" s="39" t="n">
        <v>0.89345</v>
      </c>
      <c r="U238" s="40" t="n">
        <v>4E-005</v>
      </c>
      <c r="V238" s="39" t="n">
        <v>0.81808</v>
      </c>
      <c r="W238" s="40" t="n">
        <v>0.00011</v>
      </c>
      <c r="X238" s="39" t="n">
        <v>0.89016</v>
      </c>
      <c r="Y238" s="40" t="n">
        <v>3E-005</v>
      </c>
    </row>
    <row r="239" customFormat="false" ht="15" hidden="false" customHeight="false" outlineLevel="0" collapsed="false">
      <c r="A239" s="38" t="n">
        <v>294</v>
      </c>
      <c r="B239" s="39" t="n">
        <v>0.94112</v>
      </c>
      <c r="C239" s="40" t="n">
        <v>4E-005</v>
      </c>
      <c r="D239" s="39" t="n">
        <v>0.60451</v>
      </c>
      <c r="E239" s="40" t="n">
        <v>0.002</v>
      </c>
      <c r="F239" s="39" t="n">
        <v>0.88783</v>
      </c>
      <c r="G239" s="40" t="n">
        <v>9E-005</v>
      </c>
      <c r="H239" s="39" t="n">
        <v>0.88155</v>
      </c>
      <c r="I239" s="40" t="n">
        <v>0.00017</v>
      </c>
      <c r="J239" s="39" t="n">
        <v>0.84423</v>
      </c>
      <c r="K239" s="40" t="n">
        <v>0.00039</v>
      </c>
      <c r="L239" s="39" t="n">
        <v>0.88169</v>
      </c>
      <c r="M239" s="40" t="n">
        <v>0.00029</v>
      </c>
      <c r="N239" s="39" t="n">
        <v>0.77884</v>
      </c>
      <c r="O239" s="40" t="n">
        <v>0.00028</v>
      </c>
      <c r="P239" s="39" t="n">
        <v>0.85369</v>
      </c>
      <c r="Q239" s="40" t="n">
        <v>0.00023</v>
      </c>
      <c r="R239" s="39" t="n">
        <v>0.78349</v>
      </c>
      <c r="S239" s="40" t="n">
        <v>0.00015</v>
      </c>
      <c r="T239" s="39" t="n">
        <v>0.89277</v>
      </c>
      <c r="U239" s="40" t="n">
        <v>4E-005</v>
      </c>
      <c r="V239" s="39" t="n">
        <v>0.81682</v>
      </c>
      <c r="W239" s="40" t="n">
        <v>0.00011</v>
      </c>
      <c r="X239" s="39" t="n">
        <v>0.88954</v>
      </c>
      <c r="Y239" s="40" t="n">
        <v>3E-005</v>
      </c>
    </row>
    <row r="240" customFormat="false" ht="15" hidden="false" customHeight="false" outlineLevel="0" collapsed="false">
      <c r="A240" s="38" t="n">
        <v>295</v>
      </c>
      <c r="B240" s="39" t="n">
        <v>0.94118</v>
      </c>
      <c r="C240" s="40" t="n">
        <v>3E-005</v>
      </c>
      <c r="D240" s="39" t="n">
        <v>0.58236</v>
      </c>
      <c r="E240" s="40" t="n">
        <v>0.00199</v>
      </c>
      <c r="F240" s="39" t="n">
        <v>0.88676</v>
      </c>
      <c r="G240" s="40" t="n">
        <v>9E-005</v>
      </c>
      <c r="H240" s="39" t="n">
        <v>0.87915</v>
      </c>
      <c r="I240" s="40" t="n">
        <v>0.00018</v>
      </c>
      <c r="J240" s="39" t="n">
        <v>0.83937</v>
      </c>
      <c r="K240" s="40" t="n">
        <v>0.00041</v>
      </c>
      <c r="L240" s="39" t="n">
        <v>0.87832</v>
      </c>
      <c r="M240" s="40" t="n">
        <v>0.00029</v>
      </c>
      <c r="N240" s="39" t="n">
        <v>0.77537</v>
      </c>
      <c r="O240" s="40" t="n">
        <v>0.00029</v>
      </c>
      <c r="P240" s="39" t="n">
        <v>0.85088</v>
      </c>
      <c r="Q240" s="40" t="n">
        <v>0.00023</v>
      </c>
      <c r="R240" s="39" t="n">
        <v>0.78154</v>
      </c>
      <c r="S240" s="40" t="n">
        <v>0.00014</v>
      </c>
      <c r="T240" s="39" t="n">
        <v>0.89236</v>
      </c>
      <c r="U240" s="40" t="n">
        <v>4E-005</v>
      </c>
      <c r="V240" s="39" t="n">
        <v>0.8156</v>
      </c>
      <c r="W240" s="40" t="n">
        <v>0.00011</v>
      </c>
      <c r="X240" s="39" t="n">
        <v>0.88908</v>
      </c>
      <c r="Y240" s="40" t="n">
        <v>3E-005</v>
      </c>
    </row>
    <row r="241" customFormat="false" ht="15" hidden="false" customHeight="false" outlineLevel="0" collapsed="false">
      <c r="A241" s="38" t="n">
        <v>296</v>
      </c>
      <c r="B241" s="39" t="n">
        <v>0.94069</v>
      </c>
      <c r="C241" s="40" t="n">
        <v>4E-005</v>
      </c>
      <c r="D241" s="39" t="n">
        <v>0.55822</v>
      </c>
      <c r="E241" s="40" t="n">
        <v>0.00195</v>
      </c>
      <c r="F241" s="39" t="n">
        <v>0.88598</v>
      </c>
      <c r="G241" s="40" t="n">
        <v>9E-005</v>
      </c>
      <c r="H241" s="39" t="n">
        <v>0.87652</v>
      </c>
      <c r="I241" s="40" t="n">
        <v>0.00019</v>
      </c>
      <c r="J241" s="39" t="n">
        <v>0.83441</v>
      </c>
      <c r="K241" s="40" t="n">
        <v>0.00042</v>
      </c>
      <c r="L241" s="39" t="n">
        <v>0.87457</v>
      </c>
      <c r="M241" s="40" t="n">
        <v>0.00029</v>
      </c>
      <c r="N241" s="39" t="n">
        <v>0.77193</v>
      </c>
      <c r="O241" s="40" t="n">
        <v>0.00029</v>
      </c>
      <c r="P241" s="39" t="n">
        <v>0.84825</v>
      </c>
      <c r="Q241" s="40" t="n">
        <v>0.00024</v>
      </c>
      <c r="R241" s="39" t="n">
        <v>0.77983</v>
      </c>
      <c r="S241" s="40" t="n">
        <v>0.00015</v>
      </c>
      <c r="T241" s="39" t="n">
        <v>0.89184</v>
      </c>
      <c r="U241" s="40" t="n">
        <v>5E-005</v>
      </c>
      <c r="V241" s="39" t="n">
        <v>0.81444</v>
      </c>
      <c r="W241" s="40" t="n">
        <v>0.00011</v>
      </c>
      <c r="X241" s="39" t="n">
        <v>0.88899</v>
      </c>
      <c r="Y241" s="40" t="n">
        <v>3E-005</v>
      </c>
    </row>
    <row r="242" customFormat="false" ht="15" hidden="false" customHeight="false" outlineLevel="0" collapsed="false">
      <c r="A242" s="38" t="n">
        <v>297</v>
      </c>
      <c r="B242" s="39" t="n">
        <v>0.94011</v>
      </c>
      <c r="C242" s="40" t="n">
        <v>4E-005</v>
      </c>
      <c r="D242" s="39" t="n">
        <v>0.53582</v>
      </c>
      <c r="E242" s="40" t="n">
        <v>0.00193</v>
      </c>
      <c r="F242" s="39" t="n">
        <v>0.88527</v>
      </c>
      <c r="G242" s="40" t="n">
        <v>9E-005</v>
      </c>
      <c r="H242" s="39" t="n">
        <v>0.87459</v>
      </c>
      <c r="I242" s="40" t="n">
        <v>0.0002</v>
      </c>
      <c r="J242" s="39" t="n">
        <v>0.82944</v>
      </c>
      <c r="K242" s="40" t="n">
        <v>0.00043</v>
      </c>
      <c r="L242" s="39" t="n">
        <v>0.87123</v>
      </c>
      <c r="M242" s="40" t="n">
        <v>0.00029</v>
      </c>
      <c r="N242" s="39" t="n">
        <v>0.76846</v>
      </c>
      <c r="O242" s="40" t="n">
        <v>0.00029</v>
      </c>
      <c r="P242" s="39" t="n">
        <v>0.84533</v>
      </c>
      <c r="Q242" s="40" t="n">
        <v>0.00024</v>
      </c>
      <c r="R242" s="39" t="n">
        <v>0.77821</v>
      </c>
      <c r="S242" s="40" t="n">
        <v>0.00015</v>
      </c>
      <c r="T242" s="39" t="n">
        <v>0.89137</v>
      </c>
      <c r="U242" s="40" t="n">
        <v>4E-005</v>
      </c>
      <c r="V242" s="39" t="n">
        <v>0.81293</v>
      </c>
      <c r="W242" s="40" t="n">
        <v>0.00011</v>
      </c>
      <c r="X242" s="39" t="n">
        <v>0.88865</v>
      </c>
      <c r="Y242" s="40" t="n">
        <v>3E-005</v>
      </c>
    </row>
    <row r="243" customFormat="false" ht="15" hidden="false" customHeight="false" outlineLevel="0" collapsed="false">
      <c r="A243" s="38" t="n">
        <v>298</v>
      </c>
      <c r="B243" s="39" t="n">
        <v>0.9397</v>
      </c>
      <c r="C243" s="40" t="n">
        <v>4E-005</v>
      </c>
      <c r="D243" s="39" t="n">
        <v>0.5112</v>
      </c>
      <c r="E243" s="40" t="n">
        <v>0.0019</v>
      </c>
      <c r="F243" s="39" t="n">
        <v>0.88339</v>
      </c>
      <c r="G243" s="40" t="n">
        <v>9E-005</v>
      </c>
      <c r="H243" s="39" t="n">
        <v>0.87216</v>
      </c>
      <c r="I243" s="40" t="n">
        <v>0.0002</v>
      </c>
      <c r="J243" s="39" t="n">
        <v>0.82416</v>
      </c>
      <c r="K243" s="40" t="n">
        <v>0.00044</v>
      </c>
      <c r="L243" s="39" t="n">
        <v>0.86778</v>
      </c>
      <c r="M243" s="40" t="n">
        <v>0.00029</v>
      </c>
      <c r="N243" s="39" t="n">
        <v>0.76507</v>
      </c>
      <c r="O243" s="40" t="n">
        <v>0.00029</v>
      </c>
      <c r="P243" s="39" t="n">
        <v>0.84235</v>
      </c>
      <c r="Q243" s="40" t="n">
        <v>0.00024</v>
      </c>
      <c r="R243" s="39" t="n">
        <v>0.77653</v>
      </c>
      <c r="S243" s="40" t="n">
        <v>0.00015</v>
      </c>
      <c r="T243" s="39" t="n">
        <v>0.89093</v>
      </c>
      <c r="U243" s="40" t="n">
        <v>4E-005</v>
      </c>
      <c r="V243" s="39" t="n">
        <v>0.81184</v>
      </c>
      <c r="W243" s="40" t="n">
        <v>0.00011</v>
      </c>
      <c r="X243" s="39" t="n">
        <v>0.88823</v>
      </c>
      <c r="Y243" s="40" t="n">
        <v>3E-005</v>
      </c>
    </row>
    <row r="244" customFormat="false" ht="15" hidden="false" customHeight="false" outlineLevel="0" collapsed="false">
      <c r="A244" s="38" t="n">
        <v>299</v>
      </c>
      <c r="B244" s="39" t="n">
        <v>0.93928</v>
      </c>
      <c r="C244" s="40" t="n">
        <v>5E-005</v>
      </c>
      <c r="D244" s="39" t="n">
        <v>0.48812</v>
      </c>
      <c r="E244" s="40" t="n">
        <v>0.00186</v>
      </c>
      <c r="F244" s="39" t="n">
        <v>0.88236</v>
      </c>
      <c r="G244" s="40" t="n">
        <v>9E-005</v>
      </c>
      <c r="H244" s="39" t="n">
        <v>0.86955</v>
      </c>
      <c r="I244" s="40" t="n">
        <v>0.00021</v>
      </c>
      <c r="J244" s="39" t="n">
        <v>0.81857</v>
      </c>
      <c r="K244" s="40" t="n">
        <v>0.00045</v>
      </c>
      <c r="L244" s="39" t="n">
        <v>0.86388</v>
      </c>
      <c r="M244" s="40" t="n">
        <v>0.0003</v>
      </c>
      <c r="N244" s="39" t="n">
        <v>0.76136</v>
      </c>
      <c r="O244" s="40" t="n">
        <v>0.0003</v>
      </c>
      <c r="P244" s="39" t="n">
        <v>0.8394</v>
      </c>
      <c r="Q244" s="40" t="n">
        <v>0.00024</v>
      </c>
      <c r="R244" s="39" t="n">
        <v>0.77468</v>
      </c>
      <c r="S244" s="40" t="n">
        <v>0.00015</v>
      </c>
      <c r="T244" s="39" t="n">
        <v>0.89015</v>
      </c>
      <c r="U244" s="40" t="n">
        <v>5E-005</v>
      </c>
      <c r="V244" s="39" t="n">
        <v>0.81049</v>
      </c>
      <c r="W244" s="40" t="n">
        <v>0.00011</v>
      </c>
      <c r="X244" s="39" t="n">
        <v>0.88786</v>
      </c>
      <c r="Y244" s="40" t="n">
        <v>4E-005</v>
      </c>
    </row>
    <row r="245" customFormat="false" ht="15" hidden="false" customHeight="false" outlineLevel="0" collapsed="false">
      <c r="A245" s="38" t="n">
        <v>300</v>
      </c>
      <c r="B245" s="39" t="n">
        <v>0.93857</v>
      </c>
      <c r="C245" s="40" t="n">
        <v>4E-005</v>
      </c>
      <c r="D245" s="39" t="n">
        <v>0.46709</v>
      </c>
      <c r="E245" s="40" t="n">
        <v>0.00179</v>
      </c>
      <c r="F245" s="39" t="n">
        <v>0.88172</v>
      </c>
      <c r="G245" s="40" t="n">
        <v>9E-005</v>
      </c>
      <c r="H245" s="39" t="n">
        <v>0.8669</v>
      </c>
      <c r="I245" s="40" t="n">
        <v>0.00022</v>
      </c>
      <c r="J245" s="39" t="n">
        <v>0.8135</v>
      </c>
      <c r="K245" s="40" t="n">
        <v>0.00046</v>
      </c>
      <c r="L245" s="39" t="n">
        <v>0.86043</v>
      </c>
      <c r="M245" s="40" t="n">
        <v>0.0003</v>
      </c>
      <c r="N245" s="39" t="n">
        <v>0.75787</v>
      </c>
      <c r="O245" s="40" t="n">
        <v>0.0003</v>
      </c>
      <c r="P245" s="39" t="n">
        <v>0.83656</v>
      </c>
      <c r="Q245" s="40" t="n">
        <v>0.00024</v>
      </c>
      <c r="R245" s="39" t="n">
        <v>0.77279</v>
      </c>
      <c r="S245" s="40" t="n">
        <v>0.00016</v>
      </c>
      <c r="T245" s="39" t="n">
        <v>0.88958</v>
      </c>
      <c r="U245" s="40" t="n">
        <v>5E-005</v>
      </c>
      <c r="V245" s="39" t="n">
        <v>0.80905</v>
      </c>
      <c r="W245" s="40" t="n">
        <v>0.00011</v>
      </c>
      <c r="X245" s="39" t="n">
        <v>0.88724</v>
      </c>
      <c r="Y245" s="40" t="n">
        <v>4E-005</v>
      </c>
    </row>
    <row r="246" customFormat="false" ht="15" hidden="false" customHeight="false" outlineLevel="0" collapsed="false">
      <c r="A246" s="38" t="n">
        <v>301</v>
      </c>
      <c r="B246" s="39" t="n">
        <v>0.9376</v>
      </c>
      <c r="C246" s="40" t="n">
        <v>4E-005</v>
      </c>
      <c r="D246" s="39" t="n">
        <v>0.4464</v>
      </c>
      <c r="E246" s="40" t="n">
        <v>0.00174</v>
      </c>
      <c r="F246" s="39" t="n">
        <v>0.88051</v>
      </c>
      <c r="G246" s="40" t="n">
        <v>9E-005</v>
      </c>
      <c r="H246" s="39" t="n">
        <v>0.86434</v>
      </c>
      <c r="I246" s="40" t="n">
        <v>0.00024</v>
      </c>
      <c r="J246" s="39" t="n">
        <v>0.80803</v>
      </c>
      <c r="K246" s="40" t="n">
        <v>0.00047</v>
      </c>
      <c r="L246" s="39" t="n">
        <v>0.85702</v>
      </c>
      <c r="M246" s="40" t="n">
        <v>0.00031</v>
      </c>
      <c r="N246" s="39" t="n">
        <v>0.75409</v>
      </c>
      <c r="O246" s="40" t="n">
        <v>0.0003</v>
      </c>
      <c r="P246" s="39" t="n">
        <v>0.83384</v>
      </c>
      <c r="Q246" s="40" t="n">
        <v>0.00024</v>
      </c>
      <c r="R246" s="39" t="n">
        <v>0.77079</v>
      </c>
      <c r="S246" s="40" t="n">
        <v>0.00016</v>
      </c>
      <c r="T246" s="39" t="n">
        <v>0.88921</v>
      </c>
      <c r="U246" s="40" t="n">
        <v>5E-005</v>
      </c>
      <c r="V246" s="39" t="n">
        <v>0.80767</v>
      </c>
      <c r="W246" s="40" t="n">
        <v>0.00011</v>
      </c>
      <c r="X246" s="39" t="n">
        <v>0.8866</v>
      </c>
      <c r="Y246" s="40" t="n">
        <v>4E-005</v>
      </c>
    </row>
    <row r="247" customFormat="false" ht="15" hidden="false" customHeight="false" outlineLevel="0" collapsed="false">
      <c r="A247" s="38" t="n">
        <v>302</v>
      </c>
      <c r="B247" s="39" t="n">
        <v>0.93758</v>
      </c>
      <c r="C247" s="40" t="n">
        <v>4E-005</v>
      </c>
      <c r="D247" s="39" t="n">
        <v>0.42516</v>
      </c>
      <c r="E247" s="40" t="n">
        <v>0.00169</v>
      </c>
      <c r="F247" s="39" t="n">
        <v>0.87943</v>
      </c>
      <c r="G247" s="40" t="n">
        <v>9E-005</v>
      </c>
      <c r="H247" s="39" t="n">
        <v>0.86158</v>
      </c>
      <c r="I247" s="40" t="n">
        <v>0.00025</v>
      </c>
      <c r="J247" s="39" t="n">
        <v>0.80233</v>
      </c>
      <c r="K247" s="40" t="n">
        <v>0.00047</v>
      </c>
      <c r="L247" s="39" t="n">
        <v>0.85336</v>
      </c>
      <c r="M247" s="40" t="n">
        <v>0.00031</v>
      </c>
      <c r="N247" s="39" t="n">
        <v>0.75053</v>
      </c>
      <c r="O247" s="40" t="n">
        <v>0.0003</v>
      </c>
      <c r="P247" s="39" t="n">
        <v>0.83098</v>
      </c>
      <c r="Q247" s="40" t="n">
        <v>0.00024</v>
      </c>
      <c r="R247" s="39" t="n">
        <v>0.76899</v>
      </c>
      <c r="S247" s="40" t="n">
        <v>0.00016</v>
      </c>
      <c r="T247" s="39" t="n">
        <v>0.8886</v>
      </c>
      <c r="U247" s="40" t="n">
        <v>5E-005</v>
      </c>
      <c r="V247" s="39" t="n">
        <v>0.80651</v>
      </c>
      <c r="W247" s="40" t="n">
        <v>0.00011</v>
      </c>
      <c r="X247" s="39" t="n">
        <v>0.88612</v>
      </c>
      <c r="Y247" s="40" t="n">
        <v>4E-005</v>
      </c>
    </row>
    <row r="248" customFormat="false" ht="15" hidden="false" customHeight="false" outlineLevel="0" collapsed="false">
      <c r="A248" s="38" t="n">
        <v>303</v>
      </c>
      <c r="B248" s="39" t="n">
        <v>0.93744</v>
      </c>
      <c r="C248" s="40" t="n">
        <v>4E-005</v>
      </c>
      <c r="D248" s="39" t="n">
        <v>0.4057</v>
      </c>
      <c r="E248" s="40" t="n">
        <v>0.00165</v>
      </c>
      <c r="F248" s="39" t="n">
        <v>0.87833</v>
      </c>
      <c r="G248" s="40" t="n">
        <v>9E-005</v>
      </c>
      <c r="H248" s="39" t="n">
        <v>0.85818</v>
      </c>
      <c r="I248" s="40" t="n">
        <v>0.00027</v>
      </c>
      <c r="J248" s="39" t="n">
        <v>0.79628</v>
      </c>
      <c r="K248" s="40" t="n">
        <v>0.00049</v>
      </c>
      <c r="L248" s="39" t="n">
        <v>0.84928</v>
      </c>
      <c r="M248" s="40" t="n">
        <v>0.0003</v>
      </c>
      <c r="N248" s="39" t="n">
        <v>0.74706</v>
      </c>
      <c r="O248" s="40" t="n">
        <v>0.0003</v>
      </c>
      <c r="P248" s="39" t="n">
        <v>0.82813</v>
      </c>
      <c r="Q248" s="40" t="n">
        <v>0.00024</v>
      </c>
      <c r="R248" s="39" t="n">
        <v>0.76692</v>
      </c>
      <c r="S248" s="40" t="n">
        <v>0.00016</v>
      </c>
      <c r="T248" s="39" t="n">
        <v>0.88791</v>
      </c>
      <c r="U248" s="40" t="n">
        <v>4E-005</v>
      </c>
      <c r="V248" s="39" t="n">
        <v>0.80533</v>
      </c>
      <c r="W248" s="40" t="n">
        <v>0.00011</v>
      </c>
      <c r="X248" s="39" t="n">
        <v>0.8859</v>
      </c>
      <c r="Y248" s="40" t="n">
        <v>4E-005</v>
      </c>
    </row>
    <row r="249" customFormat="false" ht="15" hidden="false" customHeight="false" outlineLevel="0" collapsed="false">
      <c r="A249" s="38" t="n">
        <v>304</v>
      </c>
      <c r="B249" s="39" t="n">
        <v>0.93691</v>
      </c>
      <c r="C249" s="40" t="n">
        <v>4E-005</v>
      </c>
      <c r="D249" s="39" t="n">
        <v>0.38747</v>
      </c>
      <c r="E249" s="40" t="n">
        <v>0.00159</v>
      </c>
      <c r="F249" s="39" t="n">
        <v>0.87707</v>
      </c>
      <c r="G249" s="40" t="n">
        <v>0.0001</v>
      </c>
      <c r="H249" s="39" t="n">
        <v>0.85467</v>
      </c>
      <c r="I249" s="40" t="n">
        <v>0.00028</v>
      </c>
      <c r="J249" s="39" t="n">
        <v>0.79037</v>
      </c>
      <c r="K249" s="40" t="n">
        <v>0.0005</v>
      </c>
      <c r="L249" s="39" t="n">
        <v>0.84554</v>
      </c>
      <c r="M249" s="40" t="n">
        <v>0.0003</v>
      </c>
      <c r="N249" s="39" t="n">
        <v>0.74334</v>
      </c>
      <c r="O249" s="40" t="n">
        <v>0.0003</v>
      </c>
      <c r="P249" s="39" t="n">
        <v>0.82511</v>
      </c>
      <c r="Q249" s="40" t="n">
        <v>0.00024</v>
      </c>
      <c r="R249" s="39" t="n">
        <v>0.76517</v>
      </c>
      <c r="S249" s="40" t="n">
        <v>0.00016</v>
      </c>
      <c r="T249" s="39" t="n">
        <v>0.88736</v>
      </c>
      <c r="U249" s="40" t="n">
        <v>4E-005</v>
      </c>
      <c r="V249" s="39" t="n">
        <v>0.80385</v>
      </c>
      <c r="W249" s="40" t="n">
        <v>0.00011</v>
      </c>
      <c r="X249" s="39" t="n">
        <v>0.88539</v>
      </c>
      <c r="Y249" s="40" t="n">
        <v>3E-005</v>
      </c>
    </row>
    <row r="250" customFormat="false" ht="15" hidden="false" customHeight="false" outlineLevel="0" collapsed="false">
      <c r="A250" s="38" t="n">
        <v>305</v>
      </c>
      <c r="B250" s="39" t="n">
        <v>0.93603</v>
      </c>
      <c r="C250" s="40" t="n">
        <v>4E-005</v>
      </c>
      <c r="D250" s="39" t="n">
        <v>0.36741</v>
      </c>
      <c r="E250" s="40" t="n">
        <v>0.00151</v>
      </c>
      <c r="F250" s="39" t="n">
        <v>0.87609</v>
      </c>
      <c r="G250" s="40" t="n">
        <v>0.0001</v>
      </c>
      <c r="H250" s="39" t="n">
        <v>0.85135</v>
      </c>
      <c r="I250" s="40" t="n">
        <v>0.0003</v>
      </c>
      <c r="J250" s="39" t="n">
        <v>0.78438</v>
      </c>
      <c r="K250" s="40" t="n">
        <v>0.00051</v>
      </c>
      <c r="L250" s="39" t="n">
        <v>0.84215</v>
      </c>
      <c r="M250" s="40" t="n">
        <v>0.0003</v>
      </c>
      <c r="N250" s="39" t="n">
        <v>0.73969</v>
      </c>
      <c r="O250" s="40" t="n">
        <v>0.0003</v>
      </c>
      <c r="P250" s="39" t="n">
        <v>0.82219</v>
      </c>
      <c r="Q250" s="40" t="n">
        <v>0.00024</v>
      </c>
      <c r="R250" s="39" t="n">
        <v>0.76328</v>
      </c>
      <c r="S250" s="40" t="n">
        <v>0.00015</v>
      </c>
      <c r="T250" s="39" t="n">
        <v>0.88708</v>
      </c>
      <c r="U250" s="40" t="n">
        <v>4E-005</v>
      </c>
      <c r="V250" s="39" t="n">
        <v>0.80255</v>
      </c>
      <c r="W250" s="40" t="n">
        <v>0.00011</v>
      </c>
      <c r="X250" s="39" t="n">
        <v>0.88501</v>
      </c>
      <c r="Y250" s="40" t="n">
        <v>3E-005</v>
      </c>
    </row>
    <row r="251" customFormat="false" ht="15" hidden="false" customHeight="false" outlineLevel="0" collapsed="false">
      <c r="A251" s="38" t="n">
        <v>306</v>
      </c>
      <c r="B251" s="39" t="n">
        <v>0.93522</v>
      </c>
      <c r="C251" s="40" t="n">
        <v>5E-005</v>
      </c>
      <c r="D251" s="39" t="n">
        <v>0.34772</v>
      </c>
      <c r="E251" s="40" t="n">
        <v>0.00144</v>
      </c>
      <c r="F251" s="39" t="n">
        <v>0.87491</v>
      </c>
      <c r="G251" s="40" t="n">
        <v>0.0001</v>
      </c>
      <c r="H251" s="39" t="n">
        <v>0.84769</v>
      </c>
      <c r="I251" s="40" t="n">
        <v>0.00031</v>
      </c>
      <c r="J251" s="39" t="n">
        <v>0.77839</v>
      </c>
      <c r="K251" s="40" t="n">
        <v>0.00052</v>
      </c>
      <c r="L251" s="39" t="n">
        <v>0.83851</v>
      </c>
      <c r="M251" s="40" t="n">
        <v>0.0003</v>
      </c>
      <c r="N251" s="39" t="n">
        <v>0.73613</v>
      </c>
      <c r="O251" s="40" t="n">
        <v>0.00031</v>
      </c>
      <c r="P251" s="39" t="n">
        <v>0.81953</v>
      </c>
      <c r="Q251" s="40" t="n">
        <v>0.00024</v>
      </c>
      <c r="R251" s="39" t="n">
        <v>0.76133</v>
      </c>
      <c r="S251" s="40" t="n">
        <v>0.00015</v>
      </c>
      <c r="T251" s="39" t="n">
        <v>0.88653</v>
      </c>
      <c r="U251" s="40" t="n">
        <v>4E-005</v>
      </c>
      <c r="V251" s="39" t="n">
        <v>0.80143</v>
      </c>
      <c r="W251" s="40" t="n">
        <v>0.00011</v>
      </c>
      <c r="X251" s="39" t="n">
        <v>0.88474</v>
      </c>
      <c r="Y251" s="40" t="n">
        <v>3E-005</v>
      </c>
    </row>
    <row r="252" customFormat="false" ht="15" hidden="false" customHeight="false" outlineLevel="0" collapsed="false">
      <c r="A252" s="38" t="n">
        <v>307</v>
      </c>
      <c r="B252" s="39" t="n">
        <v>0.93511</v>
      </c>
      <c r="C252" s="40" t="n">
        <v>5E-005</v>
      </c>
      <c r="D252" s="39" t="n">
        <v>0.33205</v>
      </c>
      <c r="E252" s="40" t="n">
        <v>0.00136</v>
      </c>
      <c r="F252" s="39" t="n">
        <v>0.87375</v>
      </c>
      <c r="G252" s="40" t="n">
        <v>0.0001</v>
      </c>
      <c r="H252" s="39" t="n">
        <v>0.84391</v>
      </c>
      <c r="I252" s="40" t="n">
        <v>0.00032</v>
      </c>
      <c r="J252" s="39" t="n">
        <v>0.77181</v>
      </c>
      <c r="K252" s="40" t="n">
        <v>0.00052</v>
      </c>
      <c r="L252" s="39" t="n">
        <v>0.83504</v>
      </c>
      <c r="M252" s="40" t="n">
        <v>0.00029</v>
      </c>
      <c r="N252" s="39" t="n">
        <v>0.73277</v>
      </c>
      <c r="O252" s="40" t="n">
        <v>0.00031</v>
      </c>
      <c r="P252" s="39" t="n">
        <v>0.81666</v>
      </c>
      <c r="Q252" s="40" t="n">
        <v>0.00024</v>
      </c>
      <c r="R252" s="39" t="n">
        <v>0.75956</v>
      </c>
      <c r="S252" s="40" t="n">
        <v>0.00015</v>
      </c>
      <c r="T252" s="39" t="n">
        <v>0.88584</v>
      </c>
      <c r="U252" s="40" t="n">
        <v>5E-005</v>
      </c>
      <c r="V252" s="39" t="n">
        <v>0.80005</v>
      </c>
      <c r="W252" s="40" t="n">
        <v>0.00011</v>
      </c>
      <c r="X252" s="39" t="n">
        <v>0.88422</v>
      </c>
      <c r="Y252" s="40" t="n">
        <v>4E-005</v>
      </c>
    </row>
    <row r="253" customFormat="false" ht="15" hidden="false" customHeight="false" outlineLevel="0" collapsed="false">
      <c r="A253" s="38" t="n">
        <v>308</v>
      </c>
      <c r="B253" s="39" t="n">
        <v>0.93461</v>
      </c>
      <c r="C253" s="40" t="n">
        <v>5E-005</v>
      </c>
      <c r="D253" s="39" t="n">
        <v>0.31759</v>
      </c>
      <c r="E253" s="40" t="n">
        <v>0.00129</v>
      </c>
      <c r="F253" s="39" t="n">
        <v>0.8724</v>
      </c>
      <c r="G253" s="40" t="n">
        <v>0.0001</v>
      </c>
      <c r="H253" s="39" t="n">
        <v>0.84002</v>
      </c>
      <c r="I253" s="40" t="n">
        <v>0.00033</v>
      </c>
      <c r="J253" s="39" t="n">
        <v>0.76532</v>
      </c>
      <c r="K253" s="40" t="n">
        <v>0.00053</v>
      </c>
      <c r="L253" s="39" t="n">
        <v>0.83162</v>
      </c>
      <c r="M253" s="40" t="n">
        <v>0.0003</v>
      </c>
      <c r="N253" s="39" t="n">
        <v>0.72876</v>
      </c>
      <c r="O253" s="40" t="n">
        <v>0.00031</v>
      </c>
      <c r="P253" s="39" t="n">
        <v>0.8138</v>
      </c>
      <c r="Q253" s="40" t="n">
        <v>0.00024</v>
      </c>
      <c r="R253" s="39" t="n">
        <v>0.75769</v>
      </c>
      <c r="S253" s="40" t="n">
        <v>0.00015</v>
      </c>
      <c r="T253" s="39" t="n">
        <v>0.8853</v>
      </c>
      <c r="U253" s="40" t="n">
        <v>5E-005</v>
      </c>
      <c r="V253" s="39" t="n">
        <v>0.79865</v>
      </c>
      <c r="W253" s="40" t="n">
        <v>0.00011</v>
      </c>
      <c r="X253" s="39" t="n">
        <v>0.88373</v>
      </c>
      <c r="Y253" s="40" t="n">
        <v>4E-005</v>
      </c>
    </row>
    <row r="254" customFormat="false" ht="15" hidden="false" customHeight="false" outlineLevel="0" collapsed="false">
      <c r="A254" s="38" t="n">
        <v>309</v>
      </c>
      <c r="B254" s="39" t="n">
        <v>0.93396</v>
      </c>
      <c r="C254" s="40" t="n">
        <v>4E-005</v>
      </c>
      <c r="D254" s="39" t="n">
        <v>0.30269</v>
      </c>
      <c r="E254" s="40" t="n">
        <v>0.00121</v>
      </c>
      <c r="F254" s="39" t="n">
        <v>0.87086</v>
      </c>
      <c r="G254" s="40" t="n">
        <v>0.0001</v>
      </c>
      <c r="H254" s="39" t="n">
        <v>0.8359</v>
      </c>
      <c r="I254" s="40" t="n">
        <v>0.00035</v>
      </c>
      <c r="J254" s="39" t="n">
        <v>0.75921</v>
      </c>
      <c r="K254" s="40" t="n">
        <v>0.00054</v>
      </c>
      <c r="L254" s="39" t="n">
        <v>0.82786</v>
      </c>
      <c r="M254" s="40" t="n">
        <v>0.0003</v>
      </c>
      <c r="N254" s="39" t="n">
        <v>0.72475</v>
      </c>
      <c r="O254" s="40" t="n">
        <v>0.00032</v>
      </c>
      <c r="P254" s="39" t="n">
        <v>0.81068</v>
      </c>
      <c r="Q254" s="40" t="n">
        <v>0.00024</v>
      </c>
      <c r="R254" s="39" t="n">
        <v>0.75593</v>
      </c>
      <c r="S254" s="40" t="n">
        <v>0.00015</v>
      </c>
      <c r="T254" s="39" t="n">
        <v>0.8848</v>
      </c>
      <c r="U254" s="40" t="n">
        <v>5E-005</v>
      </c>
      <c r="V254" s="39" t="n">
        <v>0.79736</v>
      </c>
      <c r="W254" s="40" t="n">
        <v>0.00011</v>
      </c>
      <c r="X254" s="39" t="n">
        <v>0.88322</v>
      </c>
      <c r="Y254" s="40" t="n">
        <v>5E-005</v>
      </c>
    </row>
    <row r="255" customFormat="false" ht="15" hidden="false" customHeight="false" outlineLevel="0" collapsed="false">
      <c r="A255" s="38" t="n">
        <v>310</v>
      </c>
      <c r="B255" s="39" t="n">
        <v>0.93329</v>
      </c>
      <c r="C255" s="40" t="n">
        <v>4E-005</v>
      </c>
      <c r="D255" s="39" t="n">
        <v>0.28773</v>
      </c>
      <c r="E255" s="40" t="n">
        <v>0.00114</v>
      </c>
      <c r="F255" s="39" t="n">
        <v>0.86995</v>
      </c>
      <c r="G255" s="40" t="n">
        <v>0.0001</v>
      </c>
      <c r="H255" s="39" t="n">
        <v>0.83148</v>
      </c>
      <c r="I255" s="40" t="n">
        <v>0.00037</v>
      </c>
      <c r="J255" s="39" t="n">
        <v>0.75264</v>
      </c>
      <c r="K255" s="40" t="n">
        <v>0.00055</v>
      </c>
      <c r="L255" s="39" t="n">
        <v>0.82446</v>
      </c>
      <c r="M255" s="40" t="n">
        <v>0.00029</v>
      </c>
      <c r="N255" s="39" t="n">
        <v>0.72107</v>
      </c>
      <c r="O255" s="40" t="n">
        <v>0.00032</v>
      </c>
      <c r="P255" s="39" t="n">
        <v>0.80791</v>
      </c>
      <c r="Q255" s="40" t="n">
        <v>0.00024</v>
      </c>
      <c r="R255" s="39" t="n">
        <v>0.7541</v>
      </c>
      <c r="S255" s="40" t="n">
        <v>0.00015</v>
      </c>
      <c r="T255" s="39" t="n">
        <v>0.88405</v>
      </c>
      <c r="U255" s="40" t="n">
        <v>5E-005</v>
      </c>
      <c r="V255" s="39" t="n">
        <v>0.79613</v>
      </c>
      <c r="W255" s="40" t="n">
        <v>0.00011</v>
      </c>
      <c r="X255" s="39" t="n">
        <v>0.8827</v>
      </c>
      <c r="Y255" s="40" t="n">
        <v>5E-005</v>
      </c>
    </row>
    <row r="256" customFormat="false" ht="15" hidden="false" customHeight="false" outlineLevel="0" collapsed="false">
      <c r="A256" s="38" t="n">
        <v>311</v>
      </c>
      <c r="B256" s="39" t="n">
        <v>0.93272</v>
      </c>
      <c r="C256" s="40" t="n">
        <v>5E-005</v>
      </c>
      <c r="D256" s="39" t="n">
        <v>0.27417</v>
      </c>
      <c r="E256" s="40" t="n">
        <v>0.00109</v>
      </c>
      <c r="F256" s="39" t="n">
        <v>0.86892</v>
      </c>
      <c r="G256" s="40" t="n">
        <v>0.0001</v>
      </c>
      <c r="H256" s="39" t="n">
        <v>0.8269</v>
      </c>
      <c r="I256" s="40" t="n">
        <v>0.00039</v>
      </c>
      <c r="J256" s="39" t="n">
        <v>0.74606</v>
      </c>
      <c r="K256" s="40" t="n">
        <v>0.00056</v>
      </c>
      <c r="L256" s="39" t="n">
        <v>0.82083</v>
      </c>
      <c r="M256" s="40" t="n">
        <v>0.00029</v>
      </c>
      <c r="N256" s="39" t="n">
        <v>0.71735</v>
      </c>
      <c r="O256" s="40" t="n">
        <v>0.00033</v>
      </c>
      <c r="P256" s="39" t="n">
        <v>0.8051</v>
      </c>
      <c r="Q256" s="40" t="n">
        <v>0.00024</v>
      </c>
      <c r="R256" s="39" t="n">
        <v>0.75224</v>
      </c>
      <c r="S256" s="40" t="n">
        <v>0.00015</v>
      </c>
      <c r="T256" s="39" t="n">
        <v>0.8833</v>
      </c>
      <c r="U256" s="40" t="n">
        <v>5E-005</v>
      </c>
      <c r="V256" s="39" t="n">
        <v>0.79499</v>
      </c>
      <c r="W256" s="40" t="n">
        <v>0.00011</v>
      </c>
      <c r="X256" s="39" t="n">
        <v>0.88199</v>
      </c>
      <c r="Y256" s="40" t="n">
        <v>5E-005</v>
      </c>
    </row>
    <row r="257" customFormat="false" ht="15" hidden="false" customHeight="false" outlineLevel="0" collapsed="false">
      <c r="A257" s="38" t="n">
        <v>312</v>
      </c>
      <c r="B257" s="39" t="n">
        <v>0.9321</v>
      </c>
      <c r="C257" s="40" t="n">
        <v>5E-005</v>
      </c>
      <c r="D257" s="39" t="n">
        <v>0.26205</v>
      </c>
      <c r="E257" s="40" t="n">
        <v>0.00103</v>
      </c>
      <c r="F257" s="39" t="n">
        <v>0.86792</v>
      </c>
      <c r="G257" s="40" t="n">
        <v>9E-005</v>
      </c>
      <c r="H257" s="39" t="n">
        <v>0.82235</v>
      </c>
      <c r="I257" s="40" t="n">
        <v>0.00041</v>
      </c>
      <c r="J257" s="39" t="n">
        <v>0.73925</v>
      </c>
      <c r="K257" s="40" t="n">
        <v>0.00057</v>
      </c>
      <c r="L257" s="39" t="n">
        <v>0.81715</v>
      </c>
      <c r="M257" s="40" t="n">
        <v>0.00029</v>
      </c>
      <c r="N257" s="39" t="n">
        <v>0.71328</v>
      </c>
      <c r="O257" s="40" t="n">
        <v>0.00033</v>
      </c>
      <c r="P257" s="39" t="n">
        <v>0.80209</v>
      </c>
      <c r="Q257" s="40" t="n">
        <v>0.00024</v>
      </c>
      <c r="R257" s="39" t="n">
        <v>0.75045</v>
      </c>
      <c r="S257" s="40" t="n">
        <v>0.00015</v>
      </c>
      <c r="T257" s="39" t="n">
        <v>0.88272</v>
      </c>
      <c r="U257" s="40" t="n">
        <v>5E-005</v>
      </c>
      <c r="V257" s="39" t="n">
        <v>0.79362</v>
      </c>
      <c r="W257" s="40" t="n">
        <v>0.00011</v>
      </c>
      <c r="X257" s="39" t="n">
        <v>0.88113</v>
      </c>
      <c r="Y257" s="40" t="n">
        <v>5E-005</v>
      </c>
    </row>
    <row r="258" customFormat="false" ht="15" hidden="false" customHeight="false" outlineLevel="0" collapsed="false">
      <c r="A258" s="38" t="n">
        <v>313</v>
      </c>
      <c r="B258" s="39" t="n">
        <v>0.93196</v>
      </c>
      <c r="C258" s="40" t="n">
        <v>5E-005</v>
      </c>
      <c r="D258" s="39" t="n">
        <v>0.24809</v>
      </c>
      <c r="E258" s="40" t="n">
        <v>0.00096</v>
      </c>
      <c r="F258" s="39" t="n">
        <v>0.86656</v>
      </c>
      <c r="G258" s="40" t="n">
        <v>0.0001</v>
      </c>
      <c r="H258" s="39" t="n">
        <v>0.81722</v>
      </c>
      <c r="I258" s="40" t="n">
        <v>0.00042</v>
      </c>
      <c r="J258" s="39" t="n">
        <v>0.73229</v>
      </c>
      <c r="K258" s="40" t="n">
        <v>0.00058</v>
      </c>
      <c r="L258" s="39" t="n">
        <v>0.81388</v>
      </c>
      <c r="M258" s="40" t="n">
        <v>0.00029</v>
      </c>
      <c r="N258" s="39" t="n">
        <v>0.70925</v>
      </c>
      <c r="O258" s="40" t="n">
        <v>0.00033</v>
      </c>
      <c r="P258" s="39" t="n">
        <v>0.79921</v>
      </c>
      <c r="Q258" s="40" t="n">
        <v>0.00024</v>
      </c>
      <c r="R258" s="39" t="n">
        <v>0.74852</v>
      </c>
      <c r="S258" s="40" t="n">
        <v>0.00015</v>
      </c>
      <c r="T258" s="39" t="n">
        <v>0.88208</v>
      </c>
      <c r="U258" s="40" t="n">
        <v>5E-005</v>
      </c>
      <c r="V258" s="39" t="n">
        <v>0.79235</v>
      </c>
      <c r="W258" s="40" t="n">
        <v>0.00011</v>
      </c>
      <c r="X258" s="39" t="n">
        <v>0.88079</v>
      </c>
      <c r="Y258" s="40" t="n">
        <v>5E-005</v>
      </c>
    </row>
    <row r="259" customFormat="false" ht="15" hidden="false" customHeight="false" outlineLevel="0" collapsed="false">
      <c r="A259" s="38" t="n">
        <v>314</v>
      </c>
      <c r="B259" s="39" t="n">
        <v>0.93135</v>
      </c>
      <c r="C259" s="40" t="n">
        <v>5E-005</v>
      </c>
      <c r="D259" s="39" t="n">
        <v>0.23792</v>
      </c>
      <c r="E259" s="40" t="n">
        <v>0.00092</v>
      </c>
      <c r="F259" s="39" t="n">
        <v>0.8655</v>
      </c>
      <c r="G259" s="40" t="n">
        <v>0.00011</v>
      </c>
      <c r="H259" s="39" t="n">
        <v>0.81189</v>
      </c>
      <c r="I259" s="40" t="n">
        <v>0.00044</v>
      </c>
      <c r="J259" s="39" t="n">
        <v>0.72509</v>
      </c>
      <c r="K259" s="40" t="n">
        <v>0.00058</v>
      </c>
      <c r="L259" s="39" t="n">
        <v>0.81058</v>
      </c>
      <c r="M259" s="40" t="n">
        <v>0.00029</v>
      </c>
      <c r="N259" s="39" t="n">
        <v>0.70518</v>
      </c>
      <c r="O259" s="40" t="n">
        <v>0.00034</v>
      </c>
      <c r="P259" s="39" t="n">
        <v>0.7964</v>
      </c>
      <c r="Q259" s="40" t="n">
        <v>0.00024</v>
      </c>
      <c r="R259" s="39" t="n">
        <v>0.74673</v>
      </c>
      <c r="S259" s="40" t="n">
        <v>0.00016</v>
      </c>
      <c r="T259" s="39" t="n">
        <v>0.88148</v>
      </c>
      <c r="U259" s="40" t="n">
        <v>5E-005</v>
      </c>
      <c r="V259" s="39" t="n">
        <v>0.79107</v>
      </c>
      <c r="W259" s="40" t="n">
        <v>0.00011</v>
      </c>
      <c r="X259" s="39" t="n">
        <v>0.88024</v>
      </c>
      <c r="Y259" s="40" t="n">
        <v>5E-005</v>
      </c>
    </row>
    <row r="260" customFormat="false" ht="15" hidden="false" customHeight="false" outlineLevel="0" collapsed="false">
      <c r="A260" s="38" t="n">
        <v>315</v>
      </c>
      <c r="B260" s="39" t="n">
        <v>0.93034</v>
      </c>
      <c r="C260" s="40" t="n">
        <v>5E-005</v>
      </c>
      <c r="D260" s="39" t="n">
        <v>0.2287</v>
      </c>
      <c r="E260" s="40" t="n">
        <v>0.0009</v>
      </c>
      <c r="F260" s="39" t="n">
        <v>0.86398</v>
      </c>
      <c r="G260" s="40" t="n">
        <v>0.00011</v>
      </c>
      <c r="H260" s="39" t="n">
        <v>0.80664</v>
      </c>
      <c r="I260" s="40" t="n">
        <v>0.00046</v>
      </c>
      <c r="J260" s="39" t="n">
        <v>0.71806</v>
      </c>
      <c r="K260" s="40" t="n">
        <v>0.00059</v>
      </c>
      <c r="L260" s="39" t="n">
        <v>0.80718</v>
      </c>
      <c r="M260" s="40" t="n">
        <v>0.00029</v>
      </c>
      <c r="N260" s="39" t="n">
        <v>0.70092</v>
      </c>
      <c r="O260" s="40" t="n">
        <v>0.00035</v>
      </c>
      <c r="P260" s="39" t="n">
        <v>0.79367</v>
      </c>
      <c r="Q260" s="40" t="n">
        <v>0.00024</v>
      </c>
      <c r="R260" s="39" t="n">
        <v>0.74495</v>
      </c>
      <c r="S260" s="40" t="n">
        <v>0.00015</v>
      </c>
      <c r="T260" s="39" t="n">
        <v>0.88089</v>
      </c>
      <c r="U260" s="40" t="n">
        <v>6E-005</v>
      </c>
      <c r="V260" s="39" t="n">
        <v>0.78968</v>
      </c>
      <c r="W260" s="40" t="n">
        <v>0.00011</v>
      </c>
      <c r="X260" s="39" t="n">
        <v>0.87946</v>
      </c>
      <c r="Y260" s="40" t="n">
        <v>6E-005</v>
      </c>
    </row>
    <row r="261" customFormat="false" ht="15" hidden="false" customHeight="false" outlineLevel="0" collapsed="false">
      <c r="A261" s="38" t="n">
        <v>316</v>
      </c>
      <c r="B261" s="39" t="n">
        <v>0.92983</v>
      </c>
      <c r="C261" s="40" t="n">
        <v>5E-005</v>
      </c>
      <c r="D261" s="39" t="n">
        <v>0.21757</v>
      </c>
      <c r="E261" s="40" t="n">
        <v>0.00089</v>
      </c>
      <c r="F261" s="39" t="n">
        <v>0.86288</v>
      </c>
      <c r="G261" s="40" t="n">
        <v>0.00011</v>
      </c>
      <c r="H261" s="39" t="n">
        <v>0.80098</v>
      </c>
      <c r="I261" s="40" t="n">
        <v>0.00048</v>
      </c>
      <c r="J261" s="39" t="n">
        <v>0.7112</v>
      </c>
      <c r="K261" s="40" t="n">
        <v>0.00058</v>
      </c>
      <c r="L261" s="39" t="n">
        <v>0.8035</v>
      </c>
      <c r="M261" s="40" t="n">
        <v>0.00028</v>
      </c>
      <c r="N261" s="39" t="n">
        <v>0.6968</v>
      </c>
      <c r="O261" s="40" t="n">
        <v>0.00035</v>
      </c>
      <c r="P261" s="39" t="n">
        <v>0.79067</v>
      </c>
      <c r="Q261" s="40" t="n">
        <v>0.00024</v>
      </c>
      <c r="R261" s="39" t="n">
        <v>0.743</v>
      </c>
      <c r="S261" s="40" t="n">
        <v>0.00015</v>
      </c>
      <c r="T261" s="39" t="n">
        <v>0.88018</v>
      </c>
      <c r="U261" s="40" t="n">
        <v>6E-005</v>
      </c>
      <c r="V261" s="39" t="n">
        <v>0.78847</v>
      </c>
      <c r="W261" s="40" t="n">
        <v>0.0001</v>
      </c>
      <c r="X261" s="39" t="n">
        <v>0.87861</v>
      </c>
      <c r="Y261" s="40" t="n">
        <v>6E-005</v>
      </c>
    </row>
    <row r="262" customFormat="false" ht="15" hidden="false" customHeight="false" outlineLevel="0" collapsed="false">
      <c r="A262" s="38" t="n">
        <v>317</v>
      </c>
      <c r="B262" s="39" t="n">
        <v>0.92927</v>
      </c>
      <c r="C262" s="40" t="n">
        <v>4E-005</v>
      </c>
      <c r="D262" s="39" t="n">
        <v>0.20694</v>
      </c>
      <c r="E262" s="40" t="n">
        <v>0.00084</v>
      </c>
      <c r="F262" s="39" t="n">
        <v>0.86116</v>
      </c>
      <c r="G262" s="40" t="n">
        <v>0.0001</v>
      </c>
      <c r="H262" s="39" t="n">
        <v>0.79504</v>
      </c>
      <c r="I262" s="40" t="n">
        <v>0.0005</v>
      </c>
      <c r="J262" s="39" t="n">
        <v>0.70436</v>
      </c>
      <c r="K262" s="40" t="n">
        <v>0.00058</v>
      </c>
      <c r="L262" s="39" t="n">
        <v>0.80023</v>
      </c>
      <c r="M262" s="40" t="n">
        <v>0.00029</v>
      </c>
      <c r="N262" s="39" t="n">
        <v>0.69283</v>
      </c>
      <c r="O262" s="40" t="n">
        <v>0.00036</v>
      </c>
      <c r="P262" s="39" t="n">
        <v>0.78762</v>
      </c>
      <c r="Q262" s="40" t="n">
        <v>0.00024</v>
      </c>
      <c r="R262" s="39" t="n">
        <v>0.74114</v>
      </c>
      <c r="S262" s="40" t="n">
        <v>0.00015</v>
      </c>
      <c r="T262" s="39" t="n">
        <v>0.87939</v>
      </c>
      <c r="U262" s="40" t="n">
        <v>6E-005</v>
      </c>
      <c r="V262" s="39" t="n">
        <v>0.7873</v>
      </c>
      <c r="W262" s="40" t="n">
        <v>0.0001</v>
      </c>
      <c r="X262" s="39" t="n">
        <v>0.87812</v>
      </c>
      <c r="Y262" s="40" t="n">
        <v>7E-005</v>
      </c>
    </row>
    <row r="263" customFormat="false" ht="15" hidden="false" customHeight="false" outlineLevel="0" collapsed="false">
      <c r="A263" s="38" t="n">
        <v>318</v>
      </c>
      <c r="B263" s="39" t="n">
        <v>0.92887</v>
      </c>
      <c r="C263" s="40" t="n">
        <v>5E-005</v>
      </c>
      <c r="D263" s="39" t="n">
        <v>0.19597</v>
      </c>
      <c r="E263" s="40" t="n">
        <v>0.0008</v>
      </c>
      <c r="F263" s="39" t="n">
        <v>0.86015</v>
      </c>
      <c r="G263" s="40" t="n">
        <v>0.0001</v>
      </c>
      <c r="H263" s="39" t="n">
        <v>0.7889</v>
      </c>
      <c r="I263" s="40" t="n">
        <v>0.00051</v>
      </c>
      <c r="J263" s="39" t="n">
        <v>0.69722</v>
      </c>
      <c r="K263" s="40" t="n">
        <v>0.00058</v>
      </c>
      <c r="L263" s="39" t="n">
        <v>0.79673</v>
      </c>
      <c r="M263" s="40" t="n">
        <v>0.00028</v>
      </c>
      <c r="N263" s="39" t="n">
        <v>0.68836</v>
      </c>
      <c r="O263" s="40" t="n">
        <v>0.00036</v>
      </c>
      <c r="P263" s="39" t="n">
        <v>0.78502</v>
      </c>
      <c r="Q263" s="40" t="n">
        <v>0.00024</v>
      </c>
      <c r="R263" s="39" t="n">
        <v>0.73931</v>
      </c>
      <c r="S263" s="40" t="n">
        <v>0.00015</v>
      </c>
      <c r="T263" s="39" t="n">
        <v>0.8787</v>
      </c>
      <c r="U263" s="40" t="n">
        <v>6E-005</v>
      </c>
      <c r="V263" s="39" t="n">
        <v>0.78615</v>
      </c>
      <c r="W263" s="40" t="n">
        <v>0.0001</v>
      </c>
      <c r="X263" s="39" t="n">
        <v>0.87712</v>
      </c>
      <c r="Y263" s="40" t="n">
        <v>7E-005</v>
      </c>
    </row>
    <row r="264" customFormat="false" ht="15" hidden="false" customHeight="false" outlineLevel="0" collapsed="false">
      <c r="A264" s="38" t="n">
        <v>319</v>
      </c>
      <c r="B264" s="39" t="n">
        <v>0.92848</v>
      </c>
      <c r="C264" s="40" t="n">
        <v>5E-005</v>
      </c>
      <c r="D264" s="39" t="n">
        <v>0.18516</v>
      </c>
      <c r="E264" s="40" t="n">
        <v>0.00079</v>
      </c>
      <c r="F264" s="39" t="n">
        <v>0.8594</v>
      </c>
      <c r="G264" s="40" t="n">
        <v>0.0001</v>
      </c>
      <c r="H264" s="39" t="n">
        <v>0.78265</v>
      </c>
      <c r="I264" s="40" t="n">
        <v>0.00053</v>
      </c>
      <c r="J264" s="39" t="n">
        <v>0.69021</v>
      </c>
      <c r="K264" s="40" t="n">
        <v>0.00058</v>
      </c>
      <c r="L264" s="39" t="n">
        <v>0.79333</v>
      </c>
      <c r="M264" s="40" t="n">
        <v>0.00027</v>
      </c>
      <c r="N264" s="39" t="n">
        <v>0.68371</v>
      </c>
      <c r="O264" s="40" t="n">
        <v>0.00038</v>
      </c>
      <c r="P264" s="39" t="n">
        <v>0.78212</v>
      </c>
      <c r="Q264" s="40" t="n">
        <v>0.00024</v>
      </c>
      <c r="R264" s="39" t="n">
        <v>0.7376</v>
      </c>
      <c r="S264" s="40" t="n">
        <v>0.00015</v>
      </c>
      <c r="T264" s="39" t="n">
        <v>0.87783</v>
      </c>
      <c r="U264" s="40" t="n">
        <v>7E-005</v>
      </c>
      <c r="V264" s="39" t="n">
        <v>0.78481</v>
      </c>
      <c r="W264" s="40" t="n">
        <v>0.0001</v>
      </c>
      <c r="X264" s="39" t="n">
        <v>0.87616</v>
      </c>
      <c r="Y264" s="40" t="n">
        <v>6E-005</v>
      </c>
    </row>
    <row r="265" customFormat="false" ht="15" hidden="false" customHeight="false" outlineLevel="0" collapsed="false">
      <c r="A265" s="38" t="n">
        <v>320</v>
      </c>
      <c r="B265" s="39" t="n">
        <v>0.92779</v>
      </c>
      <c r="C265" s="40" t="n">
        <v>6E-005</v>
      </c>
      <c r="D265" s="39" t="n">
        <v>0.17713</v>
      </c>
      <c r="E265" s="40" t="n">
        <v>0.00078</v>
      </c>
      <c r="F265" s="39" t="n">
        <v>0.85776</v>
      </c>
      <c r="G265" s="40" t="n">
        <v>0.00011</v>
      </c>
      <c r="H265" s="39" t="n">
        <v>0.77611</v>
      </c>
      <c r="I265" s="40" t="n">
        <v>0.00055</v>
      </c>
      <c r="J265" s="39" t="n">
        <v>0.68351</v>
      </c>
      <c r="K265" s="40" t="n">
        <v>0.00058</v>
      </c>
      <c r="L265" s="39" t="n">
        <v>0.79016</v>
      </c>
      <c r="M265" s="40" t="n">
        <v>0.00026</v>
      </c>
      <c r="N265" s="39" t="n">
        <v>0.67908</v>
      </c>
      <c r="O265" s="40" t="n">
        <v>0.00038</v>
      </c>
      <c r="P265" s="39" t="n">
        <v>0.77919</v>
      </c>
      <c r="Q265" s="40" t="n">
        <v>0.00023</v>
      </c>
      <c r="R265" s="39" t="n">
        <v>0.73582</v>
      </c>
      <c r="S265" s="40" t="n">
        <v>0.00015</v>
      </c>
      <c r="T265" s="39" t="n">
        <v>0.87709</v>
      </c>
      <c r="U265" s="40" t="n">
        <v>6E-005</v>
      </c>
      <c r="V265" s="39" t="n">
        <v>0.7834</v>
      </c>
      <c r="W265" s="40" t="n">
        <v>0.0001</v>
      </c>
      <c r="X265" s="39" t="n">
        <v>0.87529</v>
      </c>
      <c r="Y265" s="40" t="n">
        <v>6E-005</v>
      </c>
    </row>
    <row r="266" customFormat="false" ht="15" hidden="false" customHeight="false" outlineLevel="0" collapsed="false">
      <c r="A266" s="38" t="n">
        <v>321</v>
      </c>
      <c r="B266" s="39" t="n">
        <v>0.92722</v>
      </c>
      <c r="C266" s="40" t="n">
        <v>7E-005</v>
      </c>
      <c r="D266" s="39" t="n">
        <v>0.16916</v>
      </c>
      <c r="E266" s="40" t="n">
        <v>0.00073</v>
      </c>
      <c r="F266" s="39" t="n">
        <v>0.85657</v>
      </c>
      <c r="G266" s="40" t="n">
        <v>0.00011</v>
      </c>
      <c r="H266" s="39" t="n">
        <v>0.76954</v>
      </c>
      <c r="I266" s="40" t="n">
        <v>0.00057</v>
      </c>
      <c r="J266" s="39" t="n">
        <v>0.67642</v>
      </c>
      <c r="K266" s="40" t="n">
        <v>0.00057</v>
      </c>
      <c r="L266" s="39" t="n">
        <v>0.78693</v>
      </c>
      <c r="M266" s="40" t="n">
        <v>0.00026</v>
      </c>
      <c r="N266" s="39" t="n">
        <v>0.67454</v>
      </c>
      <c r="O266" s="40" t="n">
        <v>0.00039</v>
      </c>
      <c r="P266" s="39" t="n">
        <v>0.77656</v>
      </c>
      <c r="Q266" s="40" t="n">
        <v>0.00022</v>
      </c>
      <c r="R266" s="39" t="n">
        <v>0.73393</v>
      </c>
      <c r="S266" s="40" t="n">
        <v>0.00015</v>
      </c>
      <c r="T266" s="39" t="n">
        <v>0.87645</v>
      </c>
      <c r="U266" s="40" t="n">
        <v>6E-005</v>
      </c>
      <c r="V266" s="39" t="n">
        <v>0.78228</v>
      </c>
      <c r="W266" s="40" t="n">
        <v>0.0001</v>
      </c>
      <c r="X266" s="39" t="n">
        <v>0.8746</v>
      </c>
      <c r="Y266" s="40" t="n">
        <v>7E-005</v>
      </c>
    </row>
    <row r="267" customFormat="false" ht="15" hidden="false" customHeight="false" outlineLevel="0" collapsed="false">
      <c r="A267" s="38" t="n">
        <v>322</v>
      </c>
      <c r="B267" s="39" t="n">
        <v>0.92611</v>
      </c>
      <c r="C267" s="40" t="n">
        <v>7E-005</v>
      </c>
      <c r="D267" s="39" t="n">
        <v>0.1625</v>
      </c>
      <c r="E267" s="40" t="n">
        <v>0.00068</v>
      </c>
      <c r="F267" s="39" t="n">
        <v>0.85522</v>
      </c>
      <c r="G267" s="40" t="n">
        <v>0.00012</v>
      </c>
      <c r="H267" s="39" t="n">
        <v>0.76273</v>
      </c>
      <c r="I267" s="40" t="n">
        <v>0.00059</v>
      </c>
      <c r="J267" s="39" t="n">
        <v>0.66961</v>
      </c>
      <c r="K267" s="40" t="n">
        <v>0.00056</v>
      </c>
      <c r="L267" s="39" t="n">
        <v>0.78405</v>
      </c>
      <c r="M267" s="40" t="n">
        <v>0.00026</v>
      </c>
      <c r="N267" s="39" t="n">
        <v>0.67028</v>
      </c>
      <c r="O267" s="40" t="n">
        <v>0.0004</v>
      </c>
      <c r="P267" s="39" t="n">
        <v>0.77382</v>
      </c>
      <c r="Q267" s="40" t="n">
        <v>0.00022</v>
      </c>
      <c r="R267" s="39" t="n">
        <v>0.73199</v>
      </c>
      <c r="S267" s="40" t="n">
        <v>0.00015</v>
      </c>
      <c r="T267" s="39" t="n">
        <v>0.87555</v>
      </c>
      <c r="U267" s="40" t="n">
        <v>7E-005</v>
      </c>
      <c r="V267" s="39" t="n">
        <v>0.78109</v>
      </c>
      <c r="W267" s="40" t="n">
        <v>0.0001</v>
      </c>
      <c r="X267" s="39" t="n">
        <v>0.87407</v>
      </c>
      <c r="Y267" s="40" t="n">
        <v>7E-005</v>
      </c>
    </row>
    <row r="268" customFormat="false" ht="15" hidden="false" customHeight="false" outlineLevel="0" collapsed="false">
      <c r="A268" s="38" t="n">
        <v>323</v>
      </c>
      <c r="B268" s="39" t="n">
        <v>0.92494</v>
      </c>
      <c r="C268" s="40" t="n">
        <v>8E-005</v>
      </c>
      <c r="D268" s="39" t="n">
        <v>0.1524</v>
      </c>
      <c r="E268" s="40" t="n">
        <v>0.0006</v>
      </c>
      <c r="F268" s="39" t="n">
        <v>0.85364</v>
      </c>
      <c r="G268" s="40" t="n">
        <v>0.00012</v>
      </c>
      <c r="H268" s="39" t="n">
        <v>0.75525</v>
      </c>
      <c r="I268" s="40" t="n">
        <v>0.00061</v>
      </c>
      <c r="J268" s="39" t="n">
        <v>0.66305</v>
      </c>
      <c r="K268" s="40" t="n">
        <v>0.00055</v>
      </c>
      <c r="L268" s="39" t="n">
        <v>0.78112</v>
      </c>
      <c r="M268" s="40" t="n">
        <v>0.00025</v>
      </c>
      <c r="N268" s="39" t="n">
        <v>0.6649</v>
      </c>
      <c r="O268" s="40" t="n">
        <v>0.0004</v>
      </c>
      <c r="P268" s="39" t="n">
        <v>0.77113</v>
      </c>
      <c r="Q268" s="40" t="n">
        <v>0.00022</v>
      </c>
      <c r="R268" s="39" t="n">
        <v>0.73025</v>
      </c>
      <c r="S268" s="40" t="n">
        <v>0.00014</v>
      </c>
      <c r="T268" s="39" t="n">
        <v>0.87462</v>
      </c>
      <c r="U268" s="40" t="n">
        <v>7E-005</v>
      </c>
      <c r="V268" s="39" t="n">
        <v>0.77999</v>
      </c>
      <c r="W268" s="40" t="n">
        <v>0.0001</v>
      </c>
      <c r="X268" s="39" t="n">
        <v>0.87323</v>
      </c>
      <c r="Y268" s="40" t="n">
        <v>7E-005</v>
      </c>
    </row>
    <row r="269" customFormat="false" ht="15" hidden="false" customHeight="false" outlineLevel="0" collapsed="false">
      <c r="A269" s="38" t="n">
        <v>324</v>
      </c>
      <c r="B269" s="39" t="n">
        <v>0.92416</v>
      </c>
      <c r="C269" s="40" t="n">
        <v>7E-005</v>
      </c>
      <c r="D269" s="39" t="n">
        <v>0.14247</v>
      </c>
      <c r="E269" s="40" t="n">
        <v>0.00057</v>
      </c>
      <c r="F269" s="39" t="n">
        <v>0.85224</v>
      </c>
      <c r="G269" s="40" t="n">
        <v>0.00012</v>
      </c>
      <c r="H269" s="39" t="n">
        <v>0.74773</v>
      </c>
      <c r="I269" s="40" t="n">
        <v>0.00063</v>
      </c>
      <c r="J269" s="39" t="n">
        <v>0.65645</v>
      </c>
      <c r="K269" s="40" t="n">
        <v>0.00055</v>
      </c>
      <c r="L269" s="39" t="n">
        <v>0.77779</v>
      </c>
      <c r="M269" s="40" t="n">
        <v>0.00024</v>
      </c>
      <c r="N269" s="39" t="n">
        <v>0.66032</v>
      </c>
      <c r="O269" s="40" t="n">
        <v>0.0004</v>
      </c>
      <c r="P269" s="39" t="n">
        <v>0.76876</v>
      </c>
      <c r="Q269" s="40" t="n">
        <v>0.00021</v>
      </c>
      <c r="R269" s="39" t="n">
        <v>0.72863</v>
      </c>
      <c r="S269" s="40" t="n">
        <v>0.00014</v>
      </c>
      <c r="T269" s="39" t="n">
        <v>0.87396</v>
      </c>
      <c r="U269" s="40" t="n">
        <v>7E-005</v>
      </c>
      <c r="V269" s="39" t="n">
        <v>0.77876</v>
      </c>
      <c r="W269" s="40" t="n">
        <v>9E-005</v>
      </c>
      <c r="X269" s="39" t="n">
        <v>0.87211</v>
      </c>
      <c r="Y269" s="40" t="n">
        <v>8E-005</v>
      </c>
    </row>
    <row r="270" customFormat="false" ht="15" hidden="false" customHeight="false" outlineLevel="0" collapsed="false">
      <c r="A270" s="38" t="n">
        <v>325</v>
      </c>
      <c r="B270" s="39" t="n">
        <v>0.9233</v>
      </c>
      <c r="C270" s="40" t="n">
        <v>6E-005</v>
      </c>
      <c r="D270" s="39" t="n">
        <v>0.13773</v>
      </c>
      <c r="E270" s="40" t="n">
        <v>0.00055</v>
      </c>
      <c r="F270" s="39" t="n">
        <v>0.85088</v>
      </c>
      <c r="G270" s="40" t="n">
        <v>0.00013</v>
      </c>
      <c r="H270" s="39" t="n">
        <v>0.74043</v>
      </c>
      <c r="I270" s="40" t="n">
        <v>0.00065</v>
      </c>
      <c r="J270" s="39" t="n">
        <v>0.64994</v>
      </c>
      <c r="K270" s="40" t="n">
        <v>0.00053</v>
      </c>
      <c r="L270" s="39" t="n">
        <v>0.77491</v>
      </c>
      <c r="M270" s="40" t="n">
        <v>0.00023</v>
      </c>
      <c r="N270" s="39" t="n">
        <v>0.65543</v>
      </c>
      <c r="O270" s="40" t="n">
        <v>0.0004</v>
      </c>
      <c r="P270" s="39" t="n">
        <v>0.76634</v>
      </c>
      <c r="Q270" s="40" t="n">
        <v>0.00021</v>
      </c>
      <c r="R270" s="39" t="n">
        <v>0.72702</v>
      </c>
      <c r="S270" s="40" t="n">
        <v>0.00014</v>
      </c>
      <c r="T270" s="39" t="n">
        <v>0.87314</v>
      </c>
      <c r="U270" s="40" t="n">
        <v>8E-005</v>
      </c>
      <c r="V270" s="39" t="n">
        <v>0.77753</v>
      </c>
      <c r="W270" s="40" t="n">
        <v>0.0001</v>
      </c>
      <c r="X270" s="39" t="n">
        <v>0.87098</v>
      </c>
      <c r="Y270" s="40" t="n">
        <v>9E-005</v>
      </c>
    </row>
    <row r="271" customFormat="false" ht="15" hidden="false" customHeight="false" outlineLevel="0" collapsed="false">
      <c r="A271" s="38" t="n">
        <v>326</v>
      </c>
      <c r="B271" s="39" t="n">
        <v>0.9227</v>
      </c>
      <c r="C271" s="40" t="n">
        <v>6E-005</v>
      </c>
      <c r="D271" s="39" t="n">
        <v>0.13317</v>
      </c>
      <c r="E271" s="40" t="n">
        <v>0.00049</v>
      </c>
      <c r="F271" s="39" t="n">
        <v>0.84932</v>
      </c>
      <c r="G271" s="40" t="n">
        <v>0.00013</v>
      </c>
      <c r="H271" s="39" t="n">
        <v>0.73254</v>
      </c>
      <c r="I271" s="40" t="n">
        <v>0.00066</v>
      </c>
      <c r="J271" s="39" t="n">
        <v>0.6437</v>
      </c>
      <c r="K271" s="40" t="n">
        <v>0.00051</v>
      </c>
      <c r="L271" s="39" t="n">
        <v>0.77199</v>
      </c>
      <c r="M271" s="40" t="n">
        <v>0.00023</v>
      </c>
      <c r="N271" s="39" t="n">
        <v>0.65029</v>
      </c>
      <c r="O271" s="40" t="n">
        <v>0.00041</v>
      </c>
      <c r="P271" s="39" t="n">
        <v>0.76391</v>
      </c>
      <c r="Q271" s="40" t="n">
        <v>0.0002</v>
      </c>
      <c r="R271" s="39" t="n">
        <v>0.72541</v>
      </c>
      <c r="S271" s="40" t="n">
        <v>0.00014</v>
      </c>
      <c r="T271" s="39" t="n">
        <v>0.87208</v>
      </c>
      <c r="U271" s="40" t="n">
        <v>8E-005</v>
      </c>
      <c r="V271" s="39" t="n">
        <v>0.77648</v>
      </c>
      <c r="W271" s="40" t="n">
        <v>0.0001</v>
      </c>
      <c r="X271" s="39" t="n">
        <v>0.86977</v>
      </c>
      <c r="Y271" s="40" t="n">
        <v>0.0001</v>
      </c>
    </row>
    <row r="272" customFormat="false" ht="15" hidden="false" customHeight="false" outlineLevel="0" collapsed="false">
      <c r="A272" s="38" t="n">
        <v>327</v>
      </c>
      <c r="B272" s="39" t="n">
        <v>0.92217</v>
      </c>
      <c r="C272" s="40" t="n">
        <v>7E-005</v>
      </c>
      <c r="D272" s="39" t="n">
        <v>0.12881</v>
      </c>
      <c r="E272" s="40" t="n">
        <v>0.00044</v>
      </c>
      <c r="F272" s="39" t="n">
        <v>0.84784</v>
      </c>
      <c r="G272" s="40" t="n">
        <v>0.00013</v>
      </c>
      <c r="H272" s="39" t="n">
        <v>0.72438</v>
      </c>
      <c r="I272" s="40" t="n">
        <v>0.00068</v>
      </c>
      <c r="J272" s="39" t="n">
        <v>0.63754</v>
      </c>
      <c r="K272" s="40" t="n">
        <v>0.0005</v>
      </c>
      <c r="L272" s="39" t="n">
        <v>0.76957</v>
      </c>
      <c r="M272" s="40" t="n">
        <v>0.00022</v>
      </c>
      <c r="N272" s="39" t="n">
        <v>0.64562</v>
      </c>
      <c r="O272" s="40" t="n">
        <v>0.0004</v>
      </c>
      <c r="P272" s="39" t="n">
        <v>0.76109</v>
      </c>
      <c r="Q272" s="40" t="n">
        <v>0.0002</v>
      </c>
      <c r="R272" s="39" t="n">
        <v>0.72363</v>
      </c>
      <c r="S272" s="40" t="n">
        <v>0.00014</v>
      </c>
      <c r="T272" s="39" t="n">
        <v>0.87126</v>
      </c>
      <c r="U272" s="40" t="n">
        <v>8E-005</v>
      </c>
      <c r="V272" s="39" t="n">
        <v>0.77527</v>
      </c>
      <c r="W272" s="40" t="n">
        <v>9E-005</v>
      </c>
      <c r="X272" s="39" t="n">
        <v>0.86872</v>
      </c>
      <c r="Y272" s="40" t="n">
        <v>0.0001</v>
      </c>
    </row>
    <row r="273" customFormat="false" ht="15" hidden="false" customHeight="false" outlineLevel="0" collapsed="false">
      <c r="A273" s="38" t="n">
        <v>328</v>
      </c>
      <c r="B273" s="39" t="n">
        <v>0.92127</v>
      </c>
      <c r="C273" s="40" t="n">
        <v>8E-005</v>
      </c>
      <c r="D273" s="39" t="n">
        <v>0.12279</v>
      </c>
      <c r="E273" s="40" t="n">
        <v>0.0004</v>
      </c>
      <c r="F273" s="39" t="n">
        <v>0.84629</v>
      </c>
      <c r="G273" s="40" t="n">
        <v>0.00014</v>
      </c>
      <c r="H273" s="39" t="n">
        <v>0.71592</v>
      </c>
      <c r="I273" s="40" t="n">
        <v>0.0007</v>
      </c>
      <c r="J273" s="39" t="n">
        <v>0.63164</v>
      </c>
      <c r="K273" s="40" t="n">
        <v>0.00048</v>
      </c>
      <c r="L273" s="39" t="n">
        <v>0.76714</v>
      </c>
      <c r="M273" s="40" t="n">
        <v>0.00021</v>
      </c>
      <c r="N273" s="39" t="n">
        <v>0.64102</v>
      </c>
      <c r="O273" s="40" t="n">
        <v>0.00041</v>
      </c>
      <c r="P273" s="39" t="n">
        <v>0.75869</v>
      </c>
      <c r="Q273" s="40" t="n">
        <v>0.00021</v>
      </c>
      <c r="R273" s="39" t="n">
        <v>0.72202</v>
      </c>
      <c r="S273" s="40" t="n">
        <v>0.00014</v>
      </c>
      <c r="T273" s="39" t="n">
        <v>0.87021</v>
      </c>
      <c r="U273" s="40" t="n">
        <v>9E-005</v>
      </c>
      <c r="V273" s="39" t="n">
        <v>0.77421</v>
      </c>
      <c r="W273" s="40" t="n">
        <v>9E-005</v>
      </c>
      <c r="X273" s="39" t="n">
        <v>0.86752</v>
      </c>
      <c r="Y273" s="40" t="n">
        <v>0.0001</v>
      </c>
    </row>
    <row r="274" customFormat="false" ht="15" hidden="false" customHeight="false" outlineLevel="0" collapsed="false">
      <c r="A274" s="38" t="n">
        <v>329</v>
      </c>
      <c r="B274" s="39" t="n">
        <v>0.92039</v>
      </c>
      <c r="C274" s="40" t="n">
        <v>8E-005</v>
      </c>
      <c r="D274" s="39" t="n">
        <v>0.11495</v>
      </c>
      <c r="E274" s="40" t="n">
        <v>0.00044</v>
      </c>
      <c r="F274" s="39" t="n">
        <v>0.84418</v>
      </c>
      <c r="G274" s="40" t="n">
        <v>0.00015</v>
      </c>
      <c r="H274" s="39" t="n">
        <v>0.70768</v>
      </c>
      <c r="I274" s="40" t="n">
        <v>0.00072</v>
      </c>
      <c r="J274" s="39" t="n">
        <v>0.62601</v>
      </c>
      <c r="K274" s="40" t="n">
        <v>0.00046</v>
      </c>
      <c r="L274" s="39" t="n">
        <v>0.76462</v>
      </c>
      <c r="M274" s="40" t="n">
        <v>0.0002</v>
      </c>
      <c r="N274" s="39" t="n">
        <v>0.63594</v>
      </c>
      <c r="O274" s="40" t="n">
        <v>0.00042</v>
      </c>
      <c r="P274" s="39" t="n">
        <v>0.75649</v>
      </c>
      <c r="Q274" s="40" t="n">
        <v>0.0002</v>
      </c>
      <c r="R274" s="39" t="n">
        <v>0.7203</v>
      </c>
      <c r="S274" s="40" t="n">
        <v>0.00014</v>
      </c>
      <c r="T274" s="39" t="n">
        <v>0.86903</v>
      </c>
      <c r="U274" s="40" t="n">
        <v>9E-005</v>
      </c>
      <c r="V274" s="39" t="n">
        <v>0.77306</v>
      </c>
      <c r="W274" s="40" t="n">
        <v>9E-005</v>
      </c>
      <c r="X274" s="39" t="n">
        <v>0.8664</v>
      </c>
      <c r="Y274" s="40" t="n">
        <v>0.0001</v>
      </c>
    </row>
    <row r="275" customFormat="false" ht="15" hidden="false" customHeight="false" outlineLevel="0" collapsed="false">
      <c r="A275" s="38" t="n">
        <v>330</v>
      </c>
      <c r="B275" s="39" t="n">
        <v>0.91895</v>
      </c>
      <c r="C275" s="40" t="n">
        <v>8E-005</v>
      </c>
      <c r="D275" s="39" t="n">
        <v>0.11194</v>
      </c>
      <c r="E275" s="40" t="n">
        <v>0.00044</v>
      </c>
      <c r="F275" s="39" t="n">
        <v>0.84236</v>
      </c>
      <c r="G275" s="40" t="n">
        <v>0.00014</v>
      </c>
      <c r="H275" s="39" t="n">
        <v>0.69909</v>
      </c>
      <c r="I275" s="40" t="n">
        <v>0.00073</v>
      </c>
      <c r="J275" s="39" t="n">
        <v>0.62082</v>
      </c>
      <c r="K275" s="40" t="n">
        <v>0.00045</v>
      </c>
      <c r="L275" s="39" t="n">
        <v>0.76178</v>
      </c>
      <c r="M275" s="40" t="n">
        <v>0.0002</v>
      </c>
      <c r="N275" s="39" t="n">
        <v>0.63112</v>
      </c>
      <c r="O275" s="40" t="n">
        <v>0.00042</v>
      </c>
      <c r="P275" s="39" t="n">
        <v>0.75414</v>
      </c>
      <c r="Q275" s="40" t="n">
        <v>0.00019</v>
      </c>
      <c r="R275" s="39" t="n">
        <v>0.71862</v>
      </c>
      <c r="S275" s="40" t="n">
        <v>0.00014</v>
      </c>
      <c r="T275" s="39" t="n">
        <v>0.86802</v>
      </c>
      <c r="U275" s="40" t="n">
        <v>8E-005</v>
      </c>
      <c r="V275" s="39" t="n">
        <v>0.77185</v>
      </c>
      <c r="W275" s="40" t="n">
        <v>9E-005</v>
      </c>
      <c r="X275" s="39" t="n">
        <v>0.865</v>
      </c>
      <c r="Y275" s="40" t="n">
        <v>0.0001</v>
      </c>
    </row>
    <row r="276" customFormat="false" ht="15" hidden="false" customHeight="false" outlineLevel="0" collapsed="false">
      <c r="A276" s="38" t="n">
        <v>331</v>
      </c>
      <c r="B276" s="39" t="n">
        <v>0.91783</v>
      </c>
      <c r="C276" s="40" t="n">
        <v>8E-005</v>
      </c>
      <c r="D276" s="39" t="n">
        <v>0.10675</v>
      </c>
      <c r="E276" s="40" t="n">
        <v>0.00037</v>
      </c>
      <c r="F276" s="39" t="n">
        <v>0.84095</v>
      </c>
      <c r="G276" s="40" t="n">
        <v>0.00014</v>
      </c>
      <c r="H276" s="39" t="n">
        <v>0.69025</v>
      </c>
      <c r="I276" s="40" t="n">
        <v>0.00074</v>
      </c>
      <c r="J276" s="39" t="n">
        <v>0.61528</v>
      </c>
      <c r="K276" s="40" t="n">
        <v>0.00043</v>
      </c>
      <c r="L276" s="39" t="n">
        <v>0.75949</v>
      </c>
      <c r="M276" s="40" t="n">
        <v>0.0002</v>
      </c>
      <c r="N276" s="39" t="n">
        <v>0.62585</v>
      </c>
      <c r="O276" s="40" t="n">
        <v>0.00043</v>
      </c>
      <c r="P276" s="39" t="n">
        <v>0.75164</v>
      </c>
      <c r="Q276" s="40" t="n">
        <v>0.00019</v>
      </c>
      <c r="R276" s="39" t="n">
        <v>0.71704</v>
      </c>
      <c r="S276" s="40" t="n">
        <v>0.00014</v>
      </c>
      <c r="T276" s="39" t="n">
        <v>0.86685</v>
      </c>
      <c r="U276" s="40" t="n">
        <v>9E-005</v>
      </c>
      <c r="V276" s="39" t="n">
        <v>0.77108</v>
      </c>
      <c r="W276" s="40" t="n">
        <v>9E-005</v>
      </c>
      <c r="X276" s="39" t="n">
        <v>0.86389</v>
      </c>
      <c r="Y276" s="40" t="n">
        <v>0.0001</v>
      </c>
    </row>
    <row r="277" customFormat="false" ht="15" hidden="false" customHeight="false" outlineLevel="0" collapsed="false">
      <c r="A277" s="38" t="n">
        <v>332</v>
      </c>
      <c r="B277" s="39" t="n">
        <v>0.91731</v>
      </c>
      <c r="C277" s="40" t="n">
        <v>8E-005</v>
      </c>
      <c r="D277" s="39" t="n">
        <v>0.10264</v>
      </c>
      <c r="E277" s="40" t="n">
        <v>0.00032</v>
      </c>
      <c r="F277" s="39" t="n">
        <v>0.83918</v>
      </c>
      <c r="G277" s="40" t="n">
        <v>0.00014</v>
      </c>
      <c r="H277" s="39" t="n">
        <v>0.68108</v>
      </c>
      <c r="I277" s="40" t="n">
        <v>0.00076</v>
      </c>
      <c r="J277" s="39" t="n">
        <v>0.61007</v>
      </c>
      <c r="K277" s="40" t="n">
        <v>0.00042</v>
      </c>
      <c r="L277" s="39" t="n">
        <v>0.7575</v>
      </c>
      <c r="M277" s="40" t="n">
        <v>0.00019</v>
      </c>
      <c r="N277" s="39" t="n">
        <v>0.62046</v>
      </c>
      <c r="O277" s="40" t="n">
        <v>0.00043</v>
      </c>
      <c r="P277" s="39" t="n">
        <v>0.74932</v>
      </c>
      <c r="Q277" s="40" t="n">
        <v>0.00019</v>
      </c>
      <c r="R277" s="39" t="n">
        <v>0.71553</v>
      </c>
      <c r="S277" s="40" t="n">
        <v>0.00014</v>
      </c>
      <c r="T277" s="39" t="n">
        <v>0.86598</v>
      </c>
      <c r="U277" s="40" t="n">
        <v>9E-005</v>
      </c>
      <c r="V277" s="39" t="n">
        <v>0.77001</v>
      </c>
      <c r="W277" s="40" t="n">
        <v>9E-005</v>
      </c>
      <c r="X277" s="39" t="n">
        <v>0.86285</v>
      </c>
      <c r="Y277" s="40" t="n">
        <v>0.00011</v>
      </c>
    </row>
    <row r="278" customFormat="false" ht="15" hidden="false" customHeight="false" outlineLevel="0" collapsed="false">
      <c r="A278" s="38" t="n">
        <v>333</v>
      </c>
      <c r="B278" s="39" t="n">
        <v>0.9167</v>
      </c>
      <c r="C278" s="40" t="n">
        <v>7E-005</v>
      </c>
      <c r="D278" s="39" t="n">
        <v>0.09799</v>
      </c>
      <c r="E278" s="40" t="n">
        <v>0.00032</v>
      </c>
      <c r="F278" s="39" t="n">
        <v>0.83753</v>
      </c>
      <c r="G278" s="40" t="n">
        <v>0.00013</v>
      </c>
      <c r="H278" s="39" t="n">
        <v>0.67191</v>
      </c>
      <c r="I278" s="40" t="n">
        <v>0.00077</v>
      </c>
      <c r="J278" s="39" t="n">
        <v>0.6053</v>
      </c>
      <c r="K278" s="40" t="n">
        <v>0.0004</v>
      </c>
      <c r="L278" s="39" t="n">
        <v>0.7552</v>
      </c>
      <c r="M278" s="40" t="n">
        <v>0.00018</v>
      </c>
      <c r="N278" s="39" t="n">
        <v>0.61546</v>
      </c>
      <c r="O278" s="40" t="n">
        <v>0.00042</v>
      </c>
      <c r="P278" s="39" t="n">
        <v>0.74725</v>
      </c>
      <c r="Q278" s="40" t="n">
        <v>0.00019</v>
      </c>
      <c r="R278" s="39" t="n">
        <v>0.71359</v>
      </c>
      <c r="S278" s="40" t="n">
        <v>0.00014</v>
      </c>
      <c r="T278" s="39" t="n">
        <v>0.86506</v>
      </c>
      <c r="U278" s="40" t="n">
        <v>9E-005</v>
      </c>
      <c r="V278" s="39" t="n">
        <v>0.76888</v>
      </c>
      <c r="W278" s="40" t="n">
        <v>9E-005</v>
      </c>
      <c r="X278" s="39" t="n">
        <v>0.86157</v>
      </c>
      <c r="Y278" s="40" t="n">
        <v>0.00012</v>
      </c>
    </row>
    <row r="279" customFormat="false" ht="15" hidden="false" customHeight="false" outlineLevel="0" collapsed="false">
      <c r="A279" s="38" t="n">
        <v>334</v>
      </c>
      <c r="B279" s="39" t="n">
        <v>0.91583</v>
      </c>
      <c r="C279" s="40" t="n">
        <v>7E-005</v>
      </c>
      <c r="D279" s="39" t="n">
        <v>0.09433</v>
      </c>
      <c r="E279" s="40" t="n">
        <v>0.00035</v>
      </c>
      <c r="F279" s="39" t="n">
        <v>0.83605</v>
      </c>
      <c r="G279" s="40" t="n">
        <v>0.00013</v>
      </c>
      <c r="H279" s="39" t="n">
        <v>0.66262</v>
      </c>
      <c r="I279" s="40" t="n">
        <v>0.00078</v>
      </c>
      <c r="J279" s="39" t="n">
        <v>0.60068</v>
      </c>
      <c r="K279" s="40" t="n">
        <v>0.00039</v>
      </c>
      <c r="L279" s="39" t="n">
        <v>0.75292</v>
      </c>
      <c r="M279" s="40" t="n">
        <v>0.00017</v>
      </c>
      <c r="N279" s="39" t="n">
        <v>0.61041</v>
      </c>
      <c r="O279" s="40" t="n">
        <v>0.00042</v>
      </c>
      <c r="P279" s="39" t="n">
        <v>0.7451</v>
      </c>
      <c r="Q279" s="40" t="n">
        <v>0.00018</v>
      </c>
      <c r="R279" s="39" t="n">
        <v>0.71201</v>
      </c>
      <c r="S279" s="40" t="n">
        <v>0.00013</v>
      </c>
      <c r="T279" s="39" t="n">
        <v>0.86397</v>
      </c>
      <c r="U279" s="40" t="n">
        <v>0.0001</v>
      </c>
      <c r="V279" s="39" t="n">
        <v>0.76781</v>
      </c>
      <c r="W279" s="40" t="n">
        <v>9E-005</v>
      </c>
      <c r="X279" s="39" t="n">
        <v>0.86013</v>
      </c>
      <c r="Y279" s="40" t="n">
        <v>0.00012</v>
      </c>
    </row>
    <row r="280" customFormat="false" ht="15" hidden="false" customHeight="false" outlineLevel="0" collapsed="false">
      <c r="A280" s="38" t="n">
        <v>335</v>
      </c>
      <c r="B280" s="39" t="n">
        <v>0.91451</v>
      </c>
      <c r="C280" s="40" t="n">
        <v>8E-005</v>
      </c>
      <c r="D280" s="39" t="n">
        <v>0.09318</v>
      </c>
      <c r="E280" s="40" t="n">
        <v>0.00033</v>
      </c>
      <c r="F280" s="39" t="n">
        <v>0.83439</v>
      </c>
      <c r="G280" s="40" t="n">
        <v>0.00014</v>
      </c>
      <c r="H280" s="39" t="n">
        <v>0.65306</v>
      </c>
      <c r="I280" s="40" t="n">
        <v>0.00079</v>
      </c>
      <c r="J280" s="39" t="n">
        <v>0.59607</v>
      </c>
      <c r="K280" s="40" t="n">
        <v>0.00036</v>
      </c>
      <c r="L280" s="39" t="n">
        <v>0.751</v>
      </c>
      <c r="M280" s="40" t="n">
        <v>0.00016</v>
      </c>
      <c r="N280" s="39" t="n">
        <v>0.60509</v>
      </c>
      <c r="O280" s="40" t="n">
        <v>0.00042</v>
      </c>
      <c r="P280" s="39" t="n">
        <v>0.74286</v>
      </c>
      <c r="Q280" s="40" t="n">
        <v>0.00018</v>
      </c>
      <c r="R280" s="39" t="n">
        <v>0.71043</v>
      </c>
      <c r="S280" s="40" t="n">
        <v>0.00013</v>
      </c>
      <c r="T280" s="39" t="n">
        <v>0.86265</v>
      </c>
      <c r="U280" s="40" t="n">
        <v>0.0001</v>
      </c>
      <c r="V280" s="39" t="n">
        <v>0.76677</v>
      </c>
      <c r="W280" s="40" t="n">
        <v>9E-005</v>
      </c>
      <c r="X280" s="39" t="n">
        <v>0.85835</v>
      </c>
      <c r="Y280" s="40" t="n">
        <v>0.00013</v>
      </c>
    </row>
    <row r="281" customFormat="false" ht="15" hidden="false" customHeight="false" outlineLevel="0" collapsed="false">
      <c r="A281" s="38" t="n">
        <v>336</v>
      </c>
      <c r="B281" s="39" t="n">
        <v>0.91335</v>
      </c>
      <c r="C281" s="40" t="n">
        <v>9E-005</v>
      </c>
      <c r="D281" s="39" t="n">
        <v>0.08791</v>
      </c>
      <c r="E281" s="40" t="n">
        <v>0.00029</v>
      </c>
      <c r="F281" s="39" t="n">
        <v>0.83267</v>
      </c>
      <c r="G281" s="40" t="n">
        <v>0.00014</v>
      </c>
      <c r="H281" s="39" t="n">
        <v>0.64356</v>
      </c>
      <c r="I281" s="40" t="n">
        <v>0.0008</v>
      </c>
      <c r="J281" s="39" t="n">
        <v>0.59184</v>
      </c>
      <c r="K281" s="40" t="n">
        <v>0.00034</v>
      </c>
      <c r="L281" s="39" t="n">
        <v>0.74914</v>
      </c>
      <c r="M281" s="40" t="n">
        <v>0.00016</v>
      </c>
      <c r="N281" s="39" t="n">
        <v>0.60029</v>
      </c>
      <c r="O281" s="40" t="n">
        <v>0.00041</v>
      </c>
      <c r="P281" s="39" t="n">
        <v>0.74054</v>
      </c>
      <c r="Q281" s="40" t="n">
        <v>0.00017</v>
      </c>
      <c r="R281" s="39" t="n">
        <v>0.70892</v>
      </c>
      <c r="S281" s="40" t="n">
        <v>0.00012</v>
      </c>
      <c r="T281" s="39" t="n">
        <v>0.86114</v>
      </c>
      <c r="U281" s="40" t="n">
        <v>0.00011</v>
      </c>
      <c r="V281" s="39" t="n">
        <v>0.76577</v>
      </c>
      <c r="W281" s="40" t="n">
        <v>9E-005</v>
      </c>
      <c r="X281" s="39" t="n">
        <v>0.8566</v>
      </c>
      <c r="Y281" s="40" t="n">
        <v>0.00014</v>
      </c>
    </row>
    <row r="282" customFormat="false" ht="15" hidden="false" customHeight="false" outlineLevel="0" collapsed="false">
      <c r="A282" s="38" t="n">
        <v>337</v>
      </c>
      <c r="B282" s="39" t="n">
        <v>0.91273</v>
      </c>
      <c r="C282" s="40" t="n">
        <v>0.0001</v>
      </c>
      <c r="D282" s="39" t="n">
        <v>0.08121</v>
      </c>
      <c r="E282" s="40" t="n">
        <v>0.00029</v>
      </c>
      <c r="F282" s="39" t="n">
        <v>0.83119</v>
      </c>
      <c r="G282" s="40" t="n">
        <v>0.00015</v>
      </c>
      <c r="H282" s="39" t="n">
        <v>0.63406</v>
      </c>
      <c r="I282" s="40" t="n">
        <v>0.0008</v>
      </c>
      <c r="J282" s="39" t="n">
        <v>0.58772</v>
      </c>
      <c r="K282" s="40" t="n">
        <v>0.00033</v>
      </c>
      <c r="L282" s="39" t="n">
        <v>0.74722</v>
      </c>
      <c r="M282" s="40" t="n">
        <v>0.00015</v>
      </c>
      <c r="N282" s="39" t="n">
        <v>0.59571</v>
      </c>
      <c r="O282" s="40" t="n">
        <v>0.00041</v>
      </c>
      <c r="P282" s="39" t="n">
        <v>0.73849</v>
      </c>
      <c r="Q282" s="40" t="n">
        <v>0.00018</v>
      </c>
      <c r="R282" s="39" t="n">
        <v>0.70751</v>
      </c>
      <c r="S282" s="40" t="n">
        <v>0.00012</v>
      </c>
      <c r="T282" s="39" t="n">
        <v>0.85979</v>
      </c>
      <c r="U282" s="40" t="n">
        <v>0.00012</v>
      </c>
      <c r="V282" s="39" t="n">
        <v>0.76476</v>
      </c>
      <c r="W282" s="40" t="n">
        <v>9E-005</v>
      </c>
      <c r="X282" s="39" t="n">
        <v>0.85503</v>
      </c>
      <c r="Y282" s="40" t="n">
        <v>0.00014</v>
      </c>
    </row>
    <row r="283" customFormat="false" ht="15" hidden="false" customHeight="false" outlineLevel="0" collapsed="false">
      <c r="A283" s="38" t="n">
        <v>338</v>
      </c>
      <c r="B283" s="39" t="n">
        <v>0.91135</v>
      </c>
      <c r="C283" s="40" t="n">
        <v>0.00011</v>
      </c>
      <c r="D283" s="39" t="n">
        <v>0.0787</v>
      </c>
      <c r="E283" s="40" t="n">
        <v>0.00028</v>
      </c>
      <c r="F283" s="39" t="n">
        <v>0.82939</v>
      </c>
      <c r="G283" s="40" t="n">
        <v>0.00016</v>
      </c>
      <c r="H283" s="39" t="n">
        <v>0.62455</v>
      </c>
      <c r="I283" s="40" t="n">
        <v>0.00082</v>
      </c>
      <c r="J283" s="39" t="n">
        <v>0.5838</v>
      </c>
      <c r="K283" s="40" t="n">
        <v>0.00032</v>
      </c>
      <c r="L283" s="39" t="n">
        <v>0.74552</v>
      </c>
      <c r="M283" s="40" t="n">
        <v>0.00015</v>
      </c>
      <c r="N283" s="39" t="n">
        <v>0.59069</v>
      </c>
      <c r="O283" s="40" t="n">
        <v>0.00041</v>
      </c>
      <c r="P283" s="39" t="n">
        <v>0.73661</v>
      </c>
      <c r="Q283" s="40" t="n">
        <v>0.00018</v>
      </c>
      <c r="R283" s="39" t="n">
        <v>0.70617</v>
      </c>
      <c r="S283" s="40" t="n">
        <v>0.00012</v>
      </c>
      <c r="T283" s="39" t="n">
        <v>0.85854</v>
      </c>
      <c r="U283" s="40" t="n">
        <v>0.00012</v>
      </c>
      <c r="V283" s="39" t="n">
        <v>0.76365</v>
      </c>
      <c r="W283" s="40" t="n">
        <v>9E-005</v>
      </c>
      <c r="X283" s="39" t="n">
        <v>0.85356</v>
      </c>
      <c r="Y283" s="40" t="n">
        <v>0.00014</v>
      </c>
    </row>
    <row r="284" customFormat="false" ht="15" hidden="false" customHeight="false" outlineLevel="0" collapsed="false">
      <c r="A284" s="38" t="n">
        <v>339</v>
      </c>
      <c r="B284" s="39" t="n">
        <v>0.90998</v>
      </c>
      <c r="C284" s="40" t="n">
        <v>0.00011</v>
      </c>
      <c r="D284" s="39" t="n">
        <v>0.07768</v>
      </c>
      <c r="E284" s="40" t="n">
        <v>0.00027</v>
      </c>
      <c r="F284" s="39" t="n">
        <v>0.82724</v>
      </c>
      <c r="G284" s="40" t="n">
        <v>0.00017</v>
      </c>
      <c r="H284" s="39" t="n">
        <v>0.61444</v>
      </c>
      <c r="I284" s="40" t="n">
        <v>0.00083</v>
      </c>
      <c r="J284" s="39" t="n">
        <v>0.58038</v>
      </c>
      <c r="K284" s="40" t="n">
        <v>0.0003</v>
      </c>
      <c r="L284" s="39" t="n">
        <v>0.74399</v>
      </c>
      <c r="M284" s="40" t="n">
        <v>0.00014</v>
      </c>
      <c r="N284" s="39" t="n">
        <v>0.58524</v>
      </c>
      <c r="O284" s="40" t="n">
        <v>0.00041</v>
      </c>
      <c r="P284" s="39" t="n">
        <v>0.73454</v>
      </c>
      <c r="Q284" s="40" t="n">
        <v>0.00017</v>
      </c>
      <c r="R284" s="39" t="n">
        <v>0.70472</v>
      </c>
      <c r="S284" s="40" t="n">
        <v>0.00012</v>
      </c>
      <c r="T284" s="39" t="n">
        <v>0.85713</v>
      </c>
      <c r="U284" s="40" t="n">
        <v>0.00012</v>
      </c>
      <c r="V284" s="39" t="n">
        <v>0.76259</v>
      </c>
      <c r="W284" s="40" t="n">
        <v>8E-005</v>
      </c>
      <c r="X284" s="39" t="n">
        <v>0.85189</v>
      </c>
      <c r="Y284" s="40" t="n">
        <v>0.00014</v>
      </c>
    </row>
    <row r="285" customFormat="false" ht="15" hidden="false" customHeight="false" outlineLevel="0" collapsed="false">
      <c r="A285" s="38" t="n">
        <v>340</v>
      </c>
      <c r="B285" s="39" t="n">
        <v>0.90892</v>
      </c>
      <c r="C285" s="40" t="n">
        <v>0.00011</v>
      </c>
      <c r="D285" s="39" t="n">
        <v>0.07524</v>
      </c>
      <c r="E285" s="40" t="n">
        <v>0.00023</v>
      </c>
      <c r="F285" s="39" t="n">
        <v>0.82483</v>
      </c>
      <c r="G285" s="40" t="n">
        <v>0.00017</v>
      </c>
      <c r="H285" s="39" t="n">
        <v>0.60435</v>
      </c>
      <c r="I285" s="40" t="n">
        <v>0.00084</v>
      </c>
      <c r="J285" s="39" t="n">
        <v>0.57683</v>
      </c>
      <c r="K285" s="40" t="n">
        <v>0.00029</v>
      </c>
      <c r="L285" s="39" t="n">
        <v>0.7423</v>
      </c>
      <c r="M285" s="40" t="n">
        <v>0.00013</v>
      </c>
      <c r="N285" s="39" t="n">
        <v>0.58071</v>
      </c>
      <c r="O285" s="40" t="n">
        <v>0.00041</v>
      </c>
      <c r="P285" s="39" t="n">
        <v>0.73241</v>
      </c>
      <c r="Q285" s="40" t="n">
        <v>0.00017</v>
      </c>
      <c r="R285" s="39" t="n">
        <v>0.70346</v>
      </c>
      <c r="S285" s="40" t="n">
        <v>0.00012</v>
      </c>
      <c r="T285" s="39" t="n">
        <v>0.85558</v>
      </c>
      <c r="U285" s="40" t="n">
        <v>0.00012</v>
      </c>
      <c r="V285" s="39" t="n">
        <v>0.76166</v>
      </c>
      <c r="W285" s="40" t="n">
        <v>8E-005</v>
      </c>
      <c r="X285" s="39" t="n">
        <v>0.85018</v>
      </c>
      <c r="Y285" s="40" t="n">
        <v>0.00014</v>
      </c>
    </row>
    <row r="286" customFormat="false" ht="15" hidden="false" customHeight="false" outlineLevel="0" collapsed="false">
      <c r="A286" s="38" t="n">
        <v>341</v>
      </c>
      <c r="B286" s="39" t="n">
        <v>0.90697</v>
      </c>
      <c r="C286" s="40" t="n">
        <v>0.00011</v>
      </c>
      <c r="D286" s="39" t="n">
        <v>0.07135</v>
      </c>
      <c r="E286" s="40" t="n">
        <v>0.00019</v>
      </c>
      <c r="F286" s="39" t="n">
        <v>0.82268</v>
      </c>
      <c r="G286" s="40" t="n">
        <v>0.00018</v>
      </c>
      <c r="H286" s="39" t="n">
        <v>0.59449</v>
      </c>
      <c r="I286" s="40" t="n">
        <v>0.00085</v>
      </c>
      <c r="J286" s="39" t="n">
        <v>0.57312</v>
      </c>
      <c r="K286" s="40" t="n">
        <v>0.00028</v>
      </c>
      <c r="L286" s="39" t="n">
        <v>0.74033</v>
      </c>
      <c r="M286" s="40" t="n">
        <v>0.00013</v>
      </c>
      <c r="N286" s="39" t="n">
        <v>0.57602</v>
      </c>
      <c r="O286" s="40" t="n">
        <v>0.0004</v>
      </c>
      <c r="P286" s="39" t="n">
        <v>0.73014</v>
      </c>
      <c r="Q286" s="40" t="n">
        <v>0.00017</v>
      </c>
      <c r="R286" s="39" t="n">
        <v>0.70186</v>
      </c>
      <c r="S286" s="40" t="n">
        <v>0.00012</v>
      </c>
      <c r="T286" s="39" t="n">
        <v>0.85413</v>
      </c>
      <c r="U286" s="40" t="n">
        <v>0.00012</v>
      </c>
      <c r="V286" s="39" t="n">
        <v>0.76067</v>
      </c>
      <c r="W286" s="40" t="n">
        <v>8E-005</v>
      </c>
      <c r="X286" s="39" t="n">
        <v>0.84832</v>
      </c>
      <c r="Y286" s="40" t="n">
        <v>0.00015</v>
      </c>
    </row>
    <row r="287" customFormat="false" ht="15" hidden="false" customHeight="false" outlineLevel="0" collapsed="false">
      <c r="A287" s="38" t="n">
        <v>342</v>
      </c>
      <c r="B287" s="39" t="n">
        <v>0.90567</v>
      </c>
      <c r="C287" s="40" t="n">
        <v>0.00012</v>
      </c>
      <c r="D287" s="39" t="n">
        <v>0.06811</v>
      </c>
      <c r="E287" s="40" t="n">
        <v>0.0002</v>
      </c>
      <c r="F287" s="39" t="n">
        <v>0.82075</v>
      </c>
      <c r="G287" s="40" t="n">
        <v>0.00017</v>
      </c>
      <c r="H287" s="39" t="n">
        <v>0.58403</v>
      </c>
      <c r="I287" s="40" t="n">
        <v>0.00085</v>
      </c>
      <c r="J287" s="39" t="n">
        <v>0.56976</v>
      </c>
      <c r="K287" s="40" t="n">
        <v>0.00027</v>
      </c>
      <c r="L287" s="39" t="n">
        <v>0.73886</v>
      </c>
      <c r="M287" s="40" t="n">
        <v>0.00012</v>
      </c>
      <c r="N287" s="39" t="n">
        <v>0.5709</v>
      </c>
      <c r="O287" s="40" t="n">
        <v>0.00039</v>
      </c>
      <c r="P287" s="39" t="n">
        <v>0.72813</v>
      </c>
      <c r="Q287" s="40" t="n">
        <v>0.00017</v>
      </c>
      <c r="R287" s="39" t="n">
        <v>0.70042</v>
      </c>
      <c r="S287" s="40" t="n">
        <v>0.00012</v>
      </c>
      <c r="T287" s="39" t="n">
        <v>0.85269</v>
      </c>
      <c r="U287" s="40" t="n">
        <v>0.00012</v>
      </c>
      <c r="V287" s="39" t="n">
        <v>0.7597</v>
      </c>
      <c r="W287" s="40" t="n">
        <v>7E-005</v>
      </c>
      <c r="X287" s="39" t="n">
        <v>0.84646</v>
      </c>
      <c r="Y287" s="40" t="n">
        <v>0.00016</v>
      </c>
    </row>
    <row r="288" customFormat="false" ht="15" hidden="false" customHeight="false" outlineLevel="0" collapsed="false">
      <c r="A288" s="38" t="n">
        <v>343</v>
      </c>
      <c r="B288" s="39" t="n">
        <v>0.90472</v>
      </c>
      <c r="C288" s="40" t="n">
        <v>0.00012</v>
      </c>
      <c r="D288" s="39" t="n">
        <v>0.06696</v>
      </c>
      <c r="E288" s="40" t="n">
        <v>0.00021</v>
      </c>
      <c r="F288" s="39" t="n">
        <v>0.81881</v>
      </c>
      <c r="G288" s="40" t="n">
        <v>0.00017</v>
      </c>
      <c r="H288" s="39" t="n">
        <v>0.57372</v>
      </c>
      <c r="I288" s="40" t="n">
        <v>0.00084</v>
      </c>
      <c r="J288" s="39" t="n">
        <v>0.56664</v>
      </c>
      <c r="K288" s="40" t="n">
        <v>0.00027</v>
      </c>
      <c r="L288" s="39" t="n">
        <v>0.73767</v>
      </c>
      <c r="M288" s="40" t="n">
        <v>0.00012</v>
      </c>
      <c r="N288" s="39" t="n">
        <v>0.5662</v>
      </c>
      <c r="O288" s="40" t="n">
        <v>0.00037</v>
      </c>
      <c r="P288" s="39" t="n">
        <v>0.72636</v>
      </c>
      <c r="Q288" s="40" t="n">
        <v>0.00016</v>
      </c>
      <c r="R288" s="39" t="n">
        <v>0.69885</v>
      </c>
      <c r="S288" s="40" t="n">
        <v>0.00012</v>
      </c>
      <c r="T288" s="39" t="n">
        <v>0.85134</v>
      </c>
      <c r="U288" s="40" t="n">
        <v>0.00013</v>
      </c>
      <c r="V288" s="39" t="n">
        <v>0.759</v>
      </c>
      <c r="W288" s="40" t="n">
        <v>8E-005</v>
      </c>
      <c r="X288" s="39" t="n">
        <v>0.84464</v>
      </c>
      <c r="Y288" s="40" t="n">
        <v>0.00017</v>
      </c>
    </row>
    <row r="289" customFormat="false" ht="15" hidden="false" customHeight="false" outlineLevel="0" collapsed="false">
      <c r="A289" s="38" t="n">
        <v>344</v>
      </c>
      <c r="B289" s="39" t="n">
        <v>0.90329</v>
      </c>
      <c r="C289" s="40" t="n">
        <v>0.00013</v>
      </c>
      <c r="D289" s="39" t="n">
        <v>0.06306</v>
      </c>
      <c r="E289" s="40" t="n">
        <v>0.00018</v>
      </c>
      <c r="F289" s="39" t="n">
        <v>0.81689</v>
      </c>
      <c r="G289" s="40" t="n">
        <v>0.00016</v>
      </c>
      <c r="H289" s="39" t="n">
        <v>0.56393</v>
      </c>
      <c r="I289" s="40" t="n">
        <v>0.00084</v>
      </c>
      <c r="J289" s="39" t="n">
        <v>0.56357</v>
      </c>
      <c r="K289" s="40" t="n">
        <v>0.00025</v>
      </c>
      <c r="L289" s="39" t="n">
        <v>0.73636</v>
      </c>
      <c r="M289" s="40" t="n">
        <v>0.00012</v>
      </c>
      <c r="N289" s="39" t="n">
        <v>0.56207</v>
      </c>
      <c r="O289" s="40" t="n">
        <v>0.00037</v>
      </c>
      <c r="P289" s="39" t="n">
        <v>0.72423</v>
      </c>
      <c r="Q289" s="40" t="n">
        <v>0.00016</v>
      </c>
      <c r="R289" s="39" t="n">
        <v>0.69711</v>
      </c>
      <c r="S289" s="40" t="n">
        <v>0.00013</v>
      </c>
      <c r="T289" s="39" t="n">
        <v>0.85</v>
      </c>
      <c r="U289" s="40" t="n">
        <v>0.00013</v>
      </c>
      <c r="V289" s="39" t="n">
        <v>0.75811</v>
      </c>
      <c r="W289" s="40" t="n">
        <v>8E-005</v>
      </c>
      <c r="X289" s="39" t="n">
        <v>0.84275</v>
      </c>
      <c r="Y289" s="40" t="n">
        <v>0.00017</v>
      </c>
    </row>
    <row r="290" customFormat="false" ht="15" hidden="false" customHeight="false" outlineLevel="0" collapsed="false">
      <c r="A290" s="38" t="n">
        <v>345</v>
      </c>
      <c r="B290" s="39" t="n">
        <v>0.90195</v>
      </c>
      <c r="C290" s="40" t="n">
        <v>0.00012</v>
      </c>
      <c r="D290" s="39" t="n">
        <v>0.06233</v>
      </c>
      <c r="E290" s="40" t="n">
        <v>0.00013</v>
      </c>
      <c r="F290" s="39" t="n">
        <v>0.81487</v>
      </c>
      <c r="G290" s="40" t="n">
        <v>0.00017</v>
      </c>
      <c r="H290" s="39" t="n">
        <v>0.55375</v>
      </c>
      <c r="I290" s="40" t="n">
        <v>0.00084</v>
      </c>
      <c r="J290" s="39" t="n">
        <v>0.5604</v>
      </c>
      <c r="K290" s="40" t="n">
        <v>0.00024</v>
      </c>
      <c r="L290" s="39" t="n">
        <v>0.73485</v>
      </c>
      <c r="M290" s="40" t="n">
        <v>0.00011</v>
      </c>
      <c r="N290" s="39" t="n">
        <v>0.55782</v>
      </c>
      <c r="O290" s="40" t="n">
        <v>0.00037</v>
      </c>
      <c r="P290" s="39" t="n">
        <v>0.72252</v>
      </c>
      <c r="Q290" s="40" t="n">
        <v>0.00015</v>
      </c>
      <c r="R290" s="39" t="n">
        <v>0.6959</v>
      </c>
      <c r="S290" s="40" t="n">
        <v>0.00012</v>
      </c>
      <c r="T290" s="39" t="n">
        <v>0.84837</v>
      </c>
      <c r="U290" s="40" t="n">
        <v>0.00013</v>
      </c>
      <c r="V290" s="39" t="n">
        <v>0.75706</v>
      </c>
      <c r="W290" s="40" t="n">
        <v>7E-005</v>
      </c>
      <c r="X290" s="39" t="n">
        <v>0.8407</v>
      </c>
      <c r="Y290" s="40" t="n">
        <v>0.00017</v>
      </c>
    </row>
    <row r="291" customFormat="false" ht="15" hidden="false" customHeight="false" outlineLevel="0" collapsed="false">
      <c r="A291" s="38" t="n">
        <v>346</v>
      </c>
      <c r="B291" s="39" t="n">
        <v>0.89955</v>
      </c>
      <c r="C291" s="40" t="n">
        <v>0.00014</v>
      </c>
      <c r="D291" s="39" t="n">
        <v>0.06085</v>
      </c>
      <c r="E291" s="40" t="n">
        <v>0.00012</v>
      </c>
      <c r="F291" s="39" t="n">
        <v>0.81276</v>
      </c>
      <c r="G291" s="40" t="n">
        <v>0.00018</v>
      </c>
      <c r="H291" s="39" t="n">
        <v>0.54384</v>
      </c>
      <c r="I291" s="40" t="n">
        <v>0.00083</v>
      </c>
      <c r="J291" s="39" t="n">
        <v>0.55776</v>
      </c>
      <c r="K291" s="40" t="n">
        <v>0.00023</v>
      </c>
      <c r="L291" s="39" t="n">
        <v>0.73359</v>
      </c>
      <c r="M291" s="40" t="n">
        <v>0.00011</v>
      </c>
      <c r="N291" s="39" t="n">
        <v>0.55356</v>
      </c>
      <c r="O291" s="40" t="n">
        <v>0.00036</v>
      </c>
      <c r="P291" s="39" t="n">
        <v>0.72078</v>
      </c>
      <c r="Q291" s="40" t="n">
        <v>0.00015</v>
      </c>
      <c r="R291" s="39" t="n">
        <v>0.6947</v>
      </c>
      <c r="S291" s="40" t="n">
        <v>0.00012</v>
      </c>
      <c r="T291" s="39" t="n">
        <v>0.84656</v>
      </c>
      <c r="U291" s="40" t="n">
        <v>0.00014</v>
      </c>
      <c r="V291" s="39" t="n">
        <v>0.75618</v>
      </c>
      <c r="W291" s="40" t="n">
        <v>8E-005</v>
      </c>
      <c r="X291" s="39" t="n">
        <v>0.83829</v>
      </c>
      <c r="Y291" s="40" t="n">
        <v>0.00017</v>
      </c>
    </row>
    <row r="292" customFormat="false" ht="15" hidden="false" customHeight="false" outlineLevel="0" collapsed="false">
      <c r="A292" s="38" t="n">
        <v>347</v>
      </c>
      <c r="B292" s="39" t="n">
        <v>0.89801</v>
      </c>
      <c r="C292" s="40" t="n">
        <v>0.00016</v>
      </c>
      <c r="D292" s="39" t="n">
        <v>0.05936</v>
      </c>
      <c r="E292" s="40" t="n">
        <v>0.00013</v>
      </c>
      <c r="F292" s="39" t="n">
        <v>0.81073</v>
      </c>
      <c r="G292" s="40" t="n">
        <v>0.00018</v>
      </c>
      <c r="H292" s="39" t="n">
        <v>0.53404</v>
      </c>
      <c r="I292" s="40" t="n">
        <v>0.00083</v>
      </c>
      <c r="J292" s="39" t="n">
        <v>0.55495</v>
      </c>
      <c r="K292" s="40" t="n">
        <v>0.00022</v>
      </c>
      <c r="L292" s="39" t="n">
        <v>0.73215</v>
      </c>
      <c r="M292" s="40" t="n">
        <v>0.00011</v>
      </c>
      <c r="N292" s="39" t="n">
        <v>0.54936</v>
      </c>
      <c r="O292" s="40" t="n">
        <v>0.00035</v>
      </c>
      <c r="P292" s="39" t="n">
        <v>0.71859</v>
      </c>
      <c r="Q292" s="40" t="n">
        <v>0.00016</v>
      </c>
      <c r="R292" s="39" t="n">
        <v>0.69302</v>
      </c>
      <c r="S292" s="40" t="n">
        <v>0.00011</v>
      </c>
      <c r="T292" s="39" t="n">
        <v>0.84474</v>
      </c>
      <c r="U292" s="40" t="n">
        <v>0.00015</v>
      </c>
      <c r="V292" s="39" t="n">
        <v>0.75525</v>
      </c>
      <c r="W292" s="40" t="n">
        <v>7E-005</v>
      </c>
      <c r="X292" s="39" t="n">
        <v>0.83596</v>
      </c>
      <c r="Y292" s="40" t="n">
        <v>0.00018</v>
      </c>
    </row>
    <row r="293" customFormat="false" ht="15" hidden="false" customHeight="false" outlineLevel="0" collapsed="false">
      <c r="A293" s="38" t="n">
        <v>348</v>
      </c>
      <c r="B293" s="39" t="n">
        <v>0.89647</v>
      </c>
      <c r="C293" s="40" t="n">
        <v>0.00016</v>
      </c>
      <c r="D293" s="39" t="n">
        <v>0.05783</v>
      </c>
      <c r="E293" s="40" t="n">
        <v>0.0001</v>
      </c>
      <c r="F293" s="39" t="n">
        <v>0.80835</v>
      </c>
      <c r="G293" s="40" t="n">
        <v>0.00018</v>
      </c>
      <c r="H293" s="39" t="n">
        <v>0.52372</v>
      </c>
      <c r="I293" s="40" t="n">
        <v>0.00083</v>
      </c>
      <c r="J293" s="39" t="n">
        <v>0.5525</v>
      </c>
      <c r="K293" s="40" t="n">
        <v>0.00021</v>
      </c>
      <c r="L293" s="39" t="n">
        <v>0.73089</v>
      </c>
      <c r="M293" s="40" t="n">
        <v>0.00011</v>
      </c>
      <c r="N293" s="39" t="n">
        <v>0.54484</v>
      </c>
      <c r="O293" s="40" t="n">
        <v>0.00035</v>
      </c>
      <c r="P293" s="39" t="n">
        <v>0.71678</v>
      </c>
      <c r="Q293" s="40" t="n">
        <v>0.00016</v>
      </c>
      <c r="R293" s="39" t="n">
        <v>0.69156</v>
      </c>
      <c r="S293" s="40" t="n">
        <v>0.00011</v>
      </c>
      <c r="T293" s="39" t="n">
        <v>0.84316</v>
      </c>
      <c r="U293" s="40" t="n">
        <v>0.00015</v>
      </c>
      <c r="V293" s="39" t="n">
        <v>0.75437</v>
      </c>
      <c r="W293" s="40" t="n">
        <v>7E-005</v>
      </c>
      <c r="X293" s="39" t="n">
        <v>0.83419</v>
      </c>
      <c r="Y293" s="40" t="n">
        <v>0.00019</v>
      </c>
    </row>
    <row r="294" customFormat="false" ht="15" hidden="false" customHeight="false" outlineLevel="0" collapsed="false">
      <c r="A294" s="38" t="n">
        <v>349</v>
      </c>
      <c r="B294" s="39" t="n">
        <v>0.89461</v>
      </c>
      <c r="C294" s="40" t="n">
        <v>0.00017</v>
      </c>
      <c r="D294" s="39" t="n">
        <v>0.0569</v>
      </c>
      <c r="E294" s="40" t="n">
        <v>0.00011</v>
      </c>
      <c r="F294" s="39" t="n">
        <v>0.8061</v>
      </c>
      <c r="G294" s="40" t="n">
        <v>0.00019</v>
      </c>
      <c r="H294" s="39" t="n">
        <v>0.51417</v>
      </c>
      <c r="I294" s="40" t="n">
        <v>0.00082</v>
      </c>
      <c r="J294" s="39" t="n">
        <v>0.55006</v>
      </c>
      <c r="K294" s="40" t="n">
        <v>0.00021</v>
      </c>
      <c r="L294" s="39" t="n">
        <v>0.72993</v>
      </c>
      <c r="M294" s="40" t="n">
        <v>0.00011</v>
      </c>
      <c r="N294" s="39" t="n">
        <v>0.54042</v>
      </c>
      <c r="O294" s="40" t="n">
        <v>0.00033</v>
      </c>
      <c r="P294" s="39" t="n">
        <v>0.71508</v>
      </c>
      <c r="Q294" s="40" t="n">
        <v>0.00016</v>
      </c>
      <c r="R294" s="39" t="n">
        <v>0.69015</v>
      </c>
      <c r="S294" s="40" t="n">
        <v>0.00011</v>
      </c>
      <c r="T294" s="39" t="n">
        <v>0.84142</v>
      </c>
      <c r="U294" s="40" t="n">
        <v>0.00015</v>
      </c>
      <c r="V294" s="39" t="n">
        <v>0.75367</v>
      </c>
      <c r="W294" s="40" t="n">
        <v>7E-005</v>
      </c>
      <c r="X294" s="39" t="n">
        <v>0.83228</v>
      </c>
      <c r="Y294" s="40" t="n">
        <v>0.00019</v>
      </c>
    </row>
    <row r="295" customFormat="false" ht="15" hidden="false" customHeight="false" outlineLevel="0" collapsed="false">
      <c r="A295" s="38" t="n">
        <v>350</v>
      </c>
      <c r="B295" s="39" t="n">
        <v>0.89225</v>
      </c>
      <c r="C295" s="40" t="n">
        <v>0.00017</v>
      </c>
      <c r="D295" s="39" t="n">
        <v>0.05574</v>
      </c>
      <c r="E295" s="40" t="n">
        <v>9E-005</v>
      </c>
      <c r="F295" s="39" t="n">
        <v>0.80378</v>
      </c>
      <c r="G295" s="40" t="n">
        <v>0.0002</v>
      </c>
      <c r="H295" s="39" t="n">
        <v>0.50441</v>
      </c>
      <c r="I295" s="40" t="n">
        <v>0.00081</v>
      </c>
      <c r="J295" s="39" t="n">
        <v>0.54767</v>
      </c>
      <c r="K295" s="40" t="n">
        <v>0.00021</v>
      </c>
      <c r="L295" s="39" t="n">
        <v>0.72844</v>
      </c>
      <c r="M295" s="40" t="n">
        <v>0.0001</v>
      </c>
      <c r="N295" s="39" t="n">
        <v>0.53657</v>
      </c>
      <c r="O295" s="40" t="n">
        <v>0.00032</v>
      </c>
      <c r="P295" s="39" t="n">
        <v>0.71319</v>
      </c>
      <c r="Q295" s="40" t="n">
        <v>0.00016</v>
      </c>
      <c r="R295" s="39" t="n">
        <v>0.68902</v>
      </c>
      <c r="S295" s="40" t="n">
        <v>0.00011</v>
      </c>
      <c r="T295" s="39" t="n">
        <v>0.83954</v>
      </c>
      <c r="U295" s="40" t="n">
        <v>0.00015</v>
      </c>
      <c r="V295" s="39" t="n">
        <v>0.75265</v>
      </c>
      <c r="W295" s="40" t="n">
        <v>7E-005</v>
      </c>
      <c r="X295" s="39" t="n">
        <v>0.82977</v>
      </c>
      <c r="Y295" s="40" t="n">
        <v>0.00019</v>
      </c>
    </row>
    <row r="296" customFormat="false" ht="15" hidden="false" customHeight="false" outlineLevel="0" collapsed="false">
      <c r="A296" s="38" t="n">
        <v>351</v>
      </c>
      <c r="B296" s="39" t="n">
        <v>0.88964</v>
      </c>
      <c r="C296" s="40" t="n">
        <v>0.00018</v>
      </c>
      <c r="D296" s="39" t="n">
        <v>0.05344</v>
      </c>
      <c r="E296" s="40" t="n">
        <v>5E-005</v>
      </c>
      <c r="F296" s="39" t="n">
        <v>0.80156</v>
      </c>
      <c r="G296" s="40" t="n">
        <v>0.0002</v>
      </c>
      <c r="H296" s="39" t="n">
        <v>0.4945</v>
      </c>
      <c r="I296" s="40" t="n">
        <v>0.0008</v>
      </c>
      <c r="J296" s="39" t="n">
        <v>0.54504</v>
      </c>
      <c r="K296" s="40" t="n">
        <v>0.0002</v>
      </c>
      <c r="L296" s="39" t="n">
        <v>0.72693</v>
      </c>
      <c r="M296" s="40" t="n">
        <v>0.0001</v>
      </c>
      <c r="N296" s="39" t="n">
        <v>0.53304</v>
      </c>
      <c r="O296" s="40" t="n">
        <v>0.00031</v>
      </c>
      <c r="P296" s="39" t="n">
        <v>0.71125</v>
      </c>
      <c r="Q296" s="40" t="n">
        <v>0.00015</v>
      </c>
      <c r="R296" s="39" t="n">
        <v>0.68793</v>
      </c>
      <c r="S296" s="40" t="n">
        <v>0.0001</v>
      </c>
      <c r="T296" s="39" t="n">
        <v>0.83759</v>
      </c>
      <c r="U296" s="40" t="n">
        <v>0.00015</v>
      </c>
      <c r="V296" s="39" t="n">
        <v>0.75196</v>
      </c>
      <c r="W296" s="40" t="n">
        <v>7E-005</v>
      </c>
      <c r="X296" s="39" t="n">
        <v>0.82723</v>
      </c>
      <c r="Y296" s="40" t="n">
        <v>0.00019</v>
      </c>
    </row>
    <row r="297" customFormat="false" ht="15" hidden="false" customHeight="false" outlineLevel="0" collapsed="false">
      <c r="A297" s="38" t="n">
        <v>352</v>
      </c>
      <c r="B297" s="39" t="n">
        <v>0.88792</v>
      </c>
      <c r="C297" s="40" t="n">
        <v>0.0002</v>
      </c>
      <c r="D297" s="39" t="n">
        <v>0.05404</v>
      </c>
      <c r="E297" s="40" t="n">
        <v>7E-005</v>
      </c>
      <c r="F297" s="39" t="n">
        <v>0.79906</v>
      </c>
      <c r="G297" s="40" t="n">
        <v>0.0002</v>
      </c>
      <c r="H297" s="39" t="n">
        <v>0.48522</v>
      </c>
      <c r="I297" s="40" t="n">
        <v>0.00078</v>
      </c>
      <c r="J297" s="39" t="n">
        <v>0.54262</v>
      </c>
      <c r="K297" s="40" t="n">
        <v>0.0002</v>
      </c>
      <c r="L297" s="39" t="n">
        <v>0.72597</v>
      </c>
      <c r="M297" s="40" t="n">
        <v>0.0001</v>
      </c>
      <c r="N297" s="39" t="n">
        <v>0.52972</v>
      </c>
      <c r="O297" s="40" t="n">
        <v>0.00029</v>
      </c>
      <c r="P297" s="39" t="n">
        <v>0.70937</v>
      </c>
      <c r="Q297" s="40" t="n">
        <v>0.00015</v>
      </c>
      <c r="R297" s="39" t="n">
        <v>0.68679</v>
      </c>
      <c r="S297" s="40" t="n">
        <v>0.0001</v>
      </c>
      <c r="T297" s="39" t="n">
        <v>0.8357</v>
      </c>
      <c r="U297" s="40" t="n">
        <v>0.00016</v>
      </c>
      <c r="V297" s="39" t="n">
        <v>0.75108</v>
      </c>
      <c r="W297" s="40" t="n">
        <v>7E-005</v>
      </c>
      <c r="X297" s="39" t="n">
        <v>0.82477</v>
      </c>
      <c r="Y297" s="40" t="n">
        <v>0.0002</v>
      </c>
    </row>
    <row r="298" customFormat="false" ht="15" hidden="false" customHeight="false" outlineLevel="0" collapsed="false">
      <c r="A298" s="38" t="n">
        <v>353</v>
      </c>
      <c r="B298" s="39" t="n">
        <v>0.8857</v>
      </c>
      <c r="C298" s="40" t="n">
        <v>0.0002</v>
      </c>
      <c r="D298" s="39" t="n">
        <v>0.05259</v>
      </c>
      <c r="E298" s="40" t="n">
        <v>9E-005</v>
      </c>
      <c r="F298" s="39" t="n">
        <v>0.79631</v>
      </c>
      <c r="G298" s="40" t="n">
        <v>0.00021</v>
      </c>
      <c r="H298" s="39" t="n">
        <v>0.47619</v>
      </c>
      <c r="I298" s="40" t="n">
        <v>0.00076</v>
      </c>
      <c r="J298" s="39" t="n">
        <v>0.54009</v>
      </c>
      <c r="K298" s="40" t="n">
        <v>0.0002</v>
      </c>
      <c r="L298" s="39" t="n">
        <v>0.72493</v>
      </c>
      <c r="M298" s="40" t="n">
        <v>0.0001</v>
      </c>
      <c r="N298" s="39" t="n">
        <v>0.52615</v>
      </c>
      <c r="O298" s="40" t="n">
        <v>0.00028</v>
      </c>
      <c r="P298" s="39" t="n">
        <v>0.70767</v>
      </c>
      <c r="Q298" s="40" t="n">
        <v>0.00015</v>
      </c>
      <c r="R298" s="39" t="n">
        <v>0.68531</v>
      </c>
      <c r="S298" s="40" t="n">
        <v>0.0001</v>
      </c>
      <c r="T298" s="39" t="n">
        <v>0.83396</v>
      </c>
      <c r="U298" s="40" t="n">
        <v>0.00017</v>
      </c>
      <c r="V298" s="39" t="n">
        <v>0.75013</v>
      </c>
      <c r="W298" s="40" t="n">
        <v>6E-005</v>
      </c>
      <c r="X298" s="39" t="n">
        <v>0.82245</v>
      </c>
      <c r="Y298" s="40" t="n">
        <v>0.00021</v>
      </c>
    </row>
    <row r="299" customFormat="false" ht="15" hidden="false" customHeight="false" outlineLevel="0" collapsed="false">
      <c r="A299" s="38" t="n">
        <v>354</v>
      </c>
      <c r="B299" s="39" t="n">
        <v>0.88292</v>
      </c>
      <c r="C299" s="40" t="n">
        <v>0.00021</v>
      </c>
      <c r="D299" s="39" t="n">
        <v>0.05299</v>
      </c>
      <c r="E299" s="40" t="n">
        <v>8E-005</v>
      </c>
      <c r="F299" s="39" t="n">
        <v>0.79375</v>
      </c>
      <c r="G299" s="40" t="n">
        <v>0.00023</v>
      </c>
      <c r="H299" s="39" t="n">
        <v>0.46696</v>
      </c>
      <c r="I299" s="40" t="n">
        <v>0.00075</v>
      </c>
      <c r="J299" s="39" t="n">
        <v>0.53805</v>
      </c>
      <c r="K299" s="40" t="n">
        <v>0.0002</v>
      </c>
      <c r="L299" s="39" t="n">
        <v>0.72395</v>
      </c>
      <c r="M299" s="40" t="n">
        <v>0.0001</v>
      </c>
      <c r="N299" s="39" t="n">
        <v>0.52235</v>
      </c>
      <c r="O299" s="40" t="n">
        <v>0.00028</v>
      </c>
      <c r="P299" s="39" t="n">
        <v>0.706</v>
      </c>
      <c r="Q299" s="40" t="n">
        <v>0.00015</v>
      </c>
      <c r="R299" s="39" t="n">
        <v>0.6841</v>
      </c>
      <c r="S299" s="40" t="n">
        <v>0.00011</v>
      </c>
      <c r="T299" s="39" t="n">
        <v>0.83206</v>
      </c>
      <c r="U299" s="40" t="n">
        <v>0.00017</v>
      </c>
      <c r="V299" s="39" t="n">
        <v>0.74952</v>
      </c>
      <c r="W299" s="40" t="n">
        <v>6E-005</v>
      </c>
      <c r="X299" s="39" t="n">
        <v>0.82017</v>
      </c>
      <c r="Y299" s="40" t="n">
        <v>0.0002</v>
      </c>
    </row>
    <row r="300" customFormat="false" ht="15" hidden="false" customHeight="false" outlineLevel="0" collapsed="false">
      <c r="A300" s="38" t="n">
        <v>355</v>
      </c>
      <c r="B300" s="39" t="n">
        <v>0.88028</v>
      </c>
      <c r="C300" s="40" t="n">
        <v>0.00022</v>
      </c>
      <c r="D300" s="39" t="n">
        <v>0.05246</v>
      </c>
      <c r="E300" s="40" t="n">
        <v>6E-005</v>
      </c>
      <c r="F300" s="39" t="n">
        <v>0.79124</v>
      </c>
      <c r="G300" s="40" t="n">
        <v>0.00023</v>
      </c>
      <c r="H300" s="39" t="n">
        <v>0.45797</v>
      </c>
      <c r="I300" s="40" t="n">
        <v>0.00072</v>
      </c>
      <c r="J300" s="39" t="n">
        <v>0.53564</v>
      </c>
      <c r="K300" s="40" t="n">
        <v>0.00019</v>
      </c>
      <c r="L300" s="39" t="n">
        <v>0.72272</v>
      </c>
      <c r="M300" s="40" t="n">
        <v>0.0001</v>
      </c>
      <c r="N300" s="39" t="n">
        <v>0.51934</v>
      </c>
      <c r="O300" s="40" t="n">
        <v>0.00027</v>
      </c>
      <c r="P300" s="39" t="n">
        <v>0.70417</v>
      </c>
      <c r="Q300" s="40" t="n">
        <v>0.00015</v>
      </c>
      <c r="R300" s="39" t="n">
        <v>0.68278</v>
      </c>
      <c r="S300" s="40" t="n">
        <v>0.00011</v>
      </c>
      <c r="T300" s="39" t="n">
        <v>0.8297</v>
      </c>
      <c r="U300" s="40" t="n">
        <v>0.00017</v>
      </c>
      <c r="V300" s="39" t="n">
        <v>0.7489</v>
      </c>
      <c r="W300" s="40" t="n">
        <v>6E-005</v>
      </c>
      <c r="X300" s="39" t="n">
        <v>0.81763</v>
      </c>
      <c r="Y300" s="40" t="n">
        <v>0.00021</v>
      </c>
    </row>
    <row r="301" customFormat="false" ht="15" hidden="false" customHeight="false" outlineLevel="0" collapsed="false">
      <c r="A301" s="38" t="n">
        <v>356</v>
      </c>
      <c r="B301" s="39" t="n">
        <v>0.87741</v>
      </c>
      <c r="C301" s="40" t="n">
        <v>0.00025</v>
      </c>
      <c r="D301" s="39" t="n">
        <v>0.04937</v>
      </c>
      <c r="E301" s="40" t="n">
        <v>9E-005</v>
      </c>
      <c r="F301" s="39" t="n">
        <v>0.78862</v>
      </c>
      <c r="G301" s="40" t="n">
        <v>0.00023</v>
      </c>
      <c r="H301" s="39" t="n">
        <v>0.44946</v>
      </c>
      <c r="I301" s="40" t="n">
        <v>0.0007</v>
      </c>
      <c r="J301" s="39" t="n">
        <v>0.53363</v>
      </c>
      <c r="K301" s="40" t="n">
        <v>0.00018</v>
      </c>
      <c r="L301" s="39" t="n">
        <v>0.72122</v>
      </c>
      <c r="M301" s="40" t="n">
        <v>0.0001</v>
      </c>
      <c r="N301" s="39" t="n">
        <v>0.51618</v>
      </c>
      <c r="O301" s="40" t="n">
        <v>0.00027</v>
      </c>
      <c r="P301" s="39" t="n">
        <v>0.70247</v>
      </c>
      <c r="Q301" s="40" t="n">
        <v>0.00015</v>
      </c>
      <c r="R301" s="39" t="n">
        <v>0.68145</v>
      </c>
      <c r="S301" s="40" t="n">
        <v>0.00011</v>
      </c>
      <c r="T301" s="39" t="n">
        <v>0.82748</v>
      </c>
      <c r="U301" s="40" t="n">
        <v>0.00018</v>
      </c>
      <c r="V301" s="39" t="n">
        <v>0.74809</v>
      </c>
      <c r="W301" s="40" t="n">
        <v>6E-005</v>
      </c>
      <c r="X301" s="39" t="n">
        <v>0.81505</v>
      </c>
      <c r="Y301" s="40" t="n">
        <v>0.00022</v>
      </c>
    </row>
    <row r="302" customFormat="false" ht="15" hidden="false" customHeight="false" outlineLevel="0" collapsed="false">
      <c r="A302" s="38" t="n">
        <v>357</v>
      </c>
      <c r="B302" s="39" t="n">
        <v>0.87455</v>
      </c>
      <c r="C302" s="40" t="n">
        <v>0.00027</v>
      </c>
      <c r="D302" s="39" t="n">
        <v>0.04723</v>
      </c>
      <c r="E302" s="40" t="n">
        <v>9E-005</v>
      </c>
      <c r="F302" s="39" t="n">
        <v>0.78554</v>
      </c>
      <c r="G302" s="40" t="n">
        <v>0.00024</v>
      </c>
      <c r="H302" s="39" t="n">
        <v>0.44129</v>
      </c>
      <c r="I302" s="40" t="n">
        <v>0.00068</v>
      </c>
      <c r="J302" s="39" t="n">
        <v>0.53112</v>
      </c>
      <c r="K302" s="40" t="n">
        <v>0.00018</v>
      </c>
      <c r="L302" s="39" t="n">
        <v>0.72009</v>
      </c>
      <c r="M302" s="40" t="n">
        <v>0.0001</v>
      </c>
      <c r="N302" s="39" t="n">
        <v>0.51306</v>
      </c>
      <c r="O302" s="40" t="n">
        <v>0.00025</v>
      </c>
      <c r="P302" s="39" t="n">
        <v>0.70067</v>
      </c>
      <c r="Q302" s="40" t="n">
        <v>0.00015</v>
      </c>
      <c r="R302" s="39" t="n">
        <v>0.68037</v>
      </c>
      <c r="S302" s="40" t="n">
        <v>0.0001</v>
      </c>
      <c r="T302" s="39" t="n">
        <v>0.82535</v>
      </c>
      <c r="U302" s="40" t="n">
        <v>0.00018</v>
      </c>
      <c r="V302" s="39" t="n">
        <v>0.74735</v>
      </c>
      <c r="W302" s="40" t="n">
        <v>6E-005</v>
      </c>
      <c r="X302" s="39" t="n">
        <v>0.81239</v>
      </c>
      <c r="Y302" s="40" t="n">
        <v>0.00023</v>
      </c>
    </row>
    <row r="303" customFormat="false" ht="15" hidden="false" customHeight="false" outlineLevel="0" collapsed="false">
      <c r="A303" s="38" t="n">
        <v>358</v>
      </c>
      <c r="B303" s="39" t="n">
        <v>0.8713</v>
      </c>
      <c r="C303" s="40" t="n">
        <v>0.00028</v>
      </c>
      <c r="D303" s="39" t="n">
        <v>0.04871</v>
      </c>
      <c r="E303" s="40" t="n">
        <v>7E-005</v>
      </c>
      <c r="F303" s="39" t="n">
        <v>0.78212</v>
      </c>
      <c r="G303" s="40" t="n">
        <v>0.00026</v>
      </c>
      <c r="H303" s="39" t="n">
        <v>0.43311</v>
      </c>
      <c r="I303" s="40" t="n">
        <v>0.00065</v>
      </c>
      <c r="J303" s="39" t="n">
        <v>0.52885</v>
      </c>
      <c r="K303" s="40" t="n">
        <v>0.00018</v>
      </c>
      <c r="L303" s="39" t="n">
        <v>0.71889</v>
      </c>
      <c r="M303" s="40" t="n">
        <v>0.0001</v>
      </c>
      <c r="N303" s="39" t="n">
        <v>0.51008</v>
      </c>
      <c r="O303" s="40" t="n">
        <v>0.00023</v>
      </c>
      <c r="P303" s="39" t="n">
        <v>0.69867</v>
      </c>
      <c r="Q303" s="40" t="n">
        <v>0.00015</v>
      </c>
      <c r="R303" s="39" t="n">
        <v>0.67902</v>
      </c>
      <c r="S303" s="40" t="n">
        <v>0.0001</v>
      </c>
      <c r="T303" s="39" t="n">
        <v>0.82338</v>
      </c>
      <c r="U303" s="40" t="n">
        <v>0.00018</v>
      </c>
      <c r="V303" s="39" t="n">
        <v>0.74644</v>
      </c>
      <c r="W303" s="40" t="n">
        <v>6E-005</v>
      </c>
      <c r="X303" s="39" t="n">
        <v>0.80964</v>
      </c>
      <c r="Y303" s="40" t="n">
        <v>0.00024</v>
      </c>
    </row>
    <row r="304" customFormat="false" ht="15" hidden="false" customHeight="false" outlineLevel="0" collapsed="false">
      <c r="A304" s="38" t="n">
        <v>359</v>
      </c>
      <c r="B304" s="39" t="n">
        <v>0.86786</v>
      </c>
      <c r="C304" s="40" t="n">
        <v>0.0003</v>
      </c>
      <c r="D304" s="39" t="n">
        <v>0.0485</v>
      </c>
      <c r="E304" s="40" t="n">
        <v>5E-005</v>
      </c>
      <c r="F304" s="39" t="n">
        <v>0.77934</v>
      </c>
      <c r="G304" s="40" t="n">
        <v>0.00025</v>
      </c>
      <c r="H304" s="39" t="n">
        <v>0.42546</v>
      </c>
      <c r="I304" s="40" t="n">
        <v>0.00062</v>
      </c>
      <c r="J304" s="39" t="n">
        <v>0.52701</v>
      </c>
      <c r="K304" s="40" t="n">
        <v>0.00017</v>
      </c>
      <c r="L304" s="39" t="n">
        <v>0.71776</v>
      </c>
      <c r="M304" s="40" t="n">
        <v>0.0001</v>
      </c>
      <c r="N304" s="39" t="n">
        <v>0.50709</v>
      </c>
      <c r="O304" s="40" t="n">
        <v>0.00022</v>
      </c>
      <c r="P304" s="39" t="n">
        <v>0.6969</v>
      </c>
      <c r="Q304" s="40" t="n">
        <v>0.00015</v>
      </c>
      <c r="R304" s="39" t="n">
        <v>0.67799</v>
      </c>
      <c r="S304" s="40" t="n">
        <v>0.0001</v>
      </c>
      <c r="T304" s="39" t="n">
        <v>0.82124</v>
      </c>
      <c r="U304" s="40" t="n">
        <v>0.00017</v>
      </c>
      <c r="V304" s="39" t="n">
        <v>0.74573</v>
      </c>
      <c r="W304" s="40" t="n">
        <v>6E-005</v>
      </c>
      <c r="X304" s="39" t="n">
        <v>0.8068</v>
      </c>
      <c r="Y304" s="40" t="n">
        <v>0.00024</v>
      </c>
    </row>
    <row r="305" customFormat="false" ht="15" hidden="false" customHeight="false" outlineLevel="0" collapsed="false">
      <c r="A305" s="38" t="n">
        <v>360</v>
      </c>
      <c r="B305" s="39" t="n">
        <v>0.86389</v>
      </c>
      <c r="C305" s="40" t="n">
        <v>0.00031</v>
      </c>
      <c r="D305" s="39" t="n">
        <v>0.04654</v>
      </c>
      <c r="E305" s="40" t="n">
        <v>1E-005</v>
      </c>
      <c r="F305" s="39" t="n">
        <v>0.77658</v>
      </c>
      <c r="G305" s="40" t="n">
        <v>0.00026</v>
      </c>
      <c r="H305" s="39" t="n">
        <v>0.4183</v>
      </c>
      <c r="I305" s="40" t="n">
        <v>0.0006</v>
      </c>
      <c r="J305" s="39" t="n">
        <v>0.52496</v>
      </c>
      <c r="K305" s="40" t="n">
        <v>0.00017</v>
      </c>
      <c r="L305" s="39" t="n">
        <v>0.71668</v>
      </c>
      <c r="M305" s="40" t="n">
        <v>0.0001</v>
      </c>
      <c r="N305" s="39" t="n">
        <v>0.50456</v>
      </c>
      <c r="O305" s="40" t="n">
        <v>0.00022</v>
      </c>
      <c r="P305" s="39" t="n">
        <v>0.69531</v>
      </c>
      <c r="Q305" s="40" t="n">
        <v>0.00015</v>
      </c>
      <c r="R305" s="39" t="n">
        <v>0.6767</v>
      </c>
      <c r="S305" s="40" t="n">
        <v>0.0001</v>
      </c>
      <c r="T305" s="39" t="n">
        <v>0.81913</v>
      </c>
      <c r="U305" s="40" t="n">
        <v>0.00018</v>
      </c>
      <c r="V305" s="39" t="n">
        <v>0.74499</v>
      </c>
      <c r="W305" s="40" t="n">
        <v>6E-005</v>
      </c>
      <c r="X305" s="39" t="n">
        <v>0.80382</v>
      </c>
      <c r="Y305" s="40" t="n">
        <v>0.00024</v>
      </c>
    </row>
    <row r="306" customFormat="false" ht="15" hidden="false" customHeight="false" outlineLevel="0" collapsed="false">
      <c r="A306" s="38" t="n">
        <v>361</v>
      </c>
      <c r="B306" s="39" t="n">
        <v>0.86002</v>
      </c>
      <c r="C306" s="40" t="n">
        <v>0.00033</v>
      </c>
      <c r="D306" s="39" t="n">
        <v>0.04595</v>
      </c>
      <c r="E306" s="40" t="n">
        <v>1E-005</v>
      </c>
      <c r="F306" s="39" t="n">
        <v>0.77302</v>
      </c>
      <c r="G306" s="40" t="n">
        <v>0.00026</v>
      </c>
      <c r="H306" s="39" t="n">
        <v>0.41115</v>
      </c>
      <c r="I306" s="40" t="n">
        <v>0.00057</v>
      </c>
      <c r="J306" s="39" t="n">
        <v>0.52282</v>
      </c>
      <c r="K306" s="40" t="n">
        <v>0.00016</v>
      </c>
      <c r="L306" s="39" t="n">
        <v>0.71545</v>
      </c>
      <c r="M306" s="40" t="n">
        <v>9E-005</v>
      </c>
      <c r="N306" s="39" t="n">
        <v>0.50208</v>
      </c>
      <c r="O306" s="40" t="n">
        <v>0.00021</v>
      </c>
      <c r="P306" s="39" t="n">
        <v>0.6937</v>
      </c>
      <c r="Q306" s="40" t="n">
        <v>0.00014</v>
      </c>
      <c r="R306" s="39" t="n">
        <v>0.67562</v>
      </c>
      <c r="S306" s="40" t="n">
        <v>0.0001</v>
      </c>
      <c r="T306" s="39" t="n">
        <v>0.81701</v>
      </c>
      <c r="U306" s="40" t="n">
        <v>0.00019</v>
      </c>
      <c r="V306" s="39" t="n">
        <v>0.74424</v>
      </c>
      <c r="W306" s="40" t="n">
        <v>6E-005</v>
      </c>
      <c r="X306" s="39" t="n">
        <v>0.80081</v>
      </c>
      <c r="Y306" s="40" t="n">
        <v>0.00024</v>
      </c>
    </row>
    <row r="307" customFormat="false" ht="15" hidden="false" customHeight="false" outlineLevel="0" collapsed="false">
      <c r="A307" s="38" t="n">
        <v>362</v>
      </c>
      <c r="B307" s="39" t="n">
        <v>0.85633</v>
      </c>
      <c r="C307" s="40" t="n">
        <v>0.00035</v>
      </c>
      <c r="D307" s="39" t="n">
        <v>0.04698</v>
      </c>
      <c r="E307" s="40" t="n">
        <v>7E-005</v>
      </c>
      <c r="F307" s="39" t="n">
        <v>0.76957</v>
      </c>
      <c r="G307" s="40" t="n">
        <v>0.00027</v>
      </c>
      <c r="H307" s="39" t="n">
        <v>0.40446</v>
      </c>
      <c r="I307" s="40" t="n">
        <v>0.00053</v>
      </c>
      <c r="J307" s="39" t="n">
        <v>0.52091</v>
      </c>
      <c r="K307" s="40" t="n">
        <v>0.00016</v>
      </c>
      <c r="L307" s="39" t="n">
        <v>0.71424</v>
      </c>
      <c r="M307" s="40" t="n">
        <v>0.0001</v>
      </c>
      <c r="N307" s="39" t="n">
        <v>0.50005</v>
      </c>
      <c r="O307" s="40" t="n">
        <v>0.0002</v>
      </c>
      <c r="P307" s="39" t="n">
        <v>0.69177</v>
      </c>
      <c r="Q307" s="40" t="n">
        <v>0.00014</v>
      </c>
      <c r="R307" s="39" t="n">
        <v>0.67442</v>
      </c>
      <c r="S307" s="40" t="n">
        <v>0.0001</v>
      </c>
      <c r="T307" s="39" t="n">
        <v>0.81482</v>
      </c>
      <c r="U307" s="40" t="n">
        <v>0.00019</v>
      </c>
      <c r="V307" s="39" t="n">
        <v>0.74372</v>
      </c>
      <c r="W307" s="40" t="n">
        <v>6E-005</v>
      </c>
      <c r="X307" s="39" t="n">
        <v>0.79787</v>
      </c>
      <c r="Y307" s="40" t="n">
        <v>0.00024</v>
      </c>
    </row>
    <row r="308" customFormat="false" ht="15" hidden="false" customHeight="false" outlineLevel="0" collapsed="false">
      <c r="A308" s="38" t="n">
        <v>363</v>
      </c>
      <c r="B308" s="39" t="n">
        <v>0.85177</v>
      </c>
      <c r="C308" s="40" t="n">
        <v>0.00037</v>
      </c>
      <c r="D308" s="39" t="n">
        <v>0.04578</v>
      </c>
      <c r="E308" s="40" t="n">
        <v>6E-005</v>
      </c>
      <c r="F308" s="39" t="n">
        <v>0.76717</v>
      </c>
      <c r="G308" s="40" t="n">
        <v>0.00028</v>
      </c>
      <c r="H308" s="39" t="n">
        <v>0.39838</v>
      </c>
      <c r="I308" s="40" t="n">
        <v>0.0005</v>
      </c>
      <c r="J308" s="39" t="n">
        <v>0.51911</v>
      </c>
      <c r="K308" s="40" t="n">
        <v>0.00016</v>
      </c>
      <c r="L308" s="39" t="n">
        <v>0.71308</v>
      </c>
      <c r="M308" s="40" t="n">
        <v>0.0001</v>
      </c>
      <c r="N308" s="39" t="n">
        <v>0.49746</v>
      </c>
      <c r="O308" s="40" t="n">
        <v>0.0002</v>
      </c>
      <c r="P308" s="39" t="n">
        <v>0.69011</v>
      </c>
      <c r="Q308" s="40" t="n">
        <v>0.00014</v>
      </c>
      <c r="R308" s="39" t="n">
        <v>0.6731</v>
      </c>
      <c r="S308" s="40" t="n">
        <v>0.0001</v>
      </c>
      <c r="T308" s="39" t="n">
        <v>0.81242</v>
      </c>
      <c r="U308" s="40" t="n">
        <v>0.0002</v>
      </c>
      <c r="V308" s="39" t="n">
        <v>0.74287</v>
      </c>
      <c r="W308" s="40" t="n">
        <v>6E-005</v>
      </c>
      <c r="X308" s="39" t="n">
        <v>0.79519</v>
      </c>
      <c r="Y308" s="40" t="n">
        <v>0.00025</v>
      </c>
    </row>
    <row r="309" customFormat="false" ht="15" hidden="false" customHeight="false" outlineLevel="0" collapsed="false">
      <c r="A309" s="38" t="n">
        <v>364</v>
      </c>
      <c r="B309" s="39" t="n">
        <v>0.84767</v>
      </c>
      <c r="C309" s="40" t="n">
        <v>0.00039</v>
      </c>
      <c r="D309" s="39" t="n">
        <v>0.04584</v>
      </c>
      <c r="E309" s="40" t="n">
        <v>6E-005</v>
      </c>
      <c r="F309" s="39" t="n">
        <v>0.76352</v>
      </c>
      <c r="G309" s="40" t="n">
        <v>0.0003</v>
      </c>
      <c r="H309" s="39" t="n">
        <v>0.39249</v>
      </c>
      <c r="I309" s="40" t="n">
        <v>0.00046</v>
      </c>
      <c r="J309" s="39" t="n">
        <v>0.51705</v>
      </c>
      <c r="K309" s="40" t="n">
        <v>0.00015</v>
      </c>
      <c r="L309" s="39" t="n">
        <v>0.71198</v>
      </c>
      <c r="M309" s="40" t="n">
        <v>9E-005</v>
      </c>
      <c r="N309" s="39" t="n">
        <v>0.49474</v>
      </c>
      <c r="O309" s="40" t="n">
        <v>0.0002</v>
      </c>
      <c r="P309" s="39" t="n">
        <v>0.68847</v>
      </c>
      <c r="Q309" s="40" t="n">
        <v>0.00014</v>
      </c>
      <c r="R309" s="39" t="n">
        <v>0.67184</v>
      </c>
      <c r="S309" s="40" t="n">
        <v>0.0001</v>
      </c>
      <c r="T309" s="39" t="n">
        <v>0.80985</v>
      </c>
      <c r="U309" s="40" t="n">
        <v>0.0002</v>
      </c>
      <c r="V309" s="39" t="n">
        <v>0.74204</v>
      </c>
      <c r="W309" s="40" t="n">
        <v>6E-005</v>
      </c>
      <c r="X309" s="39" t="n">
        <v>0.79221</v>
      </c>
      <c r="Y309" s="40" t="n">
        <v>0.00025</v>
      </c>
    </row>
    <row r="310" customFormat="false" ht="15" hidden="false" customHeight="false" outlineLevel="0" collapsed="false">
      <c r="A310" s="38" t="n">
        <v>365</v>
      </c>
      <c r="B310" s="39" t="n">
        <v>0.84266</v>
      </c>
      <c r="C310" s="40" t="n">
        <v>0.00042</v>
      </c>
      <c r="D310" s="39" t="n">
        <v>0.04461</v>
      </c>
      <c r="E310" s="40" t="n">
        <v>4E-005</v>
      </c>
      <c r="F310" s="39" t="n">
        <v>0.75948</v>
      </c>
      <c r="G310" s="40" t="n">
        <v>0.0003</v>
      </c>
      <c r="H310" s="39" t="n">
        <v>0.38703</v>
      </c>
      <c r="I310" s="40" t="n">
        <v>0.00043</v>
      </c>
      <c r="J310" s="39" t="n">
        <v>0.51521</v>
      </c>
      <c r="K310" s="40" t="n">
        <v>0.00015</v>
      </c>
      <c r="L310" s="39" t="n">
        <v>0.71096</v>
      </c>
      <c r="M310" s="40" t="n">
        <v>9E-005</v>
      </c>
      <c r="N310" s="39" t="n">
        <v>0.49237</v>
      </c>
      <c r="O310" s="40" t="n">
        <v>0.00019</v>
      </c>
      <c r="P310" s="39" t="n">
        <v>0.68702</v>
      </c>
      <c r="Q310" s="40" t="n">
        <v>0.00014</v>
      </c>
      <c r="R310" s="39" t="n">
        <v>0.67062</v>
      </c>
      <c r="S310" s="40" t="n">
        <v>0.0001</v>
      </c>
      <c r="T310" s="39" t="n">
        <v>0.80747</v>
      </c>
      <c r="U310" s="40" t="n">
        <v>0.0002</v>
      </c>
      <c r="V310" s="39" t="n">
        <v>0.74142</v>
      </c>
      <c r="W310" s="40" t="n">
        <v>6E-005</v>
      </c>
      <c r="X310" s="39" t="n">
        <v>0.78913</v>
      </c>
      <c r="Y310" s="40" t="n">
        <v>0.00026</v>
      </c>
    </row>
    <row r="311" customFormat="false" ht="15" hidden="false" customHeight="false" outlineLevel="0" collapsed="false">
      <c r="A311" s="38" t="n">
        <v>366</v>
      </c>
      <c r="B311" s="39" t="n">
        <v>0.83723</v>
      </c>
      <c r="C311" s="40" t="n">
        <v>0.00046</v>
      </c>
      <c r="D311" s="39" t="n">
        <v>0.04205</v>
      </c>
      <c r="E311" s="40" t="n">
        <v>3E-005</v>
      </c>
      <c r="F311" s="39" t="n">
        <v>0.75599</v>
      </c>
      <c r="G311" s="40" t="n">
        <v>0.00032</v>
      </c>
      <c r="H311" s="39" t="n">
        <v>0.3824</v>
      </c>
      <c r="I311" s="40" t="n">
        <v>0.0004</v>
      </c>
      <c r="J311" s="39" t="n">
        <v>0.51348</v>
      </c>
      <c r="K311" s="40" t="n">
        <v>0.00016</v>
      </c>
      <c r="L311" s="39" t="n">
        <v>0.7097</v>
      </c>
      <c r="M311" s="40" t="n">
        <v>9E-005</v>
      </c>
      <c r="N311" s="39" t="n">
        <v>0.49045</v>
      </c>
      <c r="O311" s="40" t="n">
        <v>0.00019</v>
      </c>
      <c r="P311" s="39" t="n">
        <v>0.68534</v>
      </c>
      <c r="Q311" s="40" t="n">
        <v>0.00014</v>
      </c>
      <c r="R311" s="39" t="n">
        <v>0.66961</v>
      </c>
      <c r="S311" s="40" t="n">
        <v>0.0001</v>
      </c>
      <c r="T311" s="39" t="n">
        <v>0.80505</v>
      </c>
      <c r="U311" s="40" t="n">
        <v>0.00021</v>
      </c>
      <c r="V311" s="39" t="n">
        <v>0.74045</v>
      </c>
      <c r="W311" s="40" t="n">
        <v>6E-005</v>
      </c>
      <c r="X311" s="39" t="n">
        <v>0.78577</v>
      </c>
      <c r="Y311" s="40" t="n">
        <v>0.00027</v>
      </c>
    </row>
    <row r="312" customFormat="false" ht="15" hidden="false" customHeight="false" outlineLevel="0" collapsed="false">
      <c r="A312" s="38" t="n">
        <v>367</v>
      </c>
      <c r="B312" s="39" t="n">
        <v>0.83175</v>
      </c>
      <c r="C312" s="40" t="n">
        <v>0.0005</v>
      </c>
      <c r="D312" s="39" t="n">
        <v>0.04329</v>
      </c>
      <c r="E312" s="40" t="n">
        <v>2E-005</v>
      </c>
      <c r="F312" s="39" t="n">
        <v>0.7519</v>
      </c>
      <c r="G312" s="40" t="n">
        <v>0.00034</v>
      </c>
      <c r="H312" s="39" t="n">
        <v>0.37795</v>
      </c>
      <c r="I312" s="40" t="n">
        <v>0.00036</v>
      </c>
      <c r="J312" s="39" t="n">
        <v>0.51165</v>
      </c>
      <c r="K312" s="40" t="n">
        <v>0.00015</v>
      </c>
      <c r="L312" s="39" t="n">
        <v>0.70857</v>
      </c>
      <c r="M312" s="40" t="n">
        <v>0.0001</v>
      </c>
      <c r="N312" s="39" t="n">
        <v>0.48788</v>
      </c>
      <c r="O312" s="40" t="n">
        <v>0.00018</v>
      </c>
      <c r="P312" s="39" t="n">
        <v>0.68348</v>
      </c>
      <c r="Q312" s="40" t="n">
        <v>0.00014</v>
      </c>
      <c r="R312" s="39" t="n">
        <v>0.66857</v>
      </c>
      <c r="S312" s="40" t="n">
        <v>9E-005</v>
      </c>
      <c r="T312" s="39" t="n">
        <v>0.80267</v>
      </c>
      <c r="U312" s="40" t="n">
        <v>0.00021</v>
      </c>
      <c r="V312" s="39" t="n">
        <v>0.73973</v>
      </c>
      <c r="W312" s="40" t="n">
        <v>6E-005</v>
      </c>
      <c r="X312" s="39" t="n">
        <v>0.78246</v>
      </c>
      <c r="Y312" s="40" t="n">
        <v>0.00027</v>
      </c>
    </row>
    <row r="313" customFormat="false" ht="15" hidden="false" customHeight="false" outlineLevel="0" collapsed="false">
      <c r="A313" s="38" t="n">
        <v>368</v>
      </c>
      <c r="B313" s="39" t="n">
        <v>0.82563</v>
      </c>
      <c r="C313" s="40" t="n">
        <v>0.00053</v>
      </c>
      <c r="D313" s="39" t="n">
        <v>0.04235</v>
      </c>
      <c r="E313" s="40" t="n">
        <v>3E-005</v>
      </c>
      <c r="F313" s="39" t="n">
        <v>0.74794</v>
      </c>
      <c r="G313" s="40" t="n">
        <v>0.00034</v>
      </c>
      <c r="H313" s="39" t="n">
        <v>0.37364</v>
      </c>
      <c r="I313" s="40" t="n">
        <v>0.00033</v>
      </c>
      <c r="J313" s="39" t="n">
        <v>0.5099</v>
      </c>
      <c r="K313" s="40" t="n">
        <v>0.00014</v>
      </c>
      <c r="L313" s="39" t="n">
        <v>0.70754</v>
      </c>
      <c r="M313" s="40" t="n">
        <v>0.0001</v>
      </c>
      <c r="N313" s="39" t="n">
        <v>0.48599</v>
      </c>
      <c r="O313" s="40" t="n">
        <v>0.00017</v>
      </c>
      <c r="P313" s="39" t="n">
        <v>0.68147</v>
      </c>
      <c r="Q313" s="40" t="n">
        <v>0.00015</v>
      </c>
      <c r="R313" s="39" t="n">
        <v>0.66754</v>
      </c>
      <c r="S313" s="40" t="n">
        <v>9E-005</v>
      </c>
      <c r="T313" s="39" t="n">
        <v>0.80017</v>
      </c>
      <c r="U313" s="40" t="n">
        <v>0.00021</v>
      </c>
      <c r="V313" s="39" t="n">
        <v>0.73934</v>
      </c>
      <c r="W313" s="40" t="n">
        <v>6E-005</v>
      </c>
      <c r="X313" s="39" t="n">
        <v>0.77914</v>
      </c>
      <c r="Y313" s="40" t="n">
        <v>0.00028</v>
      </c>
    </row>
    <row r="314" customFormat="false" ht="15" hidden="false" customHeight="false" outlineLevel="0" collapsed="false">
      <c r="A314" s="38" t="n">
        <v>369</v>
      </c>
      <c r="B314" s="39" t="n">
        <v>0.81876</v>
      </c>
      <c r="C314" s="40" t="n">
        <v>0.00056</v>
      </c>
      <c r="D314" s="39" t="n">
        <v>0.04415</v>
      </c>
      <c r="E314" s="40" t="n">
        <v>1E-005</v>
      </c>
      <c r="F314" s="39" t="n">
        <v>0.74405</v>
      </c>
      <c r="G314" s="40" t="n">
        <v>0.00033</v>
      </c>
      <c r="H314" s="39" t="n">
        <v>0.36973</v>
      </c>
      <c r="I314" s="40" t="n">
        <v>0.0003</v>
      </c>
      <c r="J314" s="39" t="n">
        <v>0.50793</v>
      </c>
      <c r="K314" s="40" t="n">
        <v>0.00014</v>
      </c>
      <c r="L314" s="39" t="n">
        <v>0.70614</v>
      </c>
      <c r="M314" s="40" t="n">
        <v>0.0001</v>
      </c>
      <c r="N314" s="39" t="n">
        <v>0.48409</v>
      </c>
      <c r="O314" s="40" t="n">
        <v>0.00017</v>
      </c>
      <c r="P314" s="39" t="n">
        <v>0.67978</v>
      </c>
      <c r="Q314" s="40" t="n">
        <v>0.00015</v>
      </c>
      <c r="R314" s="39" t="n">
        <v>0.6662</v>
      </c>
      <c r="S314" s="40" t="n">
        <v>9E-005</v>
      </c>
      <c r="T314" s="39" t="n">
        <v>0.79756</v>
      </c>
      <c r="U314" s="40" t="n">
        <v>0.00021</v>
      </c>
      <c r="V314" s="39" t="n">
        <v>0.73851</v>
      </c>
      <c r="W314" s="40" t="n">
        <v>6E-005</v>
      </c>
      <c r="X314" s="39" t="n">
        <v>0.77586</v>
      </c>
      <c r="Y314" s="40" t="n">
        <v>0.00028</v>
      </c>
    </row>
    <row r="315" customFormat="false" ht="15" hidden="false" customHeight="false" outlineLevel="0" collapsed="false">
      <c r="A315" s="38" t="n">
        <v>370</v>
      </c>
      <c r="B315" s="39" t="n">
        <v>0.81165</v>
      </c>
      <c r="C315" s="40" t="n">
        <v>0.00059</v>
      </c>
      <c r="D315" s="39" t="n">
        <v>0.04477</v>
      </c>
      <c r="E315" s="40" t="n">
        <v>-1E-005</v>
      </c>
      <c r="F315" s="39" t="n">
        <v>0.73978</v>
      </c>
      <c r="G315" s="40" t="n">
        <v>0.00034</v>
      </c>
      <c r="H315" s="39" t="n">
        <v>0.36625</v>
      </c>
      <c r="I315" s="40" t="n">
        <v>0.00027</v>
      </c>
      <c r="J315" s="39" t="n">
        <v>0.50612</v>
      </c>
      <c r="K315" s="40" t="n">
        <v>0.00015</v>
      </c>
      <c r="L315" s="39" t="n">
        <v>0.70501</v>
      </c>
      <c r="M315" s="40" t="n">
        <v>0.0001</v>
      </c>
      <c r="N315" s="39" t="n">
        <v>0.48209</v>
      </c>
      <c r="O315" s="40" t="n">
        <v>0.00017</v>
      </c>
      <c r="P315" s="39" t="n">
        <v>0.67818</v>
      </c>
      <c r="Q315" s="40" t="n">
        <v>0.00014</v>
      </c>
      <c r="R315" s="39" t="n">
        <v>0.6652</v>
      </c>
      <c r="S315" s="40" t="n">
        <v>9E-005</v>
      </c>
      <c r="T315" s="39" t="n">
        <v>0.79489</v>
      </c>
      <c r="U315" s="40" t="n">
        <v>0.00022</v>
      </c>
      <c r="V315" s="39" t="n">
        <v>0.73763</v>
      </c>
      <c r="W315" s="40" t="n">
        <v>5E-005</v>
      </c>
      <c r="X315" s="39" t="n">
        <v>0.77254</v>
      </c>
      <c r="Y315" s="40" t="n">
        <v>0.00028</v>
      </c>
    </row>
    <row r="316" customFormat="false" ht="15" hidden="false" customHeight="false" outlineLevel="0" collapsed="false">
      <c r="A316" s="38" t="n">
        <v>371</v>
      </c>
      <c r="B316" s="39" t="n">
        <v>0.80426</v>
      </c>
      <c r="C316" s="40" t="n">
        <v>0.00063</v>
      </c>
      <c r="D316" s="39" t="n">
        <v>0.04154</v>
      </c>
      <c r="E316" s="40" t="n">
        <v>4E-005</v>
      </c>
      <c r="F316" s="39" t="n">
        <v>0.7356</v>
      </c>
      <c r="G316" s="40" t="n">
        <v>0.00036</v>
      </c>
      <c r="H316" s="39" t="n">
        <v>0.36351</v>
      </c>
      <c r="I316" s="40" t="n">
        <v>0.00024</v>
      </c>
      <c r="J316" s="39" t="n">
        <v>0.5047</v>
      </c>
      <c r="K316" s="40" t="n">
        <v>0.00014</v>
      </c>
      <c r="L316" s="39" t="n">
        <v>0.70376</v>
      </c>
      <c r="M316" s="40" t="n">
        <v>0.0001</v>
      </c>
      <c r="N316" s="39" t="n">
        <v>0.47993</v>
      </c>
      <c r="O316" s="40" t="n">
        <v>0.00016</v>
      </c>
      <c r="P316" s="39" t="n">
        <v>0.67655</v>
      </c>
      <c r="Q316" s="40" t="n">
        <v>0.00014</v>
      </c>
      <c r="R316" s="39" t="n">
        <v>0.66426</v>
      </c>
      <c r="S316" s="40" t="n">
        <v>9E-005</v>
      </c>
      <c r="T316" s="39" t="n">
        <v>0.79241</v>
      </c>
      <c r="U316" s="40" t="n">
        <v>0.00022</v>
      </c>
      <c r="V316" s="39" t="n">
        <v>0.73707</v>
      </c>
      <c r="W316" s="40" t="n">
        <v>6E-005</v>
      </c>
      <c r="X316" s="39" t="n">
        <v>0.76939</v>
      </c>
      <c r="Y316" s="40" t="n">
        <v>0.00028</v>
      </c>
    </row>
    <row r="317" customFormat="false" ht="15" hidden="false" customHeight="false" outlineLevel="0" collapsed="false">
      <c r="A317" s="38" t="n">
        <v>372</v>
      </c>
      <c r="B317" s="39" t="n">
        <v>0.79709</v>
      </c>
      <c r="C317" s="40" t="n">
        <v>0.00067</v>
      </c>
      <c r="D317" s="39" t="n">
        <v>0.04101</v>
      </c>
      <c r="E317" s="40" t="n">
        <v>9E-005</v>
      </c>
      <c r="F317" s="39" t="n">
        <v>0.7317</v>
      </c>
      <c r="G317" s="40" t="n">
        <v>0.00037</v>
      </c>
      <c r="H317" s="39" t="n">
        <v>0.36069</v>
      </c>
      <c r="I317" s="40" t="n">
        <v>0.00021</v>
      </c>
      <c r="J317" s="39" t="n">
        <v>0.50317</v>
      </c>
      <c r="K317" s="40" t="n">
        <v>0.00014</v>
      </c>
      <c r="L317" s="39" t="n">
        <v>0.70239</v>
      </c>
      <c r="M317" s="40" t="n">
        <v>0.00011</v>
      </c>
      <c r="N317" s="39" t="n">
        <v>0.47772</v>
      </c>
      <c r="O317" s="40" t="n">
        <v>0.00016</v>
      </c>
      <c r="P317" s="39" t="n">
        <v>0.67497</v>
      </c>
      <c r="Q317" s="40" t="n">
        <v>0.00014</v>
      </c>
      <c r="R317" s="39" t="n">
        <v>0.66335</v>
      </c>
      <c r="S317" s="40" t="n">
        <v>9E-005</v>
      </c>
      <c r="T317" s="39" t="n">
        <v>0.78973</v>
      </c>
      <c r="U317" s="40" t="n">
        <v>0.00022</v>
      </c>
      <c r="V317" s="39" t="n">
        <v>0.73659</v>
      </c>
      <c r="W317" s="40" t="n">
        <v>6E-005</v>
      </c>
      <c r="X317" s="39" t="n">
        <v>0.76598</v>
      </c>
      <c r="Y317" s="40" t="n">
        <v>0.00028</v>
      </c>
    </row>
    <row r="318" customFormat="false" ht="15" hidden="false" customHeight="false" outlineLevel="0" collapsed="false">
      <c r="A318" s="38" t="n">
        <v>373</v>
      </c>
      <c r="B318" s="39" t="n">
        <v>0.78862</v>
      </c>
      <c r="C318" s="40" t="n">
        <v>0.00071</v>
      </c>
      <c r="D318" s="39" t="n">
        <v>0.04155</v>
      </c>
      <c r="E318" s="40" t="n">
        <v>9E-005</v>
      </c>
      <c r="F318" s="39" t="n">
        <v>0.72754</v>
      </c>
      <c r="G318" s="40" t="n">
        <v>0.00039</v>
      </c>
      <c r="H318" s="39" t="n">
        <v>0.35822</v>
      </c>
      <c r="I318" s="40" t="n">
        <v>0.00018</v>
      </c>
      <c r="J318" s="39" t="n">
        <v>0.50111</v>
      </c>
      <c r="K318" s="40" t="n">
        <v>0.00014</v>
      </c>
      <c r="L318" s="39" t="n">
        <v>0.70142</v>
      </c>
      <c r="M318" s="40" t="n">
        <v>0.0001</v>
      </c>
      <c r="N318" s="39" t="n">
        <v>0.47604</v>
      </c>
      <c r="O318" s="40" t="n">
        <v>0.00016</v>
      </c>
      <c r="P318" s="39" t="n">
        <v>0.67319</v>
      </c>
      <c r="Q318" s="40" t="n">
        <v>0.00014</v>
      </c>
      <c r="R318" s="39" t="n">
        <v>0.66224</v>
      </c>
      <c r="S318" s="40" t="n">
        <v>8E-005</v>
      </c>
      <c r="T318" s="39" t="n">
        <v>0.78723</v>
      </c>
      <c r="U318" s="40" t="n">
        <v>0.00022</v>
      </c>
      <c r="V318" s="39" t="n">
        <v>0.73583</v>
      </c>
      <c r="W318" s="40" t="n">
        <v>6E-005</v>
      </c>
      <c r="X318" s="39" t="n">
        <v>0.76224</v>
      </c>
      <c r="Y318" s="40" t="n">
        <v>0.00029</v>
      </c>
    </row>
    <row r="319" customFormat="false" ht="15" hidden="false" customHeight="false" outlineLevel="0" collapsed="false">
      <c r="A319" s="38" t="n">
        <v>374</v>
      </c>
      <c r="B319" s="39" t="n">
        <v>0.77976</v>
      </c>
      <c r="C319" s="40" t="n">
        <v>0.00076</v>
      </c>
      <c r="D319" s="39" t="n">
        <v>0.04144</v>
      </c>
      <c r="E319" s="40" t="n">
        <v>7E-005</v>
      </c>
      <c r="F319" s="39" t="n">
        <v>0.72228</v>
      </c>
      <c r="G319" s="40" t="n">
        <v>0.0004</v>
      </c>
      <c r="H319" s="39" t="n">
        <v>0.35644</v>
      </c>
      <c r="I319" s="40" t="n">
        <v>0.00017</v>
      </c>
      <c r="J319" s="39" t="n">
        <v>0.4994</v>
      </c>
      <c r="K319" s="40" t="n">
        <v>0.00014</v>
      </c>
      <c r="L319" s="39" t="n">
        <v>0.70013</v>
      </c>
      <c r="M319" s="40" t="n">
        <v>0.0001</v>
      </c>
      <c r="N319" s="39" t="n">
        <v>0.47415</v>
      </c>
      <c r="O319" s="40" t="n">
        <v>0.00016</v>
      </c>
      <c r="P319" s="39" t="n">
        <v>0.67151</v>
      </c>
      <c r="Q319" s="40" t="n">
        <v>0.00014</v>
      </c>
      <c r="R319" s="39" t="n">
        <v>0.66114</v>
      </c>
      <c r="S319" s="40" t="n">
        <v>9E-005</v>
      </c>
      <c r="T319" s="39" t="n">
        <v>0.78443</v>
      </c>
      <c r="U319" s="40" t="n">
        <v>0.00023</v>
      </c>
      <c r="V319" s="39" t="n">
        <v>0.7351</v>
      </c>
      <c r="W319" s="40" t="n">
        <v>6E-005</v>
      </c>
      <c r="X319" s="39" t="n">
        <v>0.75908</v>
      </c>
      <c r="Y319" s="40" t="n">
        <v>0.00029</v>
      </c>
    </row>
    <row r="320" customFormat="false" ht="15" hidden="false" customHeight="false" outlineLevel="0" collapsed="false">
      <c r="A320" s="38" t="n">
        <v>375</v>
      </c>
      <c r="B320" s="39" t="n">
        <v>0.77042</v>
      </c>
      <c r="C320" s="40" t="n">
        <v>0.00082</v>
      </c>
      <c r="D320" s="39" t="n">
        <v>0.03905</v>
      </c>
      <c r="E320" s="40" t="n">
        <v>3E-005</v>
      </c>
      <c r="F320" s="39" t="n">
        <v>0.7168</v>
      </c>
      <c r="G320" s="40" t="n">
        <v>0.00042</v>
      </c>
      <c r="H320" s="39" t="n">
        <v>0.35455</v>
      </c>
      <c r="I320" s="40" t="n">
        <v>0.00015</v>
      </c>
      <c r="J320" s="39" t="n">
        <v>0.49775</v>
      </c>
      <c r="K320" s="40" t="n">
        <v>0.00015</v>
      </c>
      <c r="L320" s="39" t="n">
        <v>0.69862</v>
      </c>
      <c r="M320" s="40" t="n">
        <v>0.0001</v>
      </c>
      <c r="N320" s="39" t="n">
        <v>0.47221</v>
      </c>
      <c r="O320" s="40" t="n">
        <v>0.00016</v>
      </c>
      <c r="P320" s="39" t="n">
        <v>0.66977</v>
      </c>
      <c r="Q320" s="40" t="n">
        <v>0.00014</v>
      </c>
      <c r="R320" s="39" t="n">
        <v>0.66009</v>
      </c>
      <c r="S320" s="40" t="n">
        <v>9E-005</v>
      </c>
      <c r="T320" s="39" t="n">
        <v>0.78151</v>
      </c>
      <c r="U320" s="40" t="n">
        <v>0.00023</v>
      </c>
      <c r="V320" s="39" t="n">
        <v>0.73438</v>
      </c>
      <c r="W320" s="40" t="n">
        <v>6E-005</v>
      </c>
      <c r="X320" s="39" t="n">
        <v>0.75557</v>
      </c>
      <c r="Y320" s="40" t="n">
        <v>0.0003</v>
      </c>
    </row>
    <row r="321" customFormat="false" ht="15" hidden="false" customHeight="false" outlineLevel="0" collapsed="false">
      <c r="A321" s="38" t="n">
        <v>376</v>
      </c>
      <c r="B321" s="39" t="n">
        <v>0.76012</v>
      </c>
      <c r="C321" s="40" t="n">
        <v>0.00088</v>
      </c>
      <c r="D321" s="39" t="n">
        <v>0.03693</v>
      </c>
      <c r="E321" s="40" t="n">
        <v>3E-005</v>
      </c>
      <c r="F321" s="39" t="n">
        <v>0.71191</v>
      </c>
      <c r="G321" s="40" t="n">
        <v>0.00044</v>
      </c>
      <c r="H321" s="39" t="n">
        <v>0.35262</v>
      </c>
      <c r="I321" s="40" t="n">
        <v>0.00014</v>
      </c>
      <c r="J321" s="39" t="n">
        <v>0.49593</v>
      </c>
      <c r="K321" s="40" t="n">
        <v>0.00015</v>
      </c>
      <c r="L321" s="39" t="n">
        <v>0.6975</v>
      </c>
      <c r="M321" s="40" t="n">
        <v>0.0001</v>
      </c>
      <c r="N321" s="39" t="n">
        <v>0.47029</v>
      </c>
      <c r="O321" s="40" t="n">
        <v>0.00015</v>
      </c>
      <c r="P321" s="39" t="n">
        <v>0.66812</v>
      </c>
      <c r="Q321" s="40" t="n">
        <v>0.00014</v>
      </c>
      <c r="R321" s="39" t="n">
        <v>0.65894</v>
      </c>
      <c r="S321" s="40" t="n">
        <v>9E-005</v>
      </c>
      <c r="T321" s="39" t="n">
        <v>0.77899</v>
      </c>
      <c r="U321" s="40" t="n">
        <v>0.00024</v>
      </c>
      <c r="V321" s="39" t="n">
        <v>0.73359</v>
      </c>
      <c r="W321" s="40" t="n">
        <v>6E-005</v>
      </c>
      <c r="X321" s="39" t="n">
        <v>0.75189</v>
      </c>
      <c r="Y321" s="40" t="n">
        <v>0.0003</v>
      </c>
    </row>
    <row r="322" customFormat="false" ht="15" hidden="false" customHeight="false" outlineLevel="0" collapsed="false">
      <c r="A322" s="38" t="n">
        <v>377</v>
      </c>
      <c r="B322" s="39" t="n">
        <v>0.74882</v>
      </c>
      <c r="C322" s="40" t="n">
        <v>0.00093</v>
      </c>
      <c r="D322" s="39" t="n">
        <v>0.03826</v>
      </c>
      <c r="E322" s="40" t="n">
        <v>6E-005</v>
      </c>
      <c r="F322" s="39" t="n">
        <v>0.707</v>
      </c>
      <c r="G322" s="40" t="n">
        <v>0.00045</v>
      </c>
      <c r="H322" s="39" t="n">
        <v>0.35126</v>
      </c>
      <c r="I322" s="40" t="n">
        <v>0.00012</v>
      </c>
      <c r="J322" s="39" t="n">
        <v>0.49438</v>
      </c>
      <c r="K322" s="40" t="n">
        <v>0.00014</v>
      </c>
      <c r="L322" s="39" t="n">
        <v>0.69654</v>
      </c>
      <c r="M322" s="40" t="n">
        <v>0.0001</v>
      </c>
      <c r="N322" s="39" t="n">
        <v>0.46844</v>
      </c>
      <c r="O322" s="40" t="n">
        <v>0.00015</v>
      </c>
      <c r="P322" s="39" t="n">
        <v>0.66643</v>
      </c>
      <c r="Q322" s="40" t="n">
        <v>0.00014</v>
      </c>
      <c r="R322" s="39" t="n">
        <v>0.65798</v>
      </c>
      <c r="S322" s="40" t="n">
        <v>9E-005</v>
      </c>
      <c r="T322" s="39" t="n">
        <v>0.77603</v>
      </c>
      <c r="U322" s="40" t="n">
        <v>0.00024</v>
      </c>
      <c r="V322" s="39" t="n">
        <v>0.73305</v>
      </c>
      <c r="W322" s="40" t="n">
        <v>5E-005</v>
      </c>
      <c r="X322" s="39" t="n">
        <v>0.7483</v>
      </c>
      <c r="Y322" s="40" t="n">
        <v>0.0003</v>
      </c>
    </row>
    <row r="323" customFormat="false" ht="15" hidden="false" customHeight="false" outlineLevel="0" collapsed="false">
      <c r="A323" s="38" t="n">
        <v>378</v>
      </c>
      <c r="B323" s="39" t="n">
        <v>0.73756</v>
      </c>
      <c r="C323" s="40" t="n">
        <v>0.00098</v>
      </c>
      <c r="D323" s="39" t="n">
        <v>0.03955</v>
      </c>
      <c r="E323" s="40" t="n">
        <v>5E-005</v>
      </c>
      <c r="F323" s="39" t="n">
        <v>0.70148</v>
      </c>
      <c r="G323" s="40" t="n">
        <v>0.00045</v>
      </c>
      <c r="H323" s="39" t="n">
        <v>0.34952</v>
      </c>
      <c r="I323" s="40" t="n">
        <v>0.00011</v>
      </c>
      <c r="J323" s="39" t="n">
        <v>0.49268</v>
      </c>
      <c r="K323" s="40" t="n">
        <v>0.00014</v>
      </c>
      <c r="L323" s="39" t="n">
        <v>0.69497</v>
      </c>
      <c r="M323" s="40" t="n">
        <v>0.0001</v>
      </c>
      <c r="N323" s="39" t="n">
        <v>0.46663</v>
      </c>
      <c r="O323" s="40" t="n">
        <v>0.00015</v>
      </c>
      <c r="P323" s="39" t="n">
        <v>0.66489</v>
      </c>
      <c r="Q323" s="40" t="n">
        <v>0.00014</v>
      </c>
      <c r="R323" s="39" t="n">
        <v>0.65696</v>
      </c>
      <c r="S323" s="40" t="n">
        <v>9E-005</v>
      </c>
      <c r="T323" s="39" t="n">
        <v>0.77301</v>
      </c>
      <c r="U323" s="40" t="n">
        <v>0.00024</v>
      </c>
      <c r="V323" s="39" t="n">
        <v>0.73232</v>
      </c>
      <c r="W323" s="40" t="n">
        <v>5E-005</v>
      </c>
      <c r="X323" s="39" t="n">
        <v>0.74447</v>
      </c>
      <c r="Y323" s="40" t="n">
        <v>0.00031</v>
      </c>
    </row>
    <row r="324" customFormat="false" ht="15" hidden="false" customHeight="false" outlineLevel="0" collapsed="false">
      <c r="A324" s="38" t="n">
        <v>379</v>
      </c>
      <c r="B324" s="39" t="n">
        <v>0.72575</v>
      </c>
      <c r="C324" s="40" t="n">
        <v>0.00105</v>
      </c>
      <c r="D324" s="39" t="n">
        <v>0.0376</v>
      </c>
      <c r="E324" s="40" t="n">
        <v>5E-005</v>
      </c>
      <c r="F324" s="39" t="n">
        <v>0.69582</v>
      </c>
      <c r="G324" s="40" t="n">
        <v>0.00046</v>
      </c>
      <c r="H324" s="39" t="n">
        <v>0.34831</v>
      </c>
      <c r="I324" s="40" t="n">
        <v>0.0001</v>
      </c>
      <c r="J324" s="39" t="n">
        <v>0.49072</v>
      </c>
      <c r="K324" s="40" t="n">
        <v>0.00014</v>
      </c>
      <c r="L324" s="39" t="n">
        <v>0.69375</v>
      </c>
      <c r="M324" s="40" t="n">
        <v>0.0001</v>
      </c>
      <c r="N324" s="39" t="n">
        <v>0.46473</v>
      </c>
      <c r="O324" s="40" t="n">
        <v>0.00014</v>
      </c>
      <c r="P324" s="39" t="n">
        <v>0.66333</v>
      </c>
      <c r="Q324" s="40" t="n">
        <v>0.00014</v>
      </c>
      <c r="R324" s="39" t="n">
        <v>0.65572</v>
      </c>
      <c r="S324" s="40" t="n">
        <v>9E-005</v>
      </c>
      <c r="T324" s="39" t="n">
        <v>0.77021</v>
      </c>
      <c r="U324" s="40" t="n">
        <v>0.00024</v>
      </c>
      <c r="V324" s="39" t="n">
        <v>0.73177</v>
      </c>
      <c r="W324" s="40" t="n">
        <v>6E-005</v>
      </c>
      <c r="X324" s="39" t="n">
        <v>0.74087</v>
      </c>
      <c r="Y324" s="40" t="n">
        <v>0.00032</v>
      </c>
    </row>
    <row r="325" customFormat="false" ht="15" hidden="false" customHeight="false" outlineLevel="0" collapsed="false">
      <c r="A325" s="38" t="n">
        <v>380</v>
      </c>
      <c r="B325" s="39" t="n">
        <v>0.71239</v>
      </c>
      <c r="C325" s="40" t="n">
        <v>0.00111</v>
      </c>
      <c r="D325" s="39" t="n">
        <v>0.03734</v>
      </c>
      <c r="E325" s="40" t="n">
        <v>5E-005</v>
      </c>
      <c r="F325" s="39" t="n">
        <v>0.69003</v>
      </c>
      <c r="G325" s="40" t="n">
        <v>0.00049</v>
      </c>
      <c r="H325" s="39" t="n">
        <v>0.34731</v>
      </c>
      <c r="I325" s="40" t="n">
        <v>9E-005</v>
      </c>
      <c r="J325" s="39" t="n">
        <v>0.48923</v>
      </c>
      <c r="K325" s="40" t="n">
        <v>0.00013</v>
      </c>
      <c r="L325" s="39" t="n">
        <v>0.69282</v>
      </c>
      <c r="M325" s="40" t="n">
        <v>0.00011</v>
      </c>
      <c r="N325" s="39" t="n">
        <v>0.46329</v>
      </c>
      <c r="O325" s="40" t="n">
        <v>0.00015</v>
      </c>
      <c r="P325" s="39" t="n">
        <v>0.66151</v>
      </c>
      <c r="Q325" s="40" t="n">
        <v>0.00014</v>
      </c>
      <c r="R325" s="39" t="n">
        <v>0.65483</v>
      </c>
      <c r="S325" s="40" t="n">
        <v>8E-005</v>
      </c>
      <c r="T325" s="39" t="n">
        <v>0.76733</v>
      </c>
      <c r="U325" s="40" t="n">
        <v>0.00025</v>
      </c>
      <c r="V325" s="39" t="n">
        <v>0.73119</v>
      </c>
      <c r="W325" s="40" t="n">
        <v>6E-005</v>
      </c>
      <c r="X325" s="39" t="n">
        <v>0.73724</v>
      </c>
      <c r="Y325" s="40" t="n">
        <v>0.00032</v>
      </c>
    </row>
    <row r="326" customFormat="false" ht="15" hidden="false" customHeight="false" outlineLevel="0" collapsed="false">
      <c r="A326" s="38" t="n">
        <v>381</v>
      </c>
      <c r="B326" s="39" t="n">
        <v>0.69909</v>
      </c>
      <c r="C326" s="40" t="n">
        <v>0.00118</v>
      </c>
      <c r="D326" s="39" t="n">
        <v>0.03544</v>
      </c>
      <c r="E326" s="40" t="n">
        <v>7E-005</v>
      </c>
      <c r="F326" s="39" t="n">
        <v>0.6841</v>
      </c>
      <c r="G326" s="40" t="n">
        <v>0.00051</v>
      </c>
      <c r="H326" s="39" t="n">
        <v>0.34629</v>
      </c>
      <c r="I326" s="40" t="n">
        <v>8E-005</v>
      </c>
      <c r="J326" s="39" t="n">
        <v>0.48783</v>
      </c>
      <c r="K326" s="40" t="n">
        <v>0.00013</v>
      </c>
      <c r="L326" s="39" t="n">
        <v>0.69148</v>
      </c>
      <c r="M326" s="40" t="n">
        <v>0.0001</v>
      </c>
      <c r="N326" s="39" t="n">
        <v>0.46154</v>
      </c>
      <c r="O326" s="40" t="n">
        <v>0.00015</v>
      </c>
      <c r="P326" s="39" t="n">
        <v>0.65977</v>
      </c>
      <c r="Q326" s="40" t="n">
        <v>0.00014</v>
      </c>
      <c r="R326" s="39" t="n">
        <v>0.65405</v>
      </c>
      <c r="S326" s="40" t="n">
        <v>9E-005</v>
      </c>
      <c r="T326" s="39" t="n">
        <v>0.76429</v>
      </c>
      <c r="U326" s="40" t="n">
        <v>0.00025</v>
      </c>
      <c r="V326" s="39" t="n">
        <v>0.73045</v>
      </c>
      <c r="W326" s="40" t="n">
        <v>6E-005</v>
      </c>
      <c r="X326" s="39" t="n">
        <v>0.73325</v>
      </c>
      <c r="Y326" s="40" t="n">
        <v>0.00033</v>
      </c>
    </row>
    <row r="327" customFormat="false" ht="15" hidden="false" customHeight="false" outlineLevel="0" collapsed="false">
      <c r="A327" s="38" t="n">
        <v>382</v>
      </c>
      <c r="B327" s="39" t="n">
        <v>0.68457</v>
      </c>
      <c r="C327" s="40" t="n">
        <v>0.00126</v>
      </c>
      <c r="D327" s="39" t="n">
        <v>0.03501</v>
      </c>
      <c r="E327" s="40" t="n">
        <v>5E-005</v>
      </c>
      <c r="F327" s="39" t="n">
        <v>0.67845</v>
      </c>
      <c r="G327" s="40" t="n">
        <v>0.00052</v>
      </c>
      <c r="H327" s="39" t="n">
        <v>0.34539</v>
      </c>
      <c r="I327" s="40" t="n">
        <v>7E-005</v>
      </c>
      <c r="J327" s="39" t="n">
        <v>0.48617</v>
      </c>
      <c r="K327" s="40" t="n">
        <v>0.00013</v>
      </c>
      <c r="L327" s="39" t="n">
        <v>0.69003</v>
      </c>
      <c r="M327" s="40" t="n">
        <v>0.0001</v>
      </c>
      <c r="N327" s="39" t="n">
        <v>0.45961</v>
      </c>
      <c r="O327" s="40" t="n">
        <v>0.00015</v>
      </c>
      <c r="P327" s="39" t="n">
        <v>0.65815</v>
      </c>
      <c r="Q327" s="40" t="n">
        <v>0.00014</v>
      </c>
      <c r="R327" s="39" t="n">
        <v>0.65269</v>
      </c>
      <c r="S327" s="40" t="n">
        <v>9E-005</v>
      </c>
      <c r="T327" s="39" t="n">
        <v>0.76128</v>
      </c>
      <c r="U327" s="40" t="n">
        <v>0.00025</v>
      </c>
      <c r="V327" s="39" t="n">
        <v>0.72964</v>
      </c>
      <c r="W327" s="40" t="n">
        <v>6E-005</v>
      </c>
      <c r="X327" s="39" t="n">
        <v>0.729</v>
      </c>
      <c r="Y327" s="40" t="n">
        <v>0.00033</v>
      </c>
    </row>
    <row r="328" customFormat="false" ht="15" hidden="false" customHeight="false" outlineLevel="0" collapsed="false">
      <c r="A328" s="38" t="n">
        <v>383</v>
      </c>
      <c r="B328" s="39" t="n">
        <v>0.66855</v>
      </c>
      <c r="C328" s="40" t="n">
        <v>0.00133</v>
      </c>
      <c r="D328" s="39" t="n">
        <v>0.03413</v>
      </c>
      <c r="E328" s="40" t="n">
        <v>0</v>
      </c>
      <c r="F328" s="39" t="n">
        <v>0.67205</v>
      </c>
      <c r="G328" s="40" t="n">
        <v>0.00053</v>
      </c>
      <c r="H328" s="39" t="n">
        <v>0.34452</v>
      </c>
      <c r="I328" s="40" t="n">
        <v>6E-005</v>
      </c>
      <c r="J328" s="39" t="n">
        <v>0.48488</v>
      </c>
      <c r="K328" s="40" t="n">
        <v>0.00012</v>
      </c>
      <c r="L328" s="39" t="n">
        <v>0.68863</v>
      </c>
      <c r="M328" s="40" t="n">
        <v>0.0001</v>
      </c>
      <c r="N328" s="39" t="n">
        <v>0.45783</v>
      </c>
      <c r="O328" s="40" t="n">
        <v>0.00015</v>
      </c>
      <c r="P328" s="39" t="n">
        <v>0.6563</v>
      </c>
      <c r="Q328" s="40" t="n">
        <v>0.00014</v>
      </c>
      <c r="R328" s="39" t="n">
        <v>0.65177</v>
      </c>
      <c r="S328" s="40" t="n">
        <v>9E-005</v>
      </c>
      <c r="T328" s="39" t="n">
        <v>0.75833</v>
      </c>
      <c r="U328" s="40" t="n">
        <v>0.00026</v>
      </c>
      <c r="V328" s="39" t="n">
        <v>0.7288</v>
      </c>
      <c r="W328" s="40" t="n">
        <v>6E-005</v>
      </c>
      <c r="X328" s="39" t="n">
        <v>0.72516</v>
      </c>
      <c r="Y328" s="40" t="n">
        <v>0.00033</v>
      </c>
    </row>
    <row r="329" customFormat="false" ht="15" hidden="false" customHeight="false" outlineLevel="0" collapsed="false">
      <c r="A329" s="38" t="n">
        <v>384</v>
      </c>
      <c r="B329" s="39" t="n">
        <v>0.65222</v>
      </c>
      <c r="C329" s="40" t="n">
        <v>0.00142</v>
      </c>
      <c r="D329" s="39" t="n">
        <v>0.035</v>
      </c>
      <c r="E329" s="40" t="n">
        <v>-3E-005</v>
      </c>
      <c r="F329" s="39" t="n">
        <v>0.66519</v>
      </c>
      <c r="G329" s="40" t="n">
        <v>0.00054</v>
      </c>
      <c r="H329" s="39" t="n">
        <v>0.34376</v>
      </c>
      <c r="I329" s="40" t="n">
        <v>7E-005</v>
      </c>
      <c r="J329" s="39" t="n">
        <v>0.48341</v>
      </c>
      <c r="K329" s="40" t="n">
        <v>0.00013</v>
      </c>
      <c r="L329" s="39" t="n">
        <v>0.68752</v>
      </c>
      <c r="M329" s="40" t="n">
        <v>0.00011</v>
      </c>
      <c r="N329" s="39" t="n">
        <v>0.45563</v>
      </c>
      <c r="O329" s="40" t="n">
        <v>0.00015</v>
      </c>
      <c r="P329" s="39" t="n">
        <v>0.65475</v>
      </c>
      <c r="Q329" s="40" t="n">
        <v>0.00014</v>
      </c>
      <c r="R329" s="39" t="n">
        <v>0.65075</v>
      </c>
      <c r="S329" s="40" t="n">
        <v>9E-005</v>
      </c>
      <c r="T329" s="39" t="n">
        <v>0.75522</v>
      </c>
      <c r="U329" s="40" t="n">
        <v>0.00026</v>
      </c>
      <c r="V329" s="39" t="n">
        <v>0.72806</v>
      </c>
      <c r="W329" s="40" t="n">
        <v>6E-005</v>
      </c>
      <c r="X329" s="39" t="n">
        <v>0.7211</v>
      </c>
      <c r="Y329" s="40" t="n">
        <v>0.00034</v>
      </c>
    </row>
    <row r="330" customFormat="false" ht="15" hidden="false" customHeight="false" outlineLevel="0" collapsed="false">
      <c r="A330" s="38" t="n">
        <v>385</v>
      </c>
      <c r="B330" s="39" t="n">
        <v>0.63477</v>
      </c>
      <c r="C330" s="40" t="n">
        <v>0.00149</v>
      </c>
      <c r="D330" s="39" t="n">
        <v>0.03585</v>
      </c>
      <c r="E330" s="40" t="n">
        <v>-4E-005</v>
      </c>
      <c r="F330" s="39" t="n">
        <v>0.65856</v>
      </c>
      <c r="G330" s="40" t="n">
        <v>0.00057</v>
      </c>
      <c r="H330" s="39" t="n">
        <v>0.34303</v>
      </c>
      <c r="I330" s="40" t="n">
        <v>6E-005</v>
      </c>
      <c r="J330" s="39" t="n">
        <v>0.48165</v>
      </c>
      <c r="K330" s="40" t="n">
        <v>0.00013</v>
      </c>
      <c r="L330" s="39" t="n">
        <v>0.68659</v>
      </c>
      <c r="M330" s="40" t="n">
        <v>0.00011</v>
      </c>
      <c r="N330" s="39" t="n">
        <v>0.45397</v>
      </c>
      <c r="O330" s="40" t="n">
        <v>0.00015</v>
      </c>
      <c r="P330" s="39" t="n">
        <v>0.65342</v>
      </c>
      <c r="Q330" s="40" t="n">
        <v>0.00013</v>
      </c>
      <c r="R330" s="39" t="n">
        <v>0.64961</v>
      </c>
      <c r="S330" s="40" t="n">
        <v>9E-005</v>
      </c>
      <c r="T330" s="39" t="n">
        <v>0.75198</v>
      </c>
      <c r="U330" s="40" t="n">
        <v>0.00026</v>
      </c>
      <c r="V330" s="39" t="n">
        <v>0.72748</v>
      </c>
      <c r="W330" s="40" t="n">
        <v>6E-005</v>
      </c>
      <c r="X330" s="39" t="n">
        <v>0.71729</v>
      </c>
      <c r="Y330" s="40" t="n">
        <v>0.00034</v>
      </c>
    </row>
    <row r="331" customFormat="false" ht="15" hidden="false" customHeight="false" outlineLevel="0" collapsed="false">
      <c r="A331" s="38" t="n">
        <v>386</v>
      </c>
      <c r="B331" s="39" t="n">
        <v>0.61661</v>
      </c>
      <c r="C331" s="40" t="n">
        <v>0.00158</v>
      </c>
      <c r="D331" s="39" t="n">
        <v>0.03596</v>
      </c>
      <c r="E331" s="40" t="n">
        <v>1E-005</v>
      </c>
      <c r="F331" s="39" t="n">
        <v>0.65199</v>
      </c>
      <c r="G331" s="40" t="n">
        <v>0.00059</v>
      </c>
      <c r="H331" s="39" t="n">
        <v>0.34246</v>
      </c>
      <c r="I331" s="40" t="n">
        <v>6E-005</v>
      </c>
      <c r="J331" s="39" t="n">
        <v>0.48004</v>
      </c>
      <c r="K331" s="40" t="n">
        <v>0.00013</v>
      </c>
      <c r="L331" s="39" t="n">
        <v>0.68509</v>
      </c>
      <c r="M331" s="40" t="n">
        <v>0.00012</v>
      </c>
      <c r="N331" s="39" t="n">
        <v>0.45226</v>
      </c>
      <c r="O331" s="40" t="n">
        <v>0.00014</v>
      </c>
      <c r="P331" s="39" t="n">
        <v>0.6515</v>
      </c>
      <c r="Q331" s="40" t="n">
        <v>0.00014</v>
      </c>
      <c r="R331" s="39" t="n">
        <v>0.64861</v>
      </c>
      <c r="S331" s="40" t="n">
        <v>8E-005</v>
      </c>
      <c r="T331" s="39" t="n">
        <v>0.74891</v>
      </c>
      <c r="U331" s="40" t="n">
        <v>0.00026</v>
      </c>
      <c r="V331" s="39" t="n">
        <v>0.7266</v>
      </c>
      <c r="W331" s="40" t="n">
        <v>6E-005</v>
      </c>
      <c r="X331" s="39" t="n">
        <v>0.71336</v>
      </c>
      <c r="Y331" s="40" t="n">
        <v>0.00034</v>
      </c>
    </row>
    <row r="332" customFormat="false" ht="15" hidden="false" customHeight="false" outlineLevel="0" collapsed="false">
      <c r="A332" s="38" t="n">
        <v>387</v>
      </c>
      <c r="B332" s="39" t="n">
        <v>0.59712</v>
      </c>
      <c r="C332" s="40" t="n">
        <v>0.00165</v>
      </c>
      <c r="D332" s="39" t="n">
        <v>0.03638</v>
      </c>
      <c r="E332" s="40" t="n">
        <v>5E-005</v>
      </c>
      <c r="F332" s="39" t="n">
        <v>0.64507</v>
      </c>
      <c r="G332" s="40" t="n">
        <v>0.00059</v>
      </c>
      <c r="H332" s="39" t="n">
        <v>0.34166</v>
      </c>
      <c r="I332" s="40" t="n">
        <v>6E-005</v>
      </c>
      <c r="J332" s="39" t="n">
        <v>0.47859</v>
      </c>
      <c r="K332" s="40" t="n">
        <v>0.00013</v>
      </c>
      <c r="L332" s="39" t="n">
        <v>0.68342</v>
      </c>
      <c r="M332" s="40" t="n">
        <v>0.00012</v>
      </c>
      <c r="N332" s="39" t="n">
        <v>0.45057</v>
      </c>
      <c r="O332" s="40" t="n">
        <v>0.00015</v>
      </c>
      <c r="P332" s="39" t="n">
        <v>0.64985</v>
      </c>
      <c r="Q332" s="40" t="n">
        <v>0.00014</v>
      </c>
      <c r="R332" s="39" t="n">
        <v>0.64779</v>
      </c>
      <c r="S332" s="40" t="n">
        <v>8E-005</v>
      </c>
      <c r="T332" s="39" t="n">
        <v>0.7458</v>
      </c>
      <c r="U332" s="40" t="n">
        <v>0.00027</v>
      </c>
      <c r="V332" s="39" t="n">
        <v>0.72596</v>
      </c>
      <c r="W332" s="40" t="n">
        <v>5E-005</v>
      </c>
      <c r="X332" s="39" t="n">
        <v>0.70889</v>
      </c>
      <c r="Y332" s="40" t="n">
        <v>0.00034</v>
      </c>
    </row>
    <row r="333" customFormat="false" ht="15" hidden="false" customHeight="false" outlineLevel="0" collapsed="false">
      <c r="A333" s="38" t="n">
        <v>388</v>
      </c>
      <c r="B333" s="39" t="n">
        <v>0.57635</v>
      </c>
      <c r="C333" s="40" t="n">
        <v>0.00174</v>
      </c>
      <c r="D333" s="39" t="n">
        <v>0.03592</v>
      </c>
      <c r="E333" s="40" t="n">
        <v>7E-005</v>
      </c>
      <c r="F333" s="39" t="n">
        <v>0.63764</v>
      </c>
      <c r="G333" s="40" t="n">
        <v>0.0006</v>
      </c>
      <c r="H333" s="39" t="n">
        <v>0.34078</v>
      </c>
      <c r="I333" s="40" t="n">
        <v>6E-005</v>
      </c>
      <c r="J333" s="39" t="n">
        <v>0.47701</v>
      </c>
      <c r="K333" s="40" t="n">
        <v>0.00012</v>
      </c>
      <c r="L333" s="39" t="n">
        <v>0.682</v>
      </c>
      <c r="M333" s="40" t="n">
        <v>0.00012</v>
      </c>
      <c r="N333" s="39" t="n">
        <v>0.44895</v>
      </c>
      <c r="O333" s="40" t="n">
        <v>0.00015</v>
      </c>
      <c r="P333" s="39" t="n">
        <v>0.64835</v>
      </c>
      <c r="Q333" s="40" t="n">
        <v>0.00014</v>
      </c>
      <c r="R333" s="39" t="n">
        <v>0.64681</v>
      </c>
      <c r="S333" s="40" t="n">
        <v>8E-005</v>
      </c>
      <c r="T333" s="39" t="n">
        <v>0.74275</v>
      </c>
      <c r="U333" s="40" t="n">
        <v>0.00026</v>
      </c>
      <c r="V333" s="39" t="n">
        <v>0.72541</v>
      </c>
      <c r="W333" s="40" t="n">
        <v>6E-005</v>
      </c>
      <c r="X333" s="39" t="n">
        <v>0.70474</v>
      </c>
      <c r="Y333" s="40" t="n">
        <v>0.00035</v>
      </c>
    </row>
    <row r="334" customFormat="false" ht="15" hidden="false" customHeight="false" outlineLevel="0" collapsed="false">
      <c r="A334" s="38" t="n">
        <v>389</v>
      </c>
      <c r="B334" s="39" t="n">
        <v>0.55549</v>
      </c>
      <c r="C334" s="40" t="n">
        <v>0.00181</v>
      </c>
      <c r="D334" s="39" t="n">
        <v>0.03431</v>
      </c>
      <c r="E334" s="40" t="n">
        <v>8E-005</v>
      </c>
      <c r="F334" s="39" t="n">
        <v>0.63001</v>
      </c>
      <c r="G334" s="40" t="n">
        <v>0.00062</v>
      </c>
      <c r="H334" s="39" t="n">
        <v>0.34029</v>
      </c>
      <c r="I334" s="40" t="n">
        <v>6E-005</v>
      </c>
      <c r="J334" s="39" t="n">
        <v>0.47563</v>
      </c>
      <c r="K334" s="40" t="n">
        <v>0.00012</v>
      </c>
      <c r="L334" s="39" t="n">
        <v>0.68057</v>
      </c>
      <c r="M334" s="40" t="n">
        <v>0.00012</v>
      </c>
      <c r="N334" s="39" t="n">
        <v>0.44741</v>
      </c>
      <c r="O334" s="40" t="n">
        <v>0.00015</v>
      </c>
      <c r="P334" s="39" t="n">
        <v>0.64674</v>
      </c>
      <c r="Q334" s="40" t="n">
        <v>0.00014</v>
      </c>
      <c r="R334" s="39" t="n">
        <v>0.64593</v>
      </c>
      <c r="S334" s="40" t="n">
        <v>8E-005</v>
      </c>
      <c r="T334" s="39" t="n">
        <v>0.73936</v>
      </c>
      <c r="U334" s="40" t="n">
        <v>0.00027</v>
      </c>
      <c r="V334" s="39" t="n">
        <v>0.7247</v>
      </c>
      <c r="W334" s="40" t="n">
        <v>6E-005</v>
      </c>
      <c r="X334" s="39" t="n">
        <v>0.70058</v>
      </c>
      <c r="Y334" s="40" t="n">
        <v>0.00036</v>
      </c>
    </row>
    <row r="335" customFormat="false" ht="15" hidden="false" customHeight="false" outlineLevel="0" collapsed="false">
      <c r="A335" s="38" t="n">
        <v>390</v>
      </c>
      <c r="B335" s="39" t="n">
        <v>0.53336</v>
      </c>
      <c r="C335" s="40" t="n">
        <v>0.00189</v>
      </c>
      <c r="D335" s="39" t="n">
        <v>0.03053</v>
      </c>
      <c r="E335" s="40" t="n">
        <v>7E-005</v>
      </c>
      <c r="F335" s="39" t="n">
        <v>0.62253</v>
      </c>
      <c r="G335" s="40" t="n">
        <v>0.00063</v>
      </c>
      <c r="H335" s="39" t="n">
        <v>0.33958</v>
      </c>
      <c r="I335" s="40" t="n">
        <v>6E-005</v>
      </c>
      <c r="J335" s="39" t="n">
        <v>0.47413</v>
      </c>
      <c r="K335" s="40" t="n">
        <v>0.00012</v>
      </c>
      <c r="L335" s="39" t="n">
        <v>0.67913</v>
      </c>
      <c r="M335" s="40" t="n">
        <v>0.00011</v>
      </c>
      <c r="N335" s="39" t="n">
        <v>0.44516</v>
      </c>
      <c r="O335" s="40" t="n">
        <v>0.00014</v>
      </c>
      <c r="P335" s="39" t="n">
        <v>0.64503</v>
      </c>
      <c r="Q335" s="40" t="n">
        <v>0.00013</v>
      </c>
      <c r="R335" s="39" t="n">
        <v>0.64507</v>
      </c>
      <c r="S335" s="40" t="n">
        <v>8E-005</v>
      </c>
      <c r="T335" s="39" t="n">
        <v>0.73619</v>
      </c>
      <c r="U335" s="40" t="n">
        <v>0.00027</v>
      </c>
      <c r="V335" s="39" t="n">
        <v>0.72406</v>
      </c>
      <c r="W335" s="40" t="n">
        <v>6E-005</v>
      </c>
      <c r="X335" s="39" t="n">
        <v>0.69637</v>
      </c>
      <c r="Y335" s="40" t="n">
        <v>0.00036</v>
      </c>
    </row>
    <row r="336" customFormat="false" ht="15" hidden="false" customHeight="false" outlineLevel="0" collapsed="false">
      <c r="A336" s="38" t="n">
        <v>391</v>
      </c>
      <c r="B336" s="39" t="n">
        <v>0.51011</v>
      </c>
      <c r="C336" s="40" t="n">
        <v>0.00196</v>
      </c>
      <c r="D336" s="39" t="n">
        <v>0.03077</v>
      </c>
      <c r="E336" s="40" t="n">
        <v>6E-005</v>
      </c>
      <c r="F336" s="39" t="n">
        <v>0.61543</v>
      </c>
      <c r="G336" s="40" t="n">
        <v>0.00064</v>
      </c>
      <c r="H336" s="39" t="n">
        <v>0.33875</v>
      </c>
      <c r="I336" s="40" t="n">
        <v>6E-005</v>
      </c>
      <c r="J336" s="39" t="n">
        <v>0.47288</v>
      </c>
      <c r="K336" s="40" t="n">
        <v>0.00012</v>
      </c>
      <c r="L336" s="39" t="n">
        <v>0.67801</v>
      </c>
      <c r="M336" s="40" t="n">
        <v>0.00011</v>
      </c>
      <c r="N336" s="39" t="n">
        <v>0.44328</v>
      </c>
      <c r="O336" s="40" t="n">
        <v>0.00014</v>
      </c>
      <c r="P336" s="39" t="n">
        <v>0.64336</v>
      </c>
      <c r="Q336" s="40" t="n">
        <v>0.00013</v>
      </c>
      <c r="R336" s="39" t="n">
        <v>0.64379</v>
      </c>
      <c r="S336" s="40" t="n">
        <v>8E-005</v>
      </c>
      <c r="T336" s="39" t="n">
        <v>0.73293</v>
      </c>
      <c r="U336" s="40" t="n">
        <v>0.00027</v>
      </c>
      <c r="V336" s="39" t="n">
        <v>0.72331</v>
      </c>
      <c r="W336" s="40" t="n">
        <v>6E-005</v>
      </c>
      <c r="X336" s="39" t="n">
        <v>0.6921</v>
      </c>
      <c r="Y336" s="40" t="n">
        <v>0.00036</v>
      </c>
    </row>
    <row r="337" customFormat="false" ht="15" hidden="false" customHeight="false" outlineLevel="0" collapsed="false">
      <c r="A337" s="38" t="n">
        <v>392</v>
      </c>
      <c r="B337" s="39" t="n">
        <v>0.48629</v>
      </c>
      <c r="C337" s="40" t="n">
        <v>0.00203</v>
      </c>
      <c r="D337" s="39" t="n">
        <v>0.03201</v>
      </c>
      <c r="E337" s="40" t="n">
        <v>4E-005</v>
      </c>
      <c r="F337" s="39" t="n">
        <v>0.60773</v>
      </c>
      <c r="G337" s="40" t="n">
        <v>0.00065</v>
      </c>
      <c r="H337" s="39" t="n">
        <v>0.33794</v>
      </c>
      <c r="I337" s="40" t="n">
        <v>6E-005</v>
      </c>
      <c r="J337" s="39" t="n">
        <v>0.47137</v>
      </c>
      <c r="K337" s="40" t="n">
        <v>0.00012</v>
      </c>
      <c r="L337" s="39" t="n">
        <v>0.67697</v>
      </c>
      <c r="M337" s="40" t="n">
        <v>0.00011</v>
      </c>
      <c r="N337" s="39" t="n">
        <v>0.44191</v>
      </c>
      <c r="O337" s="40" t="n">
        <v>0.00013</v>
      </c>
      <c r="P337" s="39" t="n">
        <v>0.64191</v>
      </c>
      <c r="Q337" s="40" t="n">
        <v>0.00013</v>
      </c>
      <c r="R337" s="39" t="n">
        <v>0.64282</v>
      </c>
      <c r="S337" s="40" t="n">
        <v>8E-005</v>
      </c>
      <c r="T337" s="39" t="n">
        <v>0.72969</v>
      </c>
      <c r="U337" s="40" t="n">
        <v>0.00027</v>
      </c>
      <c r="V337" s="39" t="n">
        <v>0.72259</v>
      </c>
      <c r="W337" s="40" t="n">
        <v>6E-005</v>
      </c>
      <c r="X337" s="39" t="n">
        <v>0.68752</v>
      </c>
      <c r="Y337" s="40" t="n">
        <v>0.00037</v>
      </c>
    </row>
    <row r="338" customFormat="false" ht="15" hidden="false" customHeight="false" outlineLevel="0" collapsed="false">
      <c r="A338" s="38" t="n">
        <v>393</v>
      </c>
      <c r="B338" s="39" t="n">
        <v>0.46175</v>
      </c>
      <c r="C338" s="40" t="n">
        <v>0.00209</v>
      </c>
      <c r="D338" s="39" t="n">
        <v>0.03218</v>
      </c>
      <c r="E338" s="40" t="n">
        <v>2E-005</v>
      </c>
      <c r="F338" s="39" t="n">
        <v>0.59935</v>
      </c>
      <c r="G338" s="40" t="n">
        <v>0.00067</v>
      </c>
      <c r="H338" s="39" t="n">
        <v>0.33727</v>
      </c>
      <c r="I338" s="40" t="n">
        <v>6E-005</v>
      </c>
      <c r="J338" s="39" t="n">
        <v>0.46996</v>
      </c>
      <c r="K338" s="40" t="n">
        <v>0.00012</v>
      </c>
      <c r="L338" s="39" t="n">
        <v>0.67538</v>
      </c>
      <c r="M338" s="40" t="n">
        <v>0.00011</v>
      </c>
      <c r="N338" s="39" t="n">
        <v>0.44029</v>
      </c>
      <c r="O338" s="40" t="n">
        <v>0.00013</v>
      </c>
      <c r="P338" s="39" t="n">
        <v>0.64024</v>
      </c>
      <c r="Q338" s="40" t="n">
        <v>0.00014</v>
      </c>
      <c r="R338" s="39" t="n">
        <v>0.64195</v>
      </c>
      <c r="S338" s="40" t="n">
        <v>8E-005</v>
      </c>
      <c r="T338" s="39" t="n">
        <v>0.72644</v>
      </c>
      <c r="U338" s="40" t="n">
        <v>0.00027</v>
      </c>
      <c r="V338" s="39" t="n">
        <v>0.72185</v>
      </c>
      <c r="W338" s="40" t="n">
        <v>6E-005</v>
      </c>
      <c r="X338" s="39" t="n">
        <v>0.6832</v>
      </c>
      <c r="Y338" s="40" t="n">
        <v>0.00037</v>
      </c>
    </row>
    <row r="339" customFormat="false" ht="15" hidden="false" customHeight="false" outlineLevel="0" collapsed="false">
      <c r="A339" s="38" t="n">
        <v>394</v>
      </c>
      <c r="B339" s="39" t="n">
        <v>0.43624</v>
      </c>
      <c r="C339" s="40" t="n">
        <v>0.00214</v>
      </c>
      <c r="D339" s="39" t="n">
        <v>0.03107</v>
      </c>
      <c r="E339" s="40" t="n">
        <v>-2E-005</v>
      </c>
      <c r="F339" s="39" t="n">
        <v>0.59158</v>
      </c>
      <c r="G339" s="40" t="n">
        <v>0.0007</v>
      </c>
      <c r="H339" s="39" t="n">
        <v>0.33673</v>
      </c>
      <c r="I339" s="40" t="n">
        <v>5E-005</v>
      </c>
      <c r="J339" s="39" t="n">
        <v>0.46849</v>
      </c>
      <c r="K339" s="40" t="n">
        <v>0.00012</v>
      </c>
      <c r="L339" s="39" t="n">
        <v>0.67371</v>
      </c>
      <c r="M339" s="40" t="n">
        <v>0.00011</v>
      </c>
      <c r="N339" s="39" t="n">
        <v>0.43915</v>
      </c>
      <c r="O339" s="40" t="n">
        <v>0.00012</v>
      </c>
      <c r="P339" s="39" t="n">
        <v>0.63868</v>
      </c>
      <c r="Q339" s="40" t="n">
        <v>0.00014</v>
      </c>
      <c r="R339" s="39" t="n">
        <v>0.6412</v>
      </c>
      <c r="S339" s="40" t="n">
        <v>8E-005</v>
      </c>
      <c r="T339" s="39" t="n">
        <v>0.72307</v>
      </c>
      <c r="U339" s="40" t="n">
        <v>0.00027</v>
      </c>
      <c r="V339" s="39" t="n">
        <v>0.72115</v>
      </c>
      <c r="W339" s="40" t="n">
        <v>6E-005</v>
      </c>
      <c r="X339" s="39" t="n">
        <v>0.67897</v>
      </c>
      <c r="Y339" s="40" t="n">
        <v>0.00037</v>
      </c>
    </row>
    <row r="340" customFormat="false" ht="15" hidden="false" customHeight="false" outlineLevel="0" collapsed="false">
      <c r="A340" s="38" t="n">
        <v>395</v>
      </c>
      <c r="B340" s="39" t="n">
        <v>0.41019</v>
      </c>
      <c r="C340" s="40" t="n">
        <v>0.00217</v>
      </c>
      <c r="D340" s="39" t="n">
        <v>0.03106</v>
      </c>
      <c r="E340" s="40" t="n">
        <v>2E-005</v>
      </c>
      <c r="F340" s="39" t="n">
        <v>0.58262</v>
      </c>
      <c r="G340" s="40" t="n">
        <v>0.00072</v>
      </c>
      <c r="H340" s="39" t="n">
        <v>0.33618</v>
      </c>
      <c r="I340" s="40" t="n">
        <v>5E-005</v>
      </c>
      <c r="J340" s="39" t="n">
        <v>0.46715</v>
      </c>
      <c r="K340" s="40" t="n">
        <v>0.00012</v>
      </c>
      <c r="L340" s="39" t="n">
        <v>0.67237</v>
      </c>
      <c r="M340" s="40" t="n">
        <v>0.00012</v>
      </c>
      <c r="N340" s="39" t="n">
        <v>0.43771</v>
      </c>
      <c r="O340" s="40" t="n">
        <v>0.00012</v>
      </c>
      <c r="P340" s="39" t="n">
        <v>0.63692</v>
      </c>
      <c r="Q340" s="40" t="n">
        <v>0.00014</v>
      </c>
      <c r="R340" s="39" t="n">
        <v>0.64037</v>
      </c>
      <c r="S340" s="40" t="n">
        <v>8E-005</v>
      </c>
      <c r="T340" s="39" t="n">
        <v>0.71982</v>
      </c>
      <c r="U340" s="40" t="n">
        <v>0.00027</v>
      </c>
      <c r="V340" s="39" t="n">
        <v>0.72057</v>
      </c>
      <c r="W340" s="40" t="n">
        <v>6E-005</v>
      </c>
      <c r="X340" s="39" t="n">
        <v>0.67441</v>
      </c>
      <c r="Y340" s="40" t="n">
        <v>0.00037</v>
      </c>
    </row>
    <row r="341" customFormat="false" ht="15" hidden="false" customHeight="false" outlineLevel="0" collapsed="false">
      <c r="A341" s="38" t="n">
        <v>396</v>
      </c>
      <c r="B341" s="39" t="n">
        <v>0.38394</v>
      </c>
      <c r="C341" s="40" t="n">
        <v>0.0022</v>
      </c>
      <c r="D341" s="39" t="n">
        <v>0.03025</v>
      </c>
      <c r="E341" s="40" t="n">
        <v>8E-005</v>
      </c>
      <c r="F341" s="39" t="n">
        <v>0.57408</v>
      </c>
      <c r="G341" s="40" t="n">
        <v>0.00073</v>
      </c>
      <c r="H341" s="39" t="n">
        <v>0.33546</v>
      </c>
      <c r="I341" s="40" t="n">
        <v>4E-005</v>
      </c>
      <c r="J341" s="39" t="n">
        <v>0.46569</v>
      </c>
      <c r="K341" s="40" t="n">
        <v>0.00012</v>
      </c>
      <c r="L341" s="39" t="n">
        <v>0.67119</v>
      </c>
      <c r="M341" s="40" t="n">
        <v>0.00012</v>
      </c>
      <c r="N341" s="39" t="n">
        <v>0.43593</v>
      </c>
      <c r="O341" s="40" t="n">
        <v>0.00013</v>
      </c>
      <c r="P341" s="39" t="n">
        <v>0.63528</v>
      </c>
      <c r="Q341" s="40" t="n">
        <v>0.00014</v>
      </c>
      <c r="R341" s="39" t="n">
        <v>0.63909</v>
      </c>
      <c r="S341" s="40" t="n">
        <v>8E-005</v>
      </c>
      <c r="T341" s="39" t="n">
        <v>0.7166</v>
      </c>
      <c r="U341" s="40" t="n">
        <v>0.00027</v>
      </c>
      <c r="V341" s="39" t="n">
        <v>0.71963</v>
      </c>
      <c r="W341" s="40" t="n">
        <v>6E-005</v>
      </c>
      <c r="X341" s="39" t="n">
        <v>0.6697</v>
      </c>
      <c r="Y341" s="40" t="n">
        <v>0.00038</v>
      </c>
    </row>
    <row r="342" customFormat="false" ht="15" hidden="false" customHeight="false" outlineLevel="0" collapsed="false">
      <c r="A342" s="38" t="n">
        <v>397</v>
      </c>
      <c r="B342" s="39" t="n">
        <v>0.35733</v>
      </c>
      <c r="C342" s="40" t="n">
        <v>0.00221</v>
      </c>
      <c r="D342" s="39" t="n">
        <v>0.02981</v>
      </c>
      <c r="E342" s="40" t="n">
        <v>7E-005</v>
      </c>
      <c r="F342" s="39" t="n">
        <v>0.56519</v>
      </c>
      <c r="G342" s="40" t="n">
        <v>0.00074</v>
      </c>
      <c r="H342" s="39" t="n">
        <v>0.33517</v>
      </c>
      <c r="I342" s="40" t="n">
        <v>4E-005</v>
      </c>
      <c r="J342" s="39" t="n">
        <v>0.46432</v>
      </c>
      <c r="K342" s="40" t="n">
        <v>0.00011</v>
      </c>
      <c r="L342" s="39" t="n">
        <v>0.66982</v>
      </c>
      <c r="M342" s="40" t="n">
        <v>0.00011</v>
      </c>
      <c r="N342" s="39" t="n">
        <v>0.43421</v>
      </c>
      <c r="O342" s="40" t="n">
        <v>0.00013</v>
      </c>
      <c r="P342" s="39" t="n">
        <v>0.63351</v>
      </c>
      <c r="Q342" s="40" t="n">
        <v>0.00014</v>
      </c>
      <c r="R342" s="39" t="n">
        <v>0.63814</v>
      </c>
      <c r="S342" s="40" t="n">
        <v>8E-005</v>
      </c>
      <c r="T342" s="39" t="n">
        <v>0.71348</v>
      </c>
      <c r="U342" s="40" t="n">
        <v>0.00027</v>
      </c>
      <c r="V342" s="39" t="n">
        <v>0.71878</v>
      </c>
      <c r="W342" s="40" t="n">
        <v>6E-005</v>
      </c>
      <c r="X342" s="39" t="n">
        <v>0.66535</v>
      </c>
      <c r="Y342" s="40" t="n">
        <v>0.00038</v>
      </c>
    </row>
    <row r="343" customFormat="false" ht="15" hidden="false" customHeight="false" outlineLevel="0" collapsed="false">
      <c r="A343" s="38" t="n">
        <v>398</v>
      </c>
      <c r="B343" s="39" t="n">
        <v>0.33095</v>
      </c>
      <c r="C343" s="40" t="n">
        <v>0.0022</v>
      </c>
      <c r="D343" s="39" t="n">
        <v>0.02955</v>
      </c>
      <c r="E343" s="40" t="n">
        <v>4E-005</v>
      </c>
      <c r="F343" s="39" t="n">
        <v>0.5561</v>
      </c>
      <c r="G343" s="40" t="n">
        <v>0.00075</v>
      </c>
      <c r="H343" s="39" t="n">
        <v>0.33466</v>
      </c>
      <c r="I343" s="40" t="n">
        <v>5E-005</v>
      </c>
      <c r="J343" s="39" t="n">
        <v>0.46317</v>
      </c>
      <c r="K343" s="40" t="n">
        <v>0.00011</v>
      </c>
      <c r="L343" s="39" t="n">
        <v>0.66832</v>
      </c>
      <c r="M343" s="40" t="n">
        <v>0.00011</v>
      </c>
      <c r="N343" s="39" t="n">
        <v>0.43271</v>
      </c>
      <c r="O343" s="40" t="n">
        <v>0.00013</v>
      </c>
      <c r="P343" s="39" t="n">
        <v>0.63169</v>
      </c>
      <c r="Q343" s="40" t="n">
        <v>0.00014</v>
      </c>
      <c r="R343" s="39" t="n">
        <v>0.63701</v>
      </c>
      <c r="S343" s="40" t="n">
        <v>8E-005</v>
      </c>
      <c r="T343" s="39" t="n">
        <v>0.71015</v>
      </c>
      <c r="U343" s="40" t="n">
        <v>0.00028</v>
      </c>
      <c r="V343" s="39" t="n">
        <v>0.71821</v>
      </c>
      <c r="W343" s="40" t="n">
        <v>6E-005</v>
      </c>
      <c r="X343" s="39" t="n">
        <v>0.66097</v>
      </c>
      <c r="Y343" s="40" t="n">
        <v>0.00039</v>
      </c>
    </row>
    <row r="344" customFormat="false" ht="15" hidden="false" customHeight="false" outlineLevel="0" collapsed="false">
      <c r="A344" s="38" t="n">
        <v>399</v>
      </c>
      <c r="B344" s="39" t="n">
        <v>0.30513</v>
      </c>
      <c r="C344" s="40" t="n">
        <v>0.00218</v>
      </c>
      <c r="D344" s="39" t="n">
        <v>0.02888</v>
      </c>
      <c r="E344" s="40" t="n">
        <v>3E-005</v>
      </c>
      <c r="F344" s="39" t="n">
        <v>0.54743</v>
      </c>
      <c r="G344" s="40" t="n">
        <v>0.00076</v>
      </c>
      <c r="H344" s="39" t="n">
        <v>0.33391</v>
      </c>
      <c r="I344" s="40" t="n">
        <v>5E-005</v>
      </c>
      <c r="J344" s="39" t="n">
        <v>0.46146</v>
      </c>
      <c r="K344" s="40" t="n">
        <v>0.00011</v>
      </c>
      <c r="L344" s="39" t="n">
        <v>0.66694</v>
      </c>
      <c r="M344" s="40" t="n">
        <v>0.00012</v>
      </c>
      <c r="N344" s="39" t="n">
        <v>0.43128</v>
      </c>
      <c r="O344" s="40" t="n">
        <v>0.00013</v>
      </c>
      <c r="P344" s="39" t="n">
        <v>0.63024</v>
      </c>
      <c r="Q344" s="40" t="n">
        <v>0.00013</v>
      </c>
      <c r="R344" s="39" t="n">
        <v>0.6361</v>
      </c>
      <c r="S344" s="40" t="n">
        <v>8E-005</v>
      </c>
      <c r="T344" s="39" t="n">
        <v>0.7066</v>
      </c>
      <c r="U344" s="40" t="n">
        <v>0.00028</v>
      </c>
      <c r="V344" s="39" t="n">
        <v>0.71742</v>
      </c>
      <c r="W344" s="40" t="n">
        <v>6E-005</v>
      </c>
      <c r="X344" s="39" t="n">
        <v>0.65599</v>
      </c>
      <c r="Y344" s="40" t="n">
        <v>0.00039</v>
      </c>
    </row>
    <row r="345" customFormat="false" ht="15" hidden="false" customHeight="false" outlineLevel="0" collapsed="false">
      <c r="A345" s="38" t="n">
        <v>400</v>
      </c>
      <c r="B345" s="39" t="n">
        <v>0.27897</v>
      </c>
      <c r="C345" s="40" t="n">
        <v>0.00214</v>
      </c>
      <c r="D345" s="39" t="n">
        <v>0.02598</v>
      </c>
      <c r="E345" s="40" t="n">
        <v>3E-005</v>
      </c>
      <c r="F345" s="39" t="n">
        <v>0.53775</v>
      </c>
      <c r="G345" s="40" t="n">
        <v>0.00077</v>
      </c>
      <c r="H345" s="39" t="n">
        <v>0.33331</v>
      </c>
      <c r="I345" s="40" t="n">
        <v>5E-005</v>
      </c>
      <c r="J345" s="39" t="n">
        <v>0.46028</v>
      </c>
      <c r="K345" s="40" t="n">
        <v>0.00011</v>
      </c>
      <c r="L345" s="39" t="n">
        <v>0.66554</v>
      </c>
      <c r="M345" s="40" t="n">
        <v>0.00013</v>
      </c>
      <c r="N345" s="39" t="n">
        <v>0.4298</v>
      </c>
      <c r="O345" s="40" t="n">
        <v>0.00011</v>
      </c>
      <c r="P345" s="39" t="n">
        <v>0.62877</v>
      </c>
      <c r="Q345" s="40" t="n">
        <v>0.00013</v>
      </c>
      <c r="R345" s="39" t="n">
        <v>0.63517</v>
      </c>
      <c r="S345" s="40" t="n">
        <v>8E-005</v>
      </c>
      <c r="T345" s="39" t="n">
        <v>0.70321</v>
      </c>
      <c r="U345" s="40" t="n">
        <v>0.00029</v>
      </c>
      <c r="V345" s="39" t="n">
        <v>0.71669</v>
      </c>
      <c r="W345" s="40" t="n">
        <v>6E-005</v>
      </c>
      <c r="X345" s="39" t="n">
        <v>0.65124</v>
      </c>
      <c r="Y345" s="40" t="n">
        <v>0.0004</v>
      </c>
    </row>
    <row r="346" customFormat="false" ht="15" hidden="false" customHeight="false" outlineLevel="0" collapsed="false">
      <c r="A346" s="38" t="n">
        <v>401</v>
      </c>
      <c r="B346" s="39" t="n">
        <v>0.25367</v>
      </c>
      <c r="C346" s="40" t="n">
        <v>0.00207</v>
      </c>
      <c r="D346" s="39" t="n">
        <v>0.02763</v>
      </c>
      <c r="E346" s="40" t="n">
        <v>3E-005</v>
      </c>
      <c r="F346" s="39" t="n">
        <v>0.52845</v>
      </c>
      <c r="G346" s="40" t="n">
        <v>0.00079</v>
      </c>
      <c r="H346" s="39" t="n">
        <v>0.33285</v>
      </c>
      <c r="I346" s="40" t="n">
        <v>5E-005</v>
      </c>
      <c r="J346" s="39" t="n">
        <v>0.45912</v>
      </c>
      <c r="K346" s="40" t="n">
        <v>0.00011</v>
      </c>
      <c r="L346" s="39" t="n">
        <v>0.66412</v>
      </c>
      <c r="M346" s="40" t="n">
        <v>0.00013</v>
      </c>
      <c r="N346" s="39" t="n">
        <v>0.4284</v>
      </c>
      <c r="O346" s="40" t="n">
        <v>0.00011</v>
      </c>
      <c r="P346" s="39" t="n">
        <v>0.62708</v>
      </c>
      <c r="Q346" s="40" t="n">
        <v>0.00013</v>
      </c>
      <c r="R346" s="39" t="n">
        <v>0.63435</v>
      </c>
      <c r="S346" s="40" t="n">
        <v>8E-005</v>
      </c>
      <c r="T346" s="39" t="n">
        <v>0.69992</v>
      </c>
      <c r="U346" s="40" t="n">
        <v>0.00029</v>
      </c>
      <c r="V346" s="39" t="n">
        <v>0.71619</v>
      </c>
      <c r="W346" s="40" t="n">
        <v>6E-005</v>
      </c>
      <c r="X346" s="39" t="n">
        <v>0.64658</v>
      </c>
      <c r="Y346" s="40" t="n">
        <v>0.00041</v>
      </c>
    </row>
    <row r="347" customFormat="false" ht="15" hidden="false" customHeight="false" outlineLevel="0" collapsed="false">
      <c r="A347" s="38" t="n">
        <v>402</v>
      </c>
      <c r="B347" s="39" t="n">
        <v>0.2288</v>
      </c>
      <c r="C347" s="40" t="n">
        <v>0.002</v>
      </c>
      <c r="D347" s="39" t="n">
        <v>0.02924</v>
      </c>
      <c r="E347" s="40" t="n">
        <v>0</v>
      </c>
      <c r="F347" s="39" t="n">
        <v>0.51925</v>
      </c>
      <c r="G347" s="40" t="n">
        <v>0.00081</v>
      </c>
      <c r="H347" s="39" t="n">
        <v>0.33219</v>
      </c>
      <c r="I347" s="40" t="n">
        <v>5E-005</v>
      </c>
      <c r="J347" s="39" t="n">
        <v>0.45755</v>
      </c>
      <c r="K347" s="40" t="n">
        <v>0.00011</v>
      </c>
      <c r="L347" s="39" t="n">
        <v>0.66239</v>
      </c>
      <c r="M347" s="40" t="n">
        <v>0.00012</v>
      </c>
      <c r="N347" s="39" t="n">
        <v>0.42704</v>
      </c>
      <c r="O347" s="40" t="n">
        <v>0.00012</v>
      </c>
      <c r="P347" s="39" t="n">
        <v>0.62552</v>
      </c>
      <c r="Q347" s="40" t="n">
        <v>0.00013</v>
      </c>
      <c r="R347" s="39" t="n">
        <v>0.63341</v>
      </c>
      <c r="S347" s="40" t="n">
        <v>8E-005</v>
      </c>
      <c r="T347" s="39" t="n">
        <v>0.69627</v>
      </c>
      <c r="U347" s="40" t="n">
        <v>0.00029</v>
      </c>
      <c r="V347" s="39" t="n">
        <v>0.71537</v>
      </c>
      <c r="W347" s="40" t="n">
        <v>6E-005</v>
      </c>
      <c r="X347" s="39" t="n">
        <v>0.64167</v>
      </c>
      <c r="Y347" s="40" t="n">
        <v>0.00041</v>
      </c>
    </row>
    <row r="348" customFormat="false" ht="15" hidden="false" customHeight="false" outlineLevel="0" collapsed="false">
      <c r="A348" s="38" t="n">
        <v>403</v>
      </c>
      <c r="B348" s="39" t="n">
        <v>0.20553</v>
      </c>
      <c r="C348" s="40" t="n">
        <v>0.0019</v>
      </c>
      <c r="D348" s="39" t="n">
        <v>0.02766</v>
      </c>
      <c r="E348" s="40" t="n">
        <v>-1E-005</v>
      </c>
      <c r="F348" s="39" t="n">
        <v>0.50927</v>
      </c>
      <c r="G348" s="40" t="n">
        <v>0.00083</v>
      </c>
      <c r="H348" s="39" t="n">
        <v>0.3316</v>
      </c>
      <c r="I348" s="40" t="n">
        <v>4E-005</v>
      </c>
      <c r="J348" s="39" t="n">
        <v>0.45626</v>
      </c>
      <c r="K348" s="40" t="n">
        <v>0.00011</v>
      </c>
      <c r="L348" s="39" t="n">
        <v>0.66076</v>
      </c>
      <c r="M348" s="40" t="n">
        <v>0.00012</v>
      </c>
      <c r="N348" s="39" t="n">
        <v>0.42575</v>
      </c>
      <c r="O348" s="40" t="n">
        <v>0.00011</v>
      </c>
      <c r="P348" s="39" t="n">
        <v>0.62409</v>
      </c>
      <c r="Q348" s="40" t="n">
        <v>0.00013</v>
      </c>
      <c r="R348" s="39" t="n">
        <v>0.63225</v>
      </c>
      <c r="S348" s="40" t="n">
        <v>8E-005</v>
      </c>
      <c r="T348" s="39" t="n">
        <v>0.69269</v>
      </c>
      <c r="U348" s="40" t="n">
        <v>0.00029</v>
      </c>
      <c r="V348" s="39" t="n">
        <v>0.71459</v>
      </c>
      <c r="W348" s="40" t="n">
        <v>6E-005</v>
      </c>
      <c r="X348" s="39" t="n">
        <v>0.63669</v>
      </c>
      <c r="Y348" s="40" t="n">
        <v>0.00041</v>
      </c>
    </row>
    <row r="349" customFormat="false" ht="15" hidden="false" customHeight="false" outlineLevel="0" collapsed="false">
      <c r="A349" s="38" t="n">
        <v>404</v>
      </c>
      <c r="B349" s="39" t="n">
        <v>0.18363</v>
      </c>
      <c r="C349" s="40" t="n">
        <v>0.00178</v>
      </c>
      <c r="D349" s="39" t="n">
        <v>0.02726</v>
      </c>
      <c r="E349" s="40" t="n">
        <v>0</v>
      </c>
      <c r="F349" s="39" t="n">
        <v>0.49939</v>
      </c>
      <c r="G349" s="40" t="n">
        <v>0.00083</v>
      </c>
      <c r="H349" s="39" t="n">
        <v>0.33112</v>
      </c>
      <c r="I349" s="40" t="n">
        <v>4E-005</v>
      </c>
      <c r="J349" s="39" t="n">
        <v>0.45524</v>
      </c>
      <c r="K349" s="40" t="n">
        <v>0.00011</v>
      </c>
      <c r="L349" s="39" t="n">
        <v>0.65937</v>
      </c>
      <c r="M349" s="40" t="n">
        <v>0.00012</v>
      </c>
      <c r="N349" s="39" t="n">
        <v>0.42456</v>
      </c>
      <c r="O349" s="40" t="n">
        <v>0.00011</v>
      </c>
      <c r="P349" s="39" t="n">
        <v>0.62261</v>
      </c>
      <c r="Q349" s="40" t="n">
        <v>0.00014</v>
      </c>
      <c r="R349" s="39" t="n">
        <v>0.63116</v>
      </c>
      <c r="S349" s="40" t="n">
        <v>8E-005</v>
      </c>
      <c r="T349" s="39" t="n">
        <v>0.68902</v>
      </c>
      <c r="U349" s="40" t="n">
        <v>0.00029</v>
      </c>
      <c r="V349" s="39" t="n">
        <v>0.7138</v>
      </c>
      <c r="W349" s="40" t="n">
        <v>6E-005</v>
      </c>
      <c r="X349" s="39" t="n">
        <v>0.63169</v>
      </c>
      <c r="Y349" s="40" t="n">
        <v>0.00041</v>
      </c>
    </row>
    <row r="350" customFormat="false" ht="15" hidden="false" customHeight="false" outlineLevel="0" collapsed="false">
      <c r="A350" s="38" t="n">
        <v>405</v>
      </c>
      <c r="B350" s="39" t="n">
        <v>0.16342</v>
      </c>
      <c r="C350" s="40" t="n">
        <v>0.00164</v>
      </c>
      <c r="D350" s="39" t="n">
        <v>0.02666</v>
      </c>
      <c r="E350" s="40" t="n">
        <v>5E-005</v>
      </c>
      <c r="F350" s="39" t="n">
        <v>0.48913</v>
      </c>
      <c r="G350" s="40" t="n">
        <v>0.00084</v>
      </c>
      <c r="H350" s="39" t="n">
        <v>0.3304</v>
      </c>
      <c r="I350" s="40" t="n">
        <v>4E-005</v>
      </c>
      <c r="J350" s="39" t="n">
        <v>0.4536</v>
      </c>
      <c r="K350" s="40" t="n">
        <v>0.00011</v>
      </c>
      <c r="L350" s="39" t="n">
        <v>0.65808</v>
      </c>
      <c r="M350" s="40" t="n">
        <v>0.00012</v>
      </c>
      <c r="N350" s="39" t="n">
        <v>0.42293</v>
      </c>
      <c r="O350" s="40" t="n">
        <v>0.00011</v>
      </c>
      <c r="P350" s="39" t="n">
        <v>0.62082</v>
      </c>
      <c r="Q350" s="40" t="n">
        <v>0.00014</v>
      </c>
      <c r="R350" s="39" t="n">
        <v>0.63017</v>
      </c>
      <c r="S350" s="40" t="n">
        <v>8E-005</v>
      </c>
      <c r="T350" s="39" t="n">
        <v>0.68583</v>
      </c>
      <c r="U350" s="40" t="n">
        <v>0.00029</v>
      </c>
      <c r="V350" s="39" t="n">
        <v>0.7131</v>
      </c>
      <c r="W350" s="40" t="n">
        <v>7E-005</v>
      </c>
      <c r="X350" s="39" t="n">
        <v>0.62673</v>
      </c>
      <c r="Y350" s="40" t="n">
        <v>0.00042</v>
      </c>
    </row>
    <row r="351" customFormat="false" ht="15" hidden="false" customHeight="false" outlineLevel="0" collapsed="false">
      <c r="A351" s="38" t="n">
        <v>406</v>
      </c>
      <c r="B351" s="39" t="n">
        <v>0.14392</v>
      </c>
      <c r="C351" s="40" t="n">
        <v>0.00149</v>
      </c>
      <c r="D351" s="39" t="n">
        <v>0.02813</v>
      </c>
      <c r="E351" s="40" t="n">
        <v>4E-005</v>
      </c>
      <c r="F351" s="39" t="n">
        <v>0.47875</v>
      </c>
      <c r="G351" s="40" t="n">
        <v>0.00085</v>
      </c>
      <c r="H351" s="39" t="n">
        <v>0.33</v>
      </c>
      <c r="I351" s="40" t="n">
        <v>4E-005</v>
      </c>
      <c r="J351" s="39" t="n">
        <v>0.4523</v>
      </c>
      <c r="K351" s="40" t="n">
        <v>0.00011</v>
      </c>
      <c r="L351" s="39" t="n">
        <v>0.65672</v>
      </c>
      <c r="M351" s="40" t="n">
        <v>0.00012</v>
      </c>
      <c r="N351" s="39" t="n">
        <v>0.4215</v>
      </c>
      <c r="O351" s="40" t="n">
        <v>0.00011</v>
      </c>
      <c r="P351" s="39" t="n">
        <v>0.61893</v>
      </c>
      <c r="Q351" s="40" t="n">
        <v>0.00014</v>
      </c>
      <c r="R351" s="39" t="n">
        <v>0.62926</v>
      </c>
      <c r="S351" s="40" t="n">
        <v>8E-005</v>
      </c>
      <c r="T351" s="39" t="n">
        <v>0.6824</v>
      </c>
      <c r="U351" s="40" t="n">
        <v>0.00029</v>
      </c>
      <c r="V351" s="39" t="n">
        <v>0.71238</v>
      </c>
      <c r="W351" s="40" t="n">
        <v>7E-005</v>
      </c>
      <c r="X351" s="39" t="n">
        <v>0.62171</v>
      </c>
      <c r="Y351" s="40" t="n">
        <v>0.00041</v>
      </c>
    </row>
    <row r="352" customFormat="false" ht="15" hidden="false" customHeight="false" outlineLevel="0" collapsed="false">
      <c r="A352" s="38" t="n">
        <v>407</v>
      </c>
      <c r="B352" s="39" t="n">
        <v>0.127</v>
      </c>
      <c r="C352" s="40" t="n">
        <v>0.00134</v>
      </c>
      <c r="D352" s="39" t="n">
        <v>0.0265</v>
      </c>
      <c r="E352" s="40" t="n">
        <v>3E-005</v>
      </c>
      <c r="F352" s="39" t="n">
        <v>0.46886</v>
      </c>
      <c r="G352" s="40" t="n">
        <v>0.00085</v>
      </c>
      <c r="H352" s="39" t="n">
        <v>0.32978</v>
      </c>
      <c r="I352" s="40" t="n">
        <v>4E-005</v>
      </c>
      <c r="J352" s="39" t="n">
        <v>0.45111</v>
      </c>
      <c r="K352" s="40" t="n">
        <v>0.00011</v>
      </c>
      <c r="L352" s="39" t="n">
        <v>0.65513</v>
      </c>
      <c r="M352" s="40" t="n">
        <v>0.00012</v>
      </c>
      <c r="N352" s="39" t="n">
        <v>0.42043</v>
      </c>
      <c r="O352" s="40" t="n">
        <v>0.00011</v>
      </c>
      <c r="P352" s="39" t="n">
        <v>0.61733</v>
      </c>
      <c r="Q352" s="40" t="n">
        <v>0.00014</v>
      </c>
      <c r="R352" s="39" t="n">
        <v>0.62857</v>
      </c>
      <c r="S352" s="40" t="n">
        <v>8E-005</v>
      </c>
      <c r="T352" s="39" t="n">
        <v>0.67905</v>
      </c>
      <c r="U352" s="40" t="n">
        <v>0.00029</v>
      </c>
      <c r="V352" s="39" t="n">
        <v>0.71152</v>
      </c>
      <c r="W352" s="40" t="n">
        <v>7E-005</v>
      </c>
      <c r="X352" s="39" t="n">
        <v>0.61676</v>
      </c>
      <c r="Y352" s="40" t="n">
        <v>0.00041</v>
      </c>
    </row>
    <row r="353" customFormat="false" ht="15" hidden="false" customHeight="false" outlineLevel="0" collapsed="false">
      <c r="A353" s="38" t="n">
        <v>408</v>
      </c>
      <c r="B353" s="39" t="n">
        <v>0.11185</v>
      </c>
      <c r="C353" s="40" t="n">
        <v>0.00119</v>
      </c>
      <c r="D353" s="39" t="n">
        <v>0.02517</v>
      </c>
      <c r="E353" s="40" t="n">
        <v>3E-005</v>
      </c>
      <c r="F353" s="39" t="n">
        <v>0.45912</v>
      </c>
      <c r="G353" s="40" t="n">
        <v>0.00085</v>
      </c>
      <c r="H353" s="39" t="n">
        <v>0.32911</v>
      </c>
      <c r="I353" s="40" t="n">
        <v>4E-005</v>
      </c>
      <c r="J353" s="39" t="n">
        <v>0.44977</v>
      </c>
      <c r="K353" s="40" t="n">
        <v>0.00011</v>
      </c>
      <c r="L353" s="39" t="n">
        <v>0.65361</v>
      </c>
      <c r="M353" s="40" t="n">
        <v>0.00012</v>
      </c>
      <c r="N353" s="39" t="n">
        <v>0.41922</v>
      </c>
      <c r="O353" s="40" t="n">
        <v>0.00011</v>
      </c>
      <c r="P353" s="39" t="n">
        <v>0.61572</v>
      </c>
      <c r="Q353" s="40" t="n">
        <v>0.00014</v>
      </c>
      <c r="R353" s="39" t="n">
        <v>0.62762</v>
      </c>
      <c r="S353" s="40" t="n">
        <v>8E-005</v>
      </c>
      <c r="T353" s="39" t="n">
        <v>0.67546</v>
      </c>
      <c r="U353" s="40" t="n">
        <v>0.00029</v>
      </c>
      <c r="V353" s="39" t="n">
        <v>0.7107</v>
      </c>
      <c r="W353" s="40" t="n">
        <v>7E-005</v>
      </c>
      <c r="X353" s="39" t="n">
        <v>0.61182</v>
      </c>
      <c r="Y353" s="40" t="n">
        <v>0.00042</v>
      </c>
    </row>
    <row r="354" customFormat="false" ht="15" hidden="false" customHeight="false" outlineLevel="0" collapsed="false">
      <c r="A354" s="38" t="n">
        <v>409</v>
      </c>
      <c r="B354" s="39" t="n">
        <v>0.09895</v>
      </c>
      <c r="C354" s="40" t="n">
        <v>0.00103</v>
      </c>
      <c r="D354" s="39" t="n">
        <v>0.02448</v>
      </c>
      <c r="E354" s="40" t="n">
        <v>7E-005</v>
      </c>
      <c r="F354" s="39" t="n">
        <v>0.44881</v>
      </c>
      <c r="G354" s="40" t="n">
        <v>0.00085</v>
      </c>
      <c r="H354" s="39" t="n">
        <v>0.32844</v>
      </c>
      <c r="I354" s="40" t="n">
        <v>4E-005</v>
      </c>
      <c r="J354" s="39" t="n">
        <v>0.44837</v>
      </c>
      <c r="K354" s="40" t="n">
        <v>0.00011</v>
      </c>
      <c r="L354" s="39" t="n">
        <v>0.65236</v>
      </c>
      <c r="M354" s="40" t="n">
        <v>0.00013</v>
      </c>
      <c r="N354" s="39" t="n">
        <v>0.41784</v>
      </c>
      <c r="O354" s="40" t="n">
        <v>0.00011</v>
      </c>
      <c r="P354" s="39" t="n">
        <v>0.61403</v>
      </c>
      <c r="Q354" s="40" t="n">
        <v>0.00014</v>
      </c>
      <c r="R354" s="39" t="n">
        <v>0.62649</v>
      </c>
      <c r="S354" s="40" t="n">
        <v>8E-005</v>
      </c>
      <c r="T354" s="39" t="n">
        <v>0.67191</v>
      </c>
      <c r="U354" s="40" t="n">
        <v>0.00029</v>
      </c>
      <c r="V354" s="39" t="n">
        <v>0.70984</v>
      </c>
      <c r="W354" s="40" t="n">
        <v>7E-005</v>
      </c>
      <c r="X354" s="39" t="n">
        <v>0.60684</v>
      </c>
      <c r="Y354" s="40" t="n">
        <v>0.00043</v>
      </c>
    </row>
    <row r="355" customFormat="false" ht="15" hidden="false" customHeight="false" outlineLevel="0" collapsed="false">
      <c r="A355" s="38" t="n">
        <v>410</v>
      </c>
      <c r="B355" s="39" t="n">
        <v>0.08729</v>
      </c>
      <c r="C355" s="40" t="n">
        <v>0.00088</v>
      </c>
      <c r="D355" s="39" t="n">
        <v>0.02626</v>
      </c>
      <c r="E355" s="40" t="n">
        <v>8E-005</v>
      </c>
      <c r="F355" s="39" t="n">
        <v>0.43812</v>
      </c>
      <c r="G355" s="40" t="n">
        <v>0.00085</v>
      </c>
      <c r="H355" s="39" t="n">
        <v>0.3279</v>
      </c>
      <c r="I355" s="40" t="n">
        <v>4E-005</v>
      </c>
      <c r="J355" s="39" t="n">
        <v>0.44707</v>
      </c>
      <c r="K355" s="40" t="n">
        <v>0.00011</v>
      </c>
      <c r="L355" s="39" t="n">
        <v>0.65053</v>
      </c>
      <c r="M355" s="40" t="n">
        <v>0.00013</v>
      </c>
      <c r="N355" s="39" t="n">
        <v>0.41648</v>
      </c>
      <c r="O355" s="40" t="n">
        <v>0.0001</v>
      </c>
      <c r="P355" s="39" t="n">
        <v>0.61251</v>
      </c>
      <c r="Q355" s="40" t="n">
        <v>0.00014</v>
      </c>
      <c r="R355" s="39" t="n">
        <v>0.62551</v>
      </c>
      <c r="S355" s="40" t="n">
        <v>8E-005</v>
      </c>
      <c r="T355" s="39" t="n">
        <v>0.66839</v>
      </c>
      <c r="U355" s="40" t="n">
        <v>0.0003</v>
      </c>
      <c r="V355" s="39" t="n">
        <v>0.70902</v>
      </c>
      <c r="W355" s="40" t="n">
        <v>7E-005</v>
      </c>
      <c r="X355" s="39" t="n">
        <v>0.60173</v>
      </c>
      <c r="Y355" s="40" t="n">
        <v>0.00043</v>
      </c>
    </row>
    <row r="356" customFormat="false" ht="15" hidden="false" customHeight="false" outlineLevel="0" collapsed="false">
      <c r="A356" s="38" t="n">
        <v>411</v>
      </c>
      <c r="B356" s="39" t="n">
        <v>0.07758</v>
      </c>
      <c r="C356" s="40" t="n">
        <v>0.00075</v>
      </c>
      <c r="D356" s="39" t="n">
        <v>0.02423</v>
      </c>
      <c r="E356" s="40" t="n">
        <v>6E-005</v>
      </c>
      <c r="F356" s="39" t="n">
        <v>0.42752</v>
      </c>
      <c r="G356" s="40" t="n">
        <v>0.00087</v>
      </c>
      <c r="H356" s="39" t="n">
        <v>0.32756</v>
      </c>
      <c r="I356" s="40" t="n">
        <v>5E-005</v>
      </c>
      <c r="J356" s="39" t="n">
        <v>0.44603</v>
      </c>
      <c r="K356" s="40" t="n">
        <v>0.00011</v>
      </c>
      <c r="L356" s="39" t="n">
        <v>0.64889</v>
      </c>
      <c r="M356" s="40" t="n">
        <v>0.00013</v>
      </c>
      <c r="N356" s="39" t="n">
        <v>0.41518</v>
      </c>
      <c r="O356" s="40" t="n">
        <v>0.00011</v>
      </c>
      <c r="P356" s="39" t="n">
        <v>0.61087</v>
      </c>
      <c r="Q356" s="40" t="n">
        <v>0.00014</v>
      </c>
      <c r="R356" s="39" t="n">
        <v>0.62454</v>
      </c>
      <c r="S356" s="40" t="n">
        <v>9E-005</v>
      </c>
      <c r="T356" s="39" t="n">
        <v>0.6648</v>
      </c>
      <c r="U356" s="40" t="n">
        <v>0.0003</v>
      </c>
      <c r="V356" s="39" t="n">
        <v>0.70827</v>
      </c>
      <c r="W356" s="40" t="n">
        <v>7E-005</v>
      </c>
      <c r="X356" s="39" t="n">
        <v>0.59646</v>
      </c>
      <c r="Y356" s="40" t="n">
        <v>0.00044</v>
      </c>
    </row>
    <row r="357" customFormat="false" ht="15" hidden="false" customHeight="false" outlineLevel="0" collapsed="false">
      <c r="A357" s="38" t="n">
        <v>412</v>
      </c>
      <c r="B357" s="39" t="n">
        <v>0.06933</v>
      </c>
      <c r="C357" s="40" t="n">
        <v>0.00063</v>
      </c>
      <c r="D357" s="39" t="n">
        <v>0.02301</v>
      </c>
      <c r="E357" s="40" t="n">
        <v>7E-005</v>
      </c>
      <c r="F357" s="39" t="n">
        <v>0.41743</v>
      </c>
      <c r="G357" s="40" t="n">
        <v>0.00088</v>
      </c>
      <c r="H357" s="39" t="n">
        <v>0.32699</v>
      </c>
      <c r="I357" s="40" t="n">
        <v>5E-005</v>
      </c>
      <c r="J357" s="39" t="n">
        <v>0.44452</v>
      </c>
      <c r="K357" s="40" t="n">
        <v>0.0001</v>
      </c>
      <c r="L357" s="39" t="n">
        <v>0.64758</v>
      </c>
      <c r="M357" s="40" t="n">
        <v>0.00013</v>
      </c>
      <c r="N357" s="39" t="n">
        <v>0.41383</v>
      </c>
      <c r="O357" s="40" t="n">
        <v>0.00011</v>
      </c>
      <c r="P357" s="39" t="n">
        <v>0.60905</v>
      </c>
      <c r="Q357" s="40" t="n">
        <v>0.00014</v>
      </c>
      <c r="R357" s="39" t="n">
        <v>0.62354</v>
      </c>
      <c r="S357" s="40" t="n">
        <v>9E-005</v>
      </c>
      <c r="T357" s="39" t="n">
        <v>0.66136</v>
      </c>
      <c r="U357" s="40" t="n">
        <v>0.0003</v>
      </c>
      <c r="V357" s="39" t="n">
        <v>0.70742</v>
      </c>
      <c r="W357" s="40" t="n">
        <v>7E-005</v>
      </c>
      <c r="X357" s="39" t="n">
        <v>0.59079</v>
      </c>
      <c r="Y357" s="40" t="n">
        <v>0.00044</v>
      </c>
    </row>
    <row r="358" customFormat="false" ht="15" hidden="false" customHeight="false" outlineLevel="0" collapsed="false">
      <c r="A358" s="38" t="n">
        <v>413</v>
      </c>
      <c r="B358" s="39" t="n">
        <v>0.06244</v>
      </c>
      <c r="C358" s="40" t="n">
        <v>0.00052</v>
      </c>
      <c r="D358" s="39" t="n">
        <v>0.02097</v>
      </c>
      <c r="E358" s="40" t="n">
        <v>9E-005</v>
      </c>
      <c r="F358" s="39" t="n">
        <v>0.40724</v>
      </c>
      <c r="G358" s="40" t="n">
        <v>0.00089</v>
      </c>
      <c r="H358" s="39" t="n">
        <v>0.32641</v>
      </c>
      <c r="I358" s="40" t="n">
        <v>5E-005</v>
      </c>
      <c r="J358" s="39" t="n">
        <v>0.44332</v>
      </c>
      <c r="K358" s="40" t="n">
        <v>0.0001</v>
      </c>
      <c r="L358" s="39" t="n">
        <v>0.64592</v>
      </c>
      <c r="M358" s="40" t="n">
        <v>0.00013</v>
      </c>
      <c r="N358" s="39" t="n">
        <v>0.41278</v>
      </c>
      <c r="O358" s="40" t="n">
        <v>0.00011</v>
      </c>
      <c r="P358" s="39" t="n">
        <v>0.60755</v>
      </c>
      <c r="Q358" s="40" t="n">
        <v>0.00013</v>
      </c>
      <c r="R358" s="39" t="n">
        <v>0.62242</v>
      </c>
      <c r="S358" s="40" t="n">
        <v>8E-005</v>
      </c>
      <c r="T358" s="39" t="n">
        <v>0.65795</v>
      </c>
      <c r="U358" s="40" t="n">
        <v>0.00029</v>
      </c>
      <c r="V358" s="39" t="n">
        <v>0.70662</v>
      </c>
      <c r="W358" s="40" t="n">
        <v>7E-005</v>
      </c>
      <c r="X358" s="39" t="n">
        <v>0.5856</v>
      </c>
      <c r="Y358" s="40" t="n">
        <v>0.00045</v>
      </c>
    </row>
    <row r="359" customFormat="false" ht="15" hidden="false" customHeight="false" outlineLevel="0" collapsed="false">
      <c r="A359" s="38" t="n">
        <v>414</v>
      </c>
      <c r="B359" s="39" t="n">
        <v>0.05657</v>
      </c>
      <c r="C359" s="40" t="n">
        <v>0.00043</v>
      </c>
      <c r="D359" s="39" t="n">
        <v>0.02095</v>
      </c>
      <c r="E359" s="40" t="n">
        <v>9E-005</v>
      </c>
      <c r="F359" s="39" t="n">
        <v>0.39619</v>
      </c>
      <c r="G359" s="40" t="n">
        <v>0.0009</v>
      </c>
      <c r="H359" s="39" t="n">
        <v>0.32585</v>
      </c>
      <c r="I359" s="40" t="n">
        <v>5E-005</v>
      </c>
      <c r="J359" s="39" t="n">
        <v>0.44224</v>
      </c>
      <c r="K359" s="40" t="n">
        <v>0.0001</v>
      </c>
      <c r="L359" s="39" t="n">
        <v>0.64436</v>
      </c>
      <c r="M359" s="40" t="n">
        <v>0.00012</v>
      </c>
      <c r="N359" s="39" t="n">
        <v>0.41152</v>
      </c>
      <c r="O359" s="40" t="n">
        <v>0.0001</v>
      </c>
      <c r="P359" s="39" t="n">
        <v>0.60587</v>
      </c>
      <c r="Q359" s="40" t="n">
        <v>0.00013</v>
      </c>
      <c r="R359" s="39" t="n">
        <v>0.62135</v>
      </c>
      <c r="S359" s="40" t="n">
        <v>8E-005</v>
      </c>
      <c r="T359" s="39" t="n">
        <v>0.65398</v>
      </c>
      <c r="U359" s="40" t="n">
        <v>0.00029</v>
      </c>
      <c r="V359" s="39" t="n">
        <v>0.70571</v>
      </c>
      <c r="W359" s="40" t="n">
        <v>7E-005</v>
      </c>
      <c r="X359" s="39" t="n">
        <v>0.58034</v>
      </c>
      <c r="Y359" s="40" t="n">
        <v>0.00045</v>
      </c>
    </row>
    <row r="360" customFormat="false" ht="15" hidden="false" customHeight="false" outlineLevel="0" collapsed="false">
      <c r="A360" s="38" t="n">
        <v>415</v>
      </c>
      <c r="B360" s="39" t="n">
        <v>0.05202</v>
      </c>
      <c r="C360" s="40" t="n">
        <v>0.00035</v>
      </c>
      <c r="D360" s="39" t="n">
        <v>0.02165</v>
      </c>
      <c r="E360" s="40" t="n">
        <v>4E-005</v>
      </c>
      <c r="F360" s="39" t="n">
        <v>0.38508</v>
      </c>
      <c r="G360" s="40" t="n">
        <v>0.00091</v>
      </c>
      <c r="H360" s="39" t="n">
        <v>0.32526</v>
      </c>
      <c r="I360" s="40" t="n">
        <v>4E-005</v>
      </c>
      <c r="J360" s="39" t="n">
        <v>0.44098</v>
      </c>
      <c r="K360" s="40" t="n">
        <v>0.0001</v>
      </c>
      <c r="L360" s="39" t="n">
        <v>0.64294</v>
      </c>
      <c r="M360" s="40" t="n">
        <v>0.00012</v>
      </c>
      <c r="N360" s="39" t="n">
        <v>0.41022</v>
      </c>
      <c r="O360" s="40" t="n">
        <v>0.0001</v>
      </c>
      <c r="P360" s="39" t="n">
        <v>0.60445</v>
      </c>
      <c r="Q360" s="40" t="n">
        <v>0.00013</v>
      </c>
      <c r="R360" s="39" t="n">
        <v>0.62035</v>
      </c>
      <c r="S360" s="40" t="n">
        <v>8E-005</v>
      </c>
      <c r="T360" s="39" t="n">
        <v>0.65068</v>
      </c>
      <c r="U360" s="40" t="n">
        <v>0.00029</v>
      </c>
      <c r="V360" s="39" t="n">
        <v>0.70476</v>
      </c>
      <c r="W360" s="40" t="n">
        <v>7E-005</v>
      </c>
      <c r="X360" s="39" t="n">
        <v>0.57499</v>
      </c>
      <c r="Y360" s="40" t="n">
        <v>0.00045</v>
      </c>
    </row>
    <row r="361" customFormat="false" ht="15" hidden="false" customHeight="false" outlineLevel="0" collapsed="false">
      <c r="A361" s="38" t="n">
        <v>416</v>
      </c>
      <c r="B361" s="39" t="n">
        <v>0.04843</v>
      </c>
      <c r="C361" s="40" t="n">
        <v>0.00028</v>
      </c>
      <c r="D361" s="39" t="n">
        <v>0.01868</v>
      </c>
      <c r="E361" s="40" t="n">
        <v>1E-005</v>
      </c>
      <c r="F361" s="39" t="n">
        <v>0.37414</v>
      </c>
      <c r="G361" s="40" t="n">
        <v>0.00092</v>
      </c>
      <c r="H361" s="39" t="n">
        <v>0.32477</v>
      </c>
      <c r="I361" s="40" t="n">
        <v>3E-005</v>
      </c>
      <c r="J361" s="39" t="n">
        <v>0.43992</v>
      </c>
      <c r="K361" s="40" t="n">
        <v>0.0001</v>
      </c>
      <c r="L361" s="39" t="n">
        <v>0.64135</v>
      </c>
      <c r="M361" s="40" t="n">
        <v>0.00013</v>
      </c>
      <c r="N361" s="39" t="n">
        <v>0.40867</v>
      </c>
      <c r="O361" s="40" t="n">
        <v>9E-005</v>
      </c>
      <c r="P361" s="39" t="n">
        <v>0.60287</v>
      </c>
      <c r="Q361" s="40" t="n">
        <v>0.00013</v>
      </c>
      <c r="R361" s="39" t="n">
        <v>0.6194</v>
      </c>
      <c r="S361" s="40" t="n">
        <v>8E-005</v>
      </c>
      <c r="T361" s="39" t="n">
        <v>0.64729</v>
      </c>
      <c r="U361" s="40" t="n">
        <v>0.00029</v>
      </c>
      <c r="V361" s="39" t="n">
        <v>0.70411</v>
      </c>
      <c r="W361" s="40" t="n">
        <v>7E-005</v>
      </c>
      <c r="X361" s="39" t="n">
        <v>0.56979</v>
      </c>
      <c r="Y361" s="40" t="n">
        <v>0.00045</v>
      </c>
    </row>
    <row r="362" customFormat="false" ht="15" hidden="false" customHeight="false" outlineLevel="0" collapsed="false">
      <c r="A362" s="38" t="n">
        <v>417</v>
      </c>
      <c r="B362" s="39" t="n">
        <v>0.04548</v>
      </c>
      <c r="C362" s="40" t="n">
        <v>0.00023</v>
      </c>
      <c r="D362" s="39" t="n">
        <v>0.01935</v>
      </c>
      <c r="E362" s="40" t="n">
        <v>0</v>
      </c>
      <c r="F362" s="39" t="n">
        <v>0.36317</v>
      </c>
      <c r="G362" s="40" t="n">
        <v>0.00092</v>
      </c>
      <c r="H362" s="39" t="n">
        <v>0.32427</v>
      </c>
      <c r="I362" s="40" t="n">
        <v>3E-005</v>
      </c>
      <c r="J362" s="39" t="n">
        <v>0.43883</v>
      </c>
      <c r="K362" s="40" t="n">
        <v>0.0001</v>
      </c>
      <c r="L362" s="39" t="n">
        <v>0.63994</v>
      </c>
      <c r="M362" s="40" t="n">
        <v>0.00013</v>
      </c>
      <c r="N362" s="39" t="n">
        <v>0.40764</v>
      </c>
      <c r="O362" s="40" t="n">
        <v>0.0001</v>
      </c>
      <c r="P362" s="39" t="n">
        <v>0.60128</v>
      </c>
      <c r="Q362" s="40" t="n">
        <v>0.00014</v>
      </c>
      <c r="R362" s="39" t="n">
        <v>0.61863</v>
      </c>
      <c r="S362" s="40" t="n">
        <v>7E-005</v>
      </c>
      <c r="T362" s="39" t="n">
        <v>0.64398</v>
      </c>
      <c r="U362" s="40" t="n">
        <v>0.00029</v>
      </c>
      <c r="V362" s="39" t="n">
        <v>0.70325</v>
      </c>
      <c r="W362" s="40" t="n">
        <v>8E-005</v>
      </c>
      <c r="X362" s="39" t="n">
        <v>0.56397</v>
      </c>
      <c r="Y362" s="40" t="n">
        <v>0.00046</v>
      </c>
    </row>
    <row r="363" customFormat="false" ht="15" hidden="false" customHeight="false" outlineLevel="0" collapsed="false">
      <c r="A363" s="38" t="n">
        <v>418</v>
      </c>
      <c r="B363" s="39" t="n">
        <v>0.04267</v>
      </c>
      <c r="C363" s="40" t="n">
        <v>0.00018</v>
      </c>
      <c r="D363" s="39" t="n">
        <v>0.02012</v>
      </c>
      <c r="E363" s="40" t="n">
        <v>-2E-005</v>
      </c>
      <c r="F363" s="39" t="n">
        <v>0.35212</v>
      </c>
      <c r="G363" s="40" t="n">
        <v>0.00092</v>
      </c>
      <c r="H363" s="39" t="n">
        <v>0.32407</v>
      </c>
      <c r="I363" s="40" t="n">
        <v>4E-005</v>
      </c>
      <c r="J363" s="39" t="n">
        <v>0.43729</v>
      </c>
      <c r="K363" s="40" t="n">
        <v>0.00011</v>
      </c>
      <c r="L363" s="39" t="n">
        <v>0.63844</v>
      </c>
      <c r="M363" s="40" t="n">
        <v>0.00013</v>
      </c>
      <c r="N363" s="39" t="n">
        <v>0.40713</v>
      </c>
      <c r="O363" s="40" t="n">
        <v>0.0001</v>
      </c>
      <c r="P363" s="39" t="n">
        <v>0.59965</v>
      </c>
      <c r="Q363" s="40" t="n">
        <v>0.00014</v>
      </c>
      <c r="R363" s="39" t="n">
        <v>0.61777</v>
      </c>
      <c r="S363" s="40" t="n">
        <v>7E-005</v>
      </c>
      <c r="T363" s="39" t="n">
        <v>0.64047</v>
      </c>
      <c r="U363" s="40" t="n">
        <v>0.00029</v>
      </c>
      <c r="V363" s="39" t="n">
        <v>0.70232</v>
      </c>
      <c r="W363" s="40" t="n">
        <v>8E-005</v>
      </c>
      <c r="X363" s="39" t="n">
        <v>0.55849</v>
      </c>
      <c r="Y363" s="40" t="n">
        <v>0.00047</v>
      </c>
    </row>
    <row r="364" customFormat="false" ht="15" hidden="false" customHeight="false" outlineLevel="0" collapsed="false">
      <c r="A364" s="38" t="n">
        <v>419</v>
      </c>
      <c r="B364" s="39" t="n">
        <v>0.04095</v>
      </c>
      <c r="C364" s="40" t="n">
        <v>0.00015</v>
      </c>
      <c r="D364" s="39" t="n">
        <v>0.02073</v>
      </c>
      <c r="E364" s="40" t="n">
        <v>0</v>
      </c>
      <c r="F364" s="39" t="n">
        <v>0.34111</v>
      </c>
      <c r="G364" s="40" t="n">
        <v>0.00093</v>
      </c>
      <c r="H364" s="39" t="n">
        <v>0.32393</v>
      </c>
      <c r="I364" s="40" t="n">
        <v>4E-005</v>
      </c>
      <c r="J364" s="39" t="n">
        <v>0.43604</v>
      </c>
      <c r="K364" s="40" t="n">
        <v>0.00011</v>
      </c>
      <c r="L364" s="39" t="n">
        <v>0.63666</v>
      </c>
      <c r="M364" s="40" t="n">
        <v>0.00014</v>
      </c>
      <c r="N364" s="39" t="n">
        <v>0.40592</v>
      </c>
      <c r="O364" s="40" t="n">
        <v>9E-005</v>
      </c>
      <c r="P364" s="39" t="n">
        <v>0.59785</v>
      </c>
      <c r="Q364" s="40" t="n">
        <v>0.00014</v>
      </c>
      <c r="R364" s="39" t="n">
        <v>0.61693</v>
      </c>
      <c r="S364" s="40" t="n">
        <v>7E-005</v>
      </c>
      <c r="T364" s="39" t="n">
        <v>0.63664</v>
      </c>
      <c r="U364" s="40" t="n">
        <v>0.00029</v>
      </c>
      <c r="V364" s="39" t="n">
        <v>0.70141</v>
      </c>
      <c r="W364" s="40" t="n">
        <v>7E-005</v>
      </c>
      <c r="X364" s="39" t="n">
        <v>0.55267</v>
      </c>
      <c r="Y364" s="40" t="n">
        <v>0.00048</v>
      </c>
    </row>
    <row r="365" customFormat="false" ht="15" hidden="false" customHeight="false" outlineLevel="0" collapsed="false">
      <c r="A365" s="38" t="n">
        <v>420</v>
      </c>
      <c r="B365" s="39" t="n">
        <v>0.03903</v>
      </c>
      <c r="C365" s="40" t="n">
        <v>0.00013</v>
      </c>
      <c r="D365" s="39" t="n">
        <v>0.02016</v>
      </c>
      <c r="E365" s="40" t="n">
        <v>1E-005</v>
      </c>
      <c r="F365" s="39" t="n">
        <v>0.33027</v>
      </c>
      <c r="G365" s="40" t="n">
        <v>0.00093</v>
      </c>
      <c r="H365" s="39" t="n">
        <v>0.3233</v>
      </c>
      <c r="I365" s="40" t="n">
        <v>4E-005</v>
      </c>
      <c r="J365" s="39" t="n">
        <v>0.43476</v>
      </c>
      <c r="K365" s="40" t="n">
        <v>0.00011</v>
      </c>
      <c r="L365" s="39" t="n">
        <v>0.63491</v>
      </c>
      <c r="M365" s="40" t="n">
        <v>0.00013</v>
      </c>
      <c r="N365" s="39" t="n">
        <v>0.40471</v>
      </c>
      <c r="O365" s="40" t="n">
        <v>8E-005</v>
      </c>
      <c r="P365" s="39" t="n">
        <v>0.59614</v>
      </c>
      <c r="Q365" s="40" t="n">
        <v>0.00013</v>
      </c>
      <c r="R365" s="39" t="n">
        <v>0.616</v>
      </c>
      <c r="S365" s="40" t="n">
        <v>7E-005</v>
      </c>
      <c r="T365" s="39" t="n">
        <v>0.63299</v>
      </c>
      <c r="U365" s="40" t="n">
        <v>0.00029</v>
      </c>
      <c r="V365" s="39" t="n">
        <v>0.70044</v>
      </c>
      <c r="W365" s="40" t="n">
        <v>8E-005</v>
      </c>
      <c r="X365" s="39" t="n">
        <v>0.54683</v>
      </c>
      <c r="Y365" s="40" t="n">
        <v>0.00048</v>
      </c>
    </row>
    <row r="366" customFormat="false" ht="15" hidden="false" customHeight="false" outlineLevel="0" collapsed="false">
      <c r="A366" s="38" t="n">
        <v>421</v>
      </c>
      <c r="B366" s="39" t="n">
        <v>0.03775</v>
      </c>
      <c r="C366" s="40" t="n">
        <v>0.00012</v>
      </c>
      <c r="D366" s="39" t="n">
        <v>0.02018</v>
      </c>
      <c r="E366" s="40" t="n">
        <v>4E-005</v>
      </c>
      <c r="F366" s="39" t="n">
        <v>0.31872</v>
      </c>
      <c r="G366" s="40" t="n">
        <v>0.00094</v>
      </c>
      <c r="H366" s="39" t="n">
        <v>0.32263</v>
      </c>
      <c r="I366" s="40" t="n">
        <v>4E-005</v>
      </c>
      <c r="J366" s="39" t="n">
        <v>0.43342</v>
      </c>
      <c r="K366" s="40" t="n">
        <v>0.00011</v>
      </c>
      <c r="L366" s="39" t="n">
        <v>0.6331</v>
      </c>
      <c r="M366" s="40" t="n">
        <v>0.00014</v>
      </c>
      <c r="N366" s="39" t="n">
        <v>0.40323</v>
      </c>
      <c r="O366" s="40" t="n">
        <v>9E-005</v>
      </c>
      <c r="P366" s="39" t="n">
        <v>0.59468</v>
      </c>
      <c r="Q366" s="40" t="n">
        <v>0.00013</v>
      </c>
      <c r="R366" s="39" t="n">
        <v>0.61511</v>
      </c>
      <c r="S366" s="40" t="n">
        <v>8E-005</v>
      </c>
      <c r="T366" s="39" t="n">
        <v>0.62998</v>
      </c>
      <c r="U366" s="40" t="n">
        <v>0.00029</v>
      </c>
      <c r="V366" s="39" t="n">
        <v>0.69928</v>
      </c>
      <c r="W366" s="40" t="n">
        <v>8E-005</v>
      </c>
      <c r="X366" s="39" t="n">
        <v>0.54112</v>
      </c>
      <c r="Y366" s="40" t="n">
        <v>0.00048</v>
      </c>
    </row>
    <row r="367" customFormat="false" ht="15" hidden="false" customHeight="false" outlineLevel="0" collapsed="false">
      <c r="A367" s="38" t="n">
        <v>422</v>
      </c>
      <c r="B367" s="39" t="n">
        <v>0.03677</v>
      </c>
      <c r="C367" s="40" t="n">
        <v>0.0001</v>
      </c>
      <c r="D367" s="39" t="n">
        <v>0.01966</v>
      </c>
      <c r="E367" s="40" t="n">
        <v>8E-005</v>
      </c>
      <c r="F367" s="39" t="n">
        <v>0.30735</v>
      </c>
      <c r="G367" s="40" t="n">
        <v>0.00094</v>
      </c>
      <c r="H367" s="39" t="n">
        <v>0.32175</v>
      </c>
      <c r="I367" s="40" t="n">
        <v>5E-005</v>
      </c>
      <c r="J367" s="39" t="n">
        <v>0.43221</v>
      </c>
      <c r="K367" s="40" t="n">
        <v>0.0001</v>
      </c>
      <c r="L367" s="39" t="n">
        <v>0.6318</v>
      </c>
      <c r="M367" s="40" t="n">
        <v>0.00014</v>
      </c>
      <c r="N367" s="39" t="n">
        <v>0.40227</v>
      </c>
      <c r="O367" s="40" t="n">
        <v>0.0001</v>
      </c>
      <c r="P367" s="39" t="n">
        <v>0.59303</v>
      </c>
      <c r="Q367" s="40" t="n">
        <v>0.00014</v>
      </c>
      <c r="R367" s="39" t="n">
        <v>0.61429</v>
      </c>
      <c r="S367" s="40" t="n">
        <v>8E-005</v>
      </c>
      <c r="T367" s="39" t="n">
        <v>0.62633</v>
      </c>
      <c r="U367" s="40" t="n">
        <v>0.00029</v>
      </c>
      <c r="V367" s="39" t="n">
        <v>0.69859</v>
      </c>
      <c r="W367" s="40" t="n">
        <v>8E-005</v>
      </c>
      <c r="X367" s="39" t="n">
        <v>0.53535</v>
      </c>
      <c r="Y367" s="40" t="n">
        <v>0.00048</v>
      </c>
    </row>
    <row r="368" customFormat="false" ht="15" hidden="false" customHeight="false" outlineLevel="0" collapsed="false">
      <c r="A368" s="38" t="n">
        <v>423</v>
      </c>
      <c r="B368" s="39" t="n">
        <v>0.03518</v>
      </c>
      <c r="C368" s="40" t="n">
        <v>9E-005</v>
      </c>
      <c r="D368" s="39" t="n">
        <v>0.01914</v>
      </c>
      <c r="E368" s="40" t="n">
        <v>8E-005</v>
      </c>
      <c r="F368" s="39" t="n">
        <v>0.29584</v>
      </c>
      <c r="G368" s="40" t="n">
        <v>0.00094</v>
      </c>
      <c r="H368" s="39" t="n">
        <v>0.32129</v>
      </c>
      <c r="I368" s="40" t="n">
        <v>5E-005</v>
      </c>
      <c r="J368" s="39" t="n">
        <v>0.43096</v>
      </c>
      <c r="K368" s="40" t="n">
        <v>9E-005</v>
      </c>
      <c r="L368" s="39" t="n">
        <v>0.63018</v>
      </c>
      <c r="M368" s="40" t="n">
        <v>0.00014</v>
      </c>
      <c r="N368" s="39" t="n">
        <v>0.40159</v>
      </c>
      <c r="O368" s="40" t="n">
        <v>9E-005</v>
      </c>
      <c r="P368" s="39" t="n">
        <v>0.59158</v>
      </c>
      <c r="Q368" s="40" t="n">
        <v>0.00014</v>
      </c>
      <c r="R368" s="39" t="n">
        <v>0.61323</v>
      </c>
      <c r="S368" s="40" t="n">
        <v>8E-005</v>
      </c>
      <c r="T368" s="39" t="n">
        <v>0.62278</v>
      </c>
      <c r="U368" s="40" t="n">
        <v>0.00028</v>
      </c>
      <c r="V368" s="39" t="n">
        <v>0.69798</v>
      </c>
      <c r="W368" s="40" t="n">
        <v>8E-005</v>
      </c>
      <c r="X368" s="39" t="n">
        <v>0.52953</v>
      </c>
      <c r="Y368" s="40" t="n">
        <v>0.00049</v>
      </c>
    </row>
    <row r="369" customFormat="false" ht="15" hidden="false" customHeight="false" outlineLevel="0" collapsed="false">
      <c r="A369" s="38" t="n">
        <v>424</v>
      </c>
      <c r="B369" s="39" t="n">
        <v>0.03384</v>
      </c>
      <c r="C369" s="40" t="n">
        <v>8E-005</v>
      </c>
      <c r="D369" s="39" t="n">
        <v>0.0158</v>
      </c>
      <c r="E369" s="40" t="n">
        <v>7E-005</v>
      </c>
      <c r="F369" s="39" t="n">
        <v>0.28468</v>
      </c>
      <c r="G369" s="40" t="n">
        <v>0.00095</v>
      </c>
      <c r="H369" s="39" t="n">
        <v>0.32105</v>
      </c>
      <c r="I369" s="40" t="n">
        <v>4E-005</v>
      </c>
      <c r="J369" s="39" t="n">
        <v>0.42992</v>
      </c>
      <c r="K369" s="40" t="n">
        <v>9E-005</v>
      </c>
      <c r="L369" s="39" t="n">
        <v>0.62847</v>
      </c>
      <c r="M369" s="40" t="n">
        <v>0.00014</v>
      </c>
      <c r="N369" s="39" t="n">
        <v>0.40045</v>
      </c>
      <c r="O369" s="40" t="n">
        <v>9E-005</v>
      </c>
      <c r="P369" s="39" t="n">
        <v>0.58992</v>
      </c>
      <c r="Q369" s="40" t="n">
        <v>0.00014</v>
      </c>
      <c r="R369" s="39" t="n">
        <v>0.61235</v>
      </c>
      <c r="S369" s="40" t="n">
        <v>8E-005</v>
      </c>
      <c r="T369" s="39" t="n">
        <v>0.61959</v>
      </c>
      <c r="U369" s="40" t="n">
        <v>0.00028</v>
      </c>
      <c r="V369" s="39" t="n">
        <v>0.69695</v>
      </c>
      <c r="W369" s="40" t="n">
        <v>7E-005</v>
      </c>
      <c r="X369" s="39" t="n">
        <v>0.52374</v>
      </c>
      <c r="Y369" s="40" t="n">
        <v>0.00049</v>
      </c>
    </row>
    <row r="370" customFormat="false" ht="15" hidden="false" customHeight="false" outlineLevel="0" collapsed="false">
      <c r="A370" s="38" t="n">
        <v>425</v>
      </c>
      <c r="B370" s="39" t="n">
        <v>0.03295</v>
      </c>
      <c r="C370" s="40" t="n">
        <v>7E-005</v>
      </c>
      <c r="D370" s="39" t="n">
        <v>0.01684</v>
      </c>
      <c r="E370" s="40" t="n">
        <v>3E-005</v>
      </c>
      <c r="F370" s="39" t="n">
        <v>0.27377</v>
      </c>
      <c r="G370" s="40" t="n">
        <v>0.00095</v>
      </c>
      <c r="H370" s="39" t="n">
        <v>0.32074</v>
      </c>
      <c r="I370" s="40" t="n">
        <v>4E-005</v>
      </c>
      <c r="J370" s="39" t="n">
        <v>0.42874</v>
      </c>
      <c r="K370" s="40" t="n">
        <v>9E-005</v>
      </c>
      <c r="L370" s="39" t="n">
        <v>0.62657</v>
      </c>
      <c r="M370" s="40" t="n">
        <v>0.00014</v>
      </c>
      <c r="N370" s="39" t="n">
        <v>0.39885</v>
      </c>
      <c r="O370" s="40" t="n">
        <v>8E-005</v>
      </c>
      <c r="P370" s="39" t="n">
        <v>0.58806</v>
      </c>
      <c r="Q370" s="40" t="n">
        <v>0.00014</v>
      </c>
      <c r="R370" s="39" t="n">
        <v>0.61135</v>
      </c>
      <c r="S370" s="40" t="n">
        <v>8E-005</v>
      </c>
      <c r="T370" s="39" t="n">
        <v>0.61614</v>
      </c>
      <c r="U370" s="40" t="n">
        <v>0.00029</v>
      </c>
      <c r="V370" s="39" t="n">
        <v>0.69579</v>
      </c>
      <c r="W370" s="40" t="n">
        <v>7E-005</v>
      </c>
      <c r="X370" s="39" t="n">
        <v>0.51775</v>
      </c>
      <c r="Y370" s="40" t="n">
        <v>0.0005</v>
      </c>
    </row>
    <row r="371" customFormat="false" ht="15" hidden="false" customHeight="false" outlineLevel="0" collapsed="false">
      <c r="A371" s="38" t="n">
        <v>426</v>
      </c>
      <c r="B371" s="39" t="n">
        <v>0.03247</v>
      </c>
      <c r="C371" s="40" t="n">
        <v>5E-005</v>
      </c>
      <c r="D371" s="39" t="n">
        <v>0.01606</v>
      </c>
      <c r="E371" s="40" t="n">
        <v>-2E-005</v>
      </c>
      <c r="F371" s="39" t="n">
        <v>0.2621</v>
      </c>
      <c r="G371" s="40" t="n">
        <v>0.00096</v>
      </c>
      <c r="H371" s="39" t="n">
        <v>0.31997</v>
      </c>
      <c r="I371" s="40" t="n">
        <v>4E-005</v>
      </c>
      <c r="J371" s="39" t="n">
        <v>0.42769</v>
      </c>
      <c r="K371" s="40" t="n">
        <v>0.0001</v>
      </c>
      <c r="L371" s="39" t="n">
        <v>0.62475</v>
      </c>
      <c r="M371" s="40" t="n">
        <v>0.00015</v>
      </c>
      <c r="N371" s="39" t="n">
        <v>0.39818</v>
      </c>
      <c r="O371" s="40" t="n">
        <v>8E-005</v>
      </c>
      <c r="P371" s="39" t="n">
        <v>0.5863</v>
      </c>
      <c r="Q371" s="40" t="n">
        <v>0.00014</v>
      </c>
      <c r="R371" s="39" t="n">
        <v>0.6104</v>
      </c>
      <c r="S371" s="40" t="n">
        <v>8E-005</v>
      </c>
      <c r="T371" s="39" t="n">
        <v>0.61276</v>
      </c>
      <c r="U371" s="40" t="n">
        <v>0.00028</v>
      </c>
      <c r="V371" s="39" t="n">
        <v>0.69491</v>
      </c>
      <c r="W371" s="40" t="n">
        <v>8E-005</v>
      </c>
      <c r="X371" s="39" t="n">
        <v>0.51164</v>
      </c>
      <c r="Y371" s="40" t="n">
        <v>0.00051</v>
      </c>
    </row>
    <row r="372" customFormat="false" ht="15" hidden="false" customHeight="false" outlineLevel="0" collapsed="false">
      <c r="A372" s="38" t="n">
        <v>427</v>
      </c>
      <c r="B372" s="39" t="n">
        <v>0.0321</v>
      </c>
      <c r="C372" s="40" t="n">
        <v>4E-005</v>
      </c>
      <c r="D372" s="39" t="n">
        <v>0.01634</v>
      </c>
      <c r="E372" s="40" t="n">
        <v>-3E-005</v>
      </c>
      <c r="F372" s="39" t="n">
        <v>0.2506</v>
      </c>
      <c r="G372" s="40" t="n">
        <v>0.00095</v>
      </c>
      <c r="H372" s="39" t="n">
        <v>0.31918</v>
      </c>
      <c r="I372" s="40" t="n">
        <v>4E-005</v>
      </c>
      <c r="J372" s="39" t="n">
        <v>0.42669</v>
      </c>
      <c r="K372" s="40" t="n">
        <v>0.0001</v>
      </c>
      <c r="L372" s="39" t="n">
        <v>0.62305</v>
      </c>
      <c r="M372" s="40" t="n">
        <v>0.00014</v>
      </c>
      <c r="N372" s="39" t="n">
        <v>0.39722</v>
      </c>
      <c r="O372" s="40" t="n">
        <v>8E-005</v>
      </c>
      <c r="P372" s="39" t="n">
        <v>0.5846</v>
      </c>
      <c r="Q372" s="40" t="n">
        <v>0.00014</v>
      </c>
      <c r="R372" s="39" t="n">
        <v>0.60929</v>
      </c>
      <c r="S372" s="40" t="n">
        <v>8E-005</v>
      </c>
      <c r="T372" s="39" t="n">
        <v>0.60928</v>
      </c>
      <c r="U372" s="40" t="n">
        <v>0.00028</v>
      </c>
      <c r="V372" s="39" t="n">
        <v>0.69402</v>
      </c>
      <c r="W372" s="40" t="n">
        <v>8E-005</v>
      </c>
      <c r="X372" s="39" t="n">
        <v>0.50553</v>
      </c>
      <c r="Y372" s="40" t="n">
        <v>0.00052</v>
      </c>
    </row>
    <row r="373" customFormat="false" ht="15" hidden="false" customHeight="false" outlineLevel="0" collapsed="false">
      <c r="A373" s="38" t="n">
        <v>428</v>
      </c>
      <c r="B373" s="39" t="n">
        <v>0.0316</v>
      </c>
      <c r="C373" s="40" t="n">
        <v>3E-005</v>
      </c>
      <c r="D373" s="39" t="n">
        <v>0.01725</v>
      </c>
      <c r="E373" s="40" t="n">
        <v>-5E-005</v>
      </c>
      <c r="F373" s="39" t="n">
        <v>0.23899</v>
      </c>
      <c r="G373" s="40" t="n">
        <v>0.00094</v>
      </c>
      <c r="H373" s="39" t="n">
        <v>0.31884</v>
      </c>
      <c r="I373" s="40" t="n">
        <v>5E-005</v>
      </c>
      <c r="J373" s="39" t="n">
        <v>0.42534</v>
      </c>
      <c r="K373" s="40" t="n">
        <v>0.0001</v>
      </c>
      <c r="L373" s="39" t="n">
        <v>0.62146</v>
      </c>
      <c r="M373" s="40" t="n">
        <v>0.00014</v>
      </c>
      <c r="N373" s="39" t="n">
        <v>0.39637</v>
      </c>
      <c r="O373" s="40" t="n">
        <v>7E-005</v>
      </c>
      <c r="P373" s="39" t="n">
        <v>0.58299</v>
      </c>
      <c r="Q373" s="40" t="n">
        <v>0.00014</v>
      </c>
      <c r="R373" s="39" t="n">
        <v>0.60831</v>
      </c>
      <c r="S373" s="40" t="n">
        <v>7E-005</v>
      </c>
      <c r="T373" s="39" t="n">
        <v>0.60583</v>
      </c>
      <c r="U373" s="40" t="n">
        <v>0.00028</v>
      </c>
      <c r="V373" s="39" t="n">
        <v>0.69321</v>
      </c>
      <c r="W373" s="40" t="n">
        <v>8E-005</v>
      </c>
      <c r="X373" s="39" t="n">
        <v>0.49916</v>
      </c>
      <c r="Y373" s="40" t="n">
        <v>0.00052</v>
      </c>
    </row>
    <row r="374" customFormat="false" ht="15" hidden="false" customHeight="false" outlineLevel="0" collapsed="false">
      <c r="A374" s="38" t="n">
        <v>429</v>
      </c>
      <c r="B374" s="39" t="n">
        <v>0.03123</v>
      </c>
      <c r="C374" s="40" t="n">
        <v>4E-005</v>
      </c>
      <c r="D374" s="39" t="n">
        <v>0.01863</v>
      </c>
      <c r="E374" s="40" t="n">
        <v>-1E-005</v>
      </c>
      <c r="F374" s="39" t="n">
        <v>0.22762</v>
      </c>
      <c r="G374" s="40" t="n">
        <v>0.00094</v>
      </c>
      <c r="H374" s="39" t="n">
        <v>0.31824</v>
      </c>
      <c r="I374" s="40" t="n">
        <v>5E-005</v>
      </c>
      <c r="J374" s="39" t="n">
        <v>0.42389</v>
      </c>
      <c r="K374" s="40" t="n">
        <v>0.0001</v>
      </c>
      <c r="L374" s="39" t="n">
        <v>0.61969</v>
      </c>
      <c r="M374" s="40" t="n">
        <v>0.00015</v>
      </c>
      <c r="N374" s="39" t="n">
        <v>0.39558</v>
      </c>
      <c r="O374" s="40" t="n">
        <v>6E-005</v>
      </c>
      <c r="P374" s="39" t="n">
        <v>0.58148</v>
      </c>
      <c r="Q374" s="40" t="n">
        <v>0.00013</v>
      </c>
      <c r="R374" s="39" t="n">
        <v>0.60755</v>
      </c>
      <c r="S374" s="40" t="n">
        <v>7E-005</v>
      </c>
      <c r="T374" s="39" t="n">
        <v>0.60257</v>
      </c>
      <c r="U374" s="40" t="n">
        <v>0.00028</v>
      </c>
      <c r="V374" s="39" t="n">
        <v>0.69218</v>
      </c>
      <c r="W374" s="40" t="n">
        <v>8E-005</v>
      </c>
      <c r="X374" s="39" t="n">
        <v>0.49305</v>
      </c>
      <c r="Y374" s="40" t="n">
        <v>0.00053</v>
      </c>
    </row>
    <row r="375" customFormat="false" ht="15" hidden="false" customHeight="false" outlineLevel="0" collapsed="false">
      <c r="A375" s="38" t="n">
        <v>430</v>
      </c>
      <c r="B375" s="39" t="n">
        <v>0.03086</v>
      </c>
      <c r="C375" s="40" t="n">
        <v>4E-005</v>
      </c>
      <c r="D375" s="39" t="n">
        <v>0.01927</v>
      </c>
      <c r="E375" s="40" t="n">
        <v>2E-005</v>
      </c>
      <c r="F375" s="39" t="n">
        <v>0.21635</v>
      </c>
      <c r="G375" s="40" t="n">
        <v>0.00093</v>
      </c>
      <c r="H375" s="39" t="n">
        <v>0.31766</v>
      </c>
      <c r="I375" s="40" t="n">
        <v>5E-005</v>
      </c>
      <c r="J375" s="39" t="n">
        <v>0.42282</v>
      </c>
      <c r="K375" s="40" t="n">
        <v>0.0001</v>
      </c>
      <c r="L375" s="39" t="n">
        <v>0.61815</v>
      </c>
      <c r="M375" s="40" t="n">
        <v>0.00014</v>
      </c>
      <c r="N375" s="39" t="n">
        <v>0.39469</v>
      </c>
      <c r="O375" s="40" t="n">
        <v>8E-005</v>
      </c>
      <c r="P375" s="39" t="n">
        <v>0.5798</v>
      </c>
      <c r="Q375" s="40" t="n">
        <v>0.00013</v>
      </c>
      <c r="R375" s="39" t="n">
        <v>0.60669</v>
      </c>
      <c r="S375" s="40" t="n">
        <v>6E-005</v>
      </c>
      <c r="T375" s="39" t="n">
        <v>0.59939</v>
      </c>
      <c r="U375" s="40" t="n">
        <v>0.00029</v>
      </c>
      <c r="V375" s="39" t="n">
        <v>0.69102</v>
      </c>
      <c r="W375" s="40" t="n">
        <v>9E-005</v>
      </c>
      <c r="X375" s="39" t="n">
        <v>0.48674</v>
      </c>
      <c r="Y375" s="40" t="n">
        <v>0.00053</v>
      </c>
    </row>
    <row r="376" customFormat="false" ht="15" hidden="false" customHeight="false" outlineLevel="0" collapsed="false">
      <c r="A376" s="38" t="n">
        <v>431</v>
      </c>
      <c r="B376" s="39" t="n">
        <v>0.02994</v>
      </c>
      <c r="C376" s="40" t="n">
        <v>4E-005</v>
      </c>
      <c r="D376" s="39" t="n">
        <v>0.01709</v>
      </c>
      <c r="E376" s="40" t="n">
        <v>3E-005</v>
      </c>
      <c r="F376" s="39" t="n">
        <v>0.20604</v>
      </c>
      <c r="G376" s="40" t="n">
        <v>0.00091</v>
      </c>
      <c r="H376" s="39" t="n">
        <v>0.31753</v>
      </c>
      <c r="I376" s="40" t="n">
        <v>5E-005</v>
      </c>
      <c r="J376" s="39" t="n">
        <v>0.42173</v>
      </c>
      <c r="K376" s="40" t="n">
        <v>0.0001</v>
      </c>
      <c r="L376" s="39" t="n">
        <v>0.61631</v>
      </c>
      <c r="M376" s="40" t="n">
        <v>0.00014</v>
      </c>
      <c r="N376" s="39" t="n">
        <v>0.39369</v>
      </c>
      <c r="O376" s="40" t="n">
        <v>8E-005</v>
      </c>
      <c r="P376" s="39" t="n">
        <v>0.57819</v>
      </c>
      <c r="Q376" s="40" t="n">
        <v>0.00014</v>
      </c>
      <c r="R376" s="39" t="n">
        <v>0.60634</v>
      </c>
      <c r="S376" s="40" t="n">
        <v>6E-005</v>
      </c>
      <c r="T376" s="39" t="n">
        <v>0.59578</v>
      </c>
      <c r="U376" s="40" t="n">
        <v>0.00029</v>
      </c>
      <c r="V376" s="39" t="n">
        <v>0.68989</v>
      </c>
      <c r="W376" s="40" t="n">
        <v>9E-005</v>
      </c>
      <c r="X376" s="39" t="n">
        <v>0.48022</v>
      </c>
      <c r="Y376" s="40" t="n">
        <v>0.00054</v>
      </c>
    </row>
    <row r="377" customFormat="false" ht="15" hidden="false" customHeight="false" outlineLevel="0" collapsed="false">
      <c r="A377" s="38" t="n">
        <v>432</v>
      </c>
      <c r="B377" s="39" t="n">
        <v>0.0295</v>
      </c>
      <c r="C377" s="40" t="n">
        <v>4E-005</v>
      </c>
      <c r="D377" s="39" t="n">
        <v>0.01616</v>
      </c>
      <c r="E377" s="40" t="n">
        <v>7E-005</v>
      </c>
      <c r="F377" s="39" t="n">
        <v>0.19509</v>
      </c>
      <c r="G377" s="40" t="n">
        <v>0.00089</v>
      </c>
      <c r="H377" s="39" t="n">
        <v>0.31679</v>
      </c>
      <c r="I377" s="40" t="n">
        <v>5E-005</v>
      </c>
      <c r="J377" s="39" t="n">
        <v>0.42051</v>
      </c>
      <c r="K377" s="40" t="n">
        <v>0.0001</v>
      </c>
      <c r="L377" s="39" t="n">
        <v>0.6144</v>
      </c>
      <c r="M377" s="40" t="n">
        <v>0.00015</v>
      </c>
      <c r="N377" s="39" t="n">
        <v>0.39285</v>
      </c>
      <c r="O377" s="40" t="n">
        <v>8E-005</v>
      </c>
      <c r="P377" s="39" t="n">
        <v>0.57668</v>
      </c>
      <c r="Q377" s="40" t="n">
        <v>0.00014</v>
      </c>
      <c r="R377" s="39" t="n">
        <v>0.60552</v>
      </c>
      <c r="S377" s="40" t="n">
        <v>7E-005</v>
      </c>
      <c r="T377" s="39" t="n">
        <v>0.59229</v>
      </c>
      <c r="U377" s="40" t="n">
        <v>0.00028</v>
      </c>
      <c r="V377" s="39" t="n">
        <v>0.68889</v>
      </c>
      <c r="W377" s="40" t="n">
        <v>9E-005</v>
      </c>
      <c r="X377" s="39" t="n">
        <v>0.47386</v>
      </c>
      <c r="Y377" s="40" t="n">
        <v>0.00054</v>
      </c>
    </row>
    <row r="378" customFormat="false" ht="15" hidden="false" customHeight="false" outlineLevel="0" collapsed="false">
      <c r="A378" s="38" t="n">
        <v>433</v>
      </c>
      <c r="B378" s="39" t="n">
        <v>0.02902</v>
      </c>
      <c r="C378" s="40" t="n">
        <v>3E-005</v>
      </c>
      <c r="D378" s="39" t="n">
        <v>0.01569</v>
      </c>
      <c r="E378" s="40" t="n">
        <v>8E-005</v>
      </c>
      <c r="F378" s="39" t="n">
        <v>0.18398</v>
      </c>
      <c r="G378" s="40" t="n">
        <v>0.00088</v>
      </c>
      <c r="H378" s="39" t="n">
        <v>0.31599</v>
      </c>
      <c r="I378" s="40" t="n">
        <v>5E-005</v>
      </c>
      <c r="J378" s="39" t="n">
        <v>0.41916</v>
      </c>
      <c r="K378" s="40" t="n">
        <v>0.0001</v>
      </c>
      <c r="L378" s="39" t="n">
        <v>0.61249</v>
      </c>
      <c r="M378" s="40" t="n">
        <v>0.00015</v>
      </c>
      <c r="N378" s="39" t="n">
        <v>0.39212</v>
      </c>
      <c r="O378" s="40" t="n">
        <v>9E-005</v>
      </c>
      <c r="P378" s="39" t="n">
        <v>0.5747</v>
      </c>
      <c r="Q378" s="40" t="n">
        <v>0.00014</v>
      </c>
      <c r="R378" s="39" t="n">
        <v>0.60458</v>
      </c>
      <c r="S378" s="40" t="n">
        <v>7E-005</v>
      </c>
      <c r="T378" s="39" t="n">
        <v>0.58876</v>
      </c>
      <c r="U378" s="40" t="n">
        <v>0.00028</v>
      </c>
      <c r="V378" s="39" t="n">
        <v>0.68795</v>
      </c>
      <c r="W378" s="40" t="n">
        <v>9E-005</v>
      </c>
      <c r="X378" s="39" t="n">
        <v>0.46731</v>
      </c>
      <c r="Y378" s="40" t="n">
        <v>0.00055</v>
      </c>
    </row>
    <row r="379" customFormat="false" ht="15" hidden="false" customHeight="false" outlineLevel="0" collapsed="false">
      <c r="A379" s="38" t="n">
        <v>434</v>
      </c>
      <c r="B379" s="39" t="n">
        <v>0.02864</v>
      </c>
      <c r="C379" s="40" t="n">
        <v>3E-005</v>
      </c>
      <c r="D379" s="39" t="n">
        <v>0.01488</v>
      </c>
      <c r="E379" s="40" t="n">
        <v>6E-005</v>
      </c>
      <c r="F379" s="39" t="n">
        <v>0.17377</v>
      </c>
      <c r="G379" s="40" t="n">
        <v>0.00086</v>
      </c>
      <c r="H379" s="39" t="n">
        <v>0.31535</v>
      </c>
      <c r="I379" s="40" t="n">
        <v>4E-005</v>
      </c>
      <c r="J379" s="39" t="n">
        <v>0.41785</v>
      </c>
      <c r="K379" s="40" t="n">
        <v>0.0001</v>
      </c>
      <c r="L379" s="39" t="n">
        <v>0.61104</v>
      </c>
      <c r="M379" s="40" t="n">
        <v>0.00015</v>
      </c>
      <c r="N379" s="39" t="n">
        <v>0.39046</v>
      </c>
      <c r="O379" s="40" t="n">
        <v>9E-005</v>
      </c>
      <c r="P379" s="39" t="n">
        <v>0.57325</v>
      </c>
      <c r="Q379" s="40" t="n">
        <v>0.00014</v>
      </c>
      <c r="R379" s="39" t="n">
        <v>0.6037</v>
      </c>
      <c r="S379" s="40" t="n">
        <v>7E-005</v>
      </c>
      <c r="T379" s="39" t="n">
        <v>0.5853</v>
      </c>
      <c r="U379" s="40" t="n">
        <v>0.00028</v>
      </c>
      <c r="V379" s="39" t="n">
        <v>0.68693</v>
      </c>
      <c r="W379" s="40" t="n">
        <v>9E-005</v>
      </c>
      <c r="X379" s="39" t="n">
        <v>0.46075</v>
      </c>
      <c r="Y379" s="40" t="n">
        <v>0.00055</v>
      </c>
    </row>
    <row r="380" customFormat="false" ht="15" hidden="false" customHeight="false" outlineLevel="0" collapsed="false">
      <c r="A380" s="38" t="n">
        <v>435</v>
      </c>
      <c r="B380" s="39" t="n">
        <v>0.02856</v>
      </c>
      <c r="C380" s="40" t="n">
        <v>1E-005</v>
      </c>
      <c r="D380" s="39" t="n">
        <v>0.01474</v>
      </c>
      <c r="E380" s="40" t="n">
        <v>4E-005</v>
      </c>
      <c r="F380" s="39" t="n">
        <v>0.16373</v>
      </c>
      <c r="G380" s="40" t="n">
        <v>0.00084</v>
      </c>
      <c r="H380" s="39" t="n">
        <v>0.31489</v>
      </c>
      <c r="I380" s="40" t="n">
        <v>4E-005</v>
      </c>
      <c r="J380" s="39" t="n">
        <v>0.41682</v>
      </c>
      <c r="K380" s="40" t="n">
        <v>0.0001</v>
      </c>
      <c r="L380" s="39" t="n">
        <v>0.60932</v>
      </c>
      <c r="M380" s="40" t="n">
        <v>0.00015</v>
      </c>
      <c r="N380" s="39" t="n">
        <v>0.3894</v>
      </c>
      <c r="O380" s="40" t="n">
        <v>8E-005</v>
      </c>
      <c r="P380" s="39" t="n">
        <v>0.57158</v>
      </c>
      <c r="Q380" s="40" t="n">
        <v>0.00014</v>
      </c>
      <c r="R380" s="39" t="n">
        <v>0.60267</v>
      </c>
      <c r="S380" s="40" t="n">
        <v>8E-005</v>
      </c>
      <c r="T380" s="39" t="n">
        <v>0.58208</v>
      </c>
      <c r="U380" s="40" t="n">
        <v>0.00028</v>
      </c>
      <c r="V380" s="39" t="n">
        <v>0.68591</v>
      </c>
      <c r="W380" s="40" t="n">
        <v>9E-005</v>
      </c>
      <c r="X380" s="39" t="n">
        <v>0.45397</v>
      </c>
      <c r="Y380" s="40" t="n">
        <v>0.00056</v>
      </c>
    </row>
    <row r="381" customFormat="false" ht="15" hidden="false" customHeight="false" outlineLevel="0" collapsed="false">
      <c r="A381" s="38" t="n">
        <v>436</v>
      </c>
      <c r="B381" s="39" t="n">
        <v>0.02833</v>
      </c>
      <c r="C381" s="40" t="n">
        <v>1E-005</v>
      </c>
      <c r="D381" s="39" t="n">
        <v>0.01382</v>
      </c>
      <c r="E381" s="40" t="n">
        <v>3E-005</v>
      </c>
      <c r="F381" s="39" t="n">
        <v>0.15397</v>
      </c>
      <c r="G381" s="40" t="n">
        <v>0.00081</v>
      </c>
      <c r="H381" s="39" t="n">
        <v>0.31459</v>
      </c>
      <c r="I381" s="40" t="n">
        <v>4E-005</v>
      </c>
      <c r="J381" s="39" t="n">
        <v>0.41569</v>
      </c>
      <c r="K381" s="40" t="n">
        <v>9E-005</v>
      </c>
      <c r="L381" s="39" t="n">
        <v>0.6073</v>
      </c>
      <c r="M381" s="40" t="n">
        <v>0.00015</v>
      </c>
      <c r="N381" s="39" t="n">
        <v>0.38862</v>
      </c>
      <c r="O381" s="40" t="n">
        <v>8E-005</v>
      </c>
      <c r="P381" s="39" t="n">
        <v>0.56986</v>
      </c>
      <c r="Q381" s="40" t="n">
        <v>0.00014</v>
      </c>
      <c r="R381" s="39" t="n">
        <v>0.60182</v>
      </c>
      <c r="S381" s="40" t="n">
        <v>7E-005</v>
      </c>
      <c r="T381" s="39" t="n">
        <v>0.57919</v>
      </c>
      <c r="U381" s="40" t="n">
        <v>0.00027</v>
      </c>
      <c r="V381" s="39" t="n">
        <v>0.68471</v>
      </c>
      <c r="W381" s="40" t="n">
        <v>9E-005</v>
      </c>
      <c r="X381" s="39" t="n">
        <v>0.44729</v>
      </c>
      <c r="Y381" s="40" t="n">
        <v>0.00057</v>
      </c>
    </row>
    <row r="382" customFormat="false" ht="15" hidden="false" customHeight="false" outlineLevel="0" collapsed="false">
      <c r="A382" s="38" t="n">
        <v>437</v>
      </c>
      <c r="B382" s="39" t="n">
        <v>0.02825</v>
      </c>
      <c r="C382" s="40" t="n">
        <v>1E-005</v>
      </c>
      <c r="D382" s="39" t="n">
        <v>0.01362</v>
      </c>
      <c r="E382" s="40" t="n">
        <v>3E-005</v>
      </c>
      <c r="F382" s="39" t="n">
        <v>0.14408</v>
      </c>
      <c r="G382" s="40" t="n">
        <v>0.00077</v>
      </c>
      <c r="H382" s="39" t="n">
        <v>0.31424</v>
      </c>
      <c r="I382" s="40" t="n">
        <v>3E-005</v>
      </c>
      <c r="J382" s="39" t="n">
        <v>0.41464</v>
      </c>
      <c r="K382" s="40" t="n">
        <v>9E-005</v>
      </c>
      <c r="L382" s="39" t="n">
        <v>0.60543</v>
      </c>
      <c r="M382" s="40" t="n">
        <v>0.00016</v>
      </c>
      <c r="N382" s="39" t="n">
        <v>0.38734</v>
      </c>
      <c r="O382" s="40" t="n">
        <v>8E-005</v>
      </c>
      <c r="P382" s="39" t="n">
        <v>0.56832</v>
      </c>
      <c r="Q382" s="40" t="n">
        <v>0.00013</v>
      </c>
      <c r="R382" s="39" t="n">
        <v>0.60108</v>
      </c>
      <c r="S382" s="40" t="n">
        <v>7E-005</v>
      </c>
      <c r="T382" s="39" t="n">
        <v>0.57573</v>
      </c>
      <c r="U382" s="40" t="n">
        <v>0.00027</v>
      </c>
      <c r="V382" s="39" t="n">
        <v>0.68357</v>
      </c>
      <c r="W382" s="40" t="n">
        <v>0.0001</v>
      </c>
      <c r="X382" s="39" t="n">
        <v>0.44041</v>
      </c>
      <c r="Y382" s="40" t="n">
        <v>0.00058</v>
      </c>
    </row>
    <row r="383" customFormat="false" ht="15" hidden="false" customHeight="false" outlineLevel="0" collapsed="false">
      <c r="A383" s="38" t="n">
        <v>438</v>
      </c>
      <c r="B383" s="39" t="n">
        <v>0.02812</v>
      </c>
      <c r="C383" s="40" t="n">
        <v>1E-005</v>
      </c>
      <c r="D383" s="39" t="n">
        <v>0.01384</v>
      </c>
      <c r="E383" s="40" t="n">
        <v>3E-005</v>
      </c>
      <c r="F383" s="39" t="n">
        <v>0.13508</v>
      </c>
      <c r="G383" s="40" t="n">
        <v>0.00072</v>
      </c>
      <c r="H383" s="39" t="n">
        <v>0.31376</v>
      </c>
      <c r="I383" s="40" t="n">
        <v>4E-005</v>
      </c>
      <c r="J383" s="39" t="n">
        <v>0.41359</v>
      </c>
      <c r="K383" s="40" t="n">
        <v>9E-005</v>
      </c>
      <c r="L383" s="39" t="n">
        <v>0.60342</v>
      </c>
      <c r="M383" s="40" t="n">
        <v>0.00017</v>
      </c>
      <c r="N383" s="39" t="n">
        <v>0.38688</v>
      </c>
      <c r="O383" s="40" t="n">
        <v>7E-005</v>
      </c>
      <c r="P383" s="39" t="n">
        <v>0.56655</v>
      </c>
      <c r="Q383" s="40" t="n">
        <v>0.00013</v>
      </c>
      <c r="R383" s="39" t="n">
        <v>0.60028</v>
      </c>
      <c r="S383" s="40" t="n">
        <v>6E-005</v>
      </c>
      <c r="T383" s="39" t="n">
        <v>0.57226</v>
      </c>
      <c r="U383" s="40" t="n">
        <v>0.00027</v>
      </c>
      <c r="V383" s="39" t="n">
        <v>0.68233</v>
      </c>
      <c r="W383" s="40" t="n">
        <v>0.0001</v>
      </c>
      <c r="X383" s="39" t="n">
        <v>0.4335</v>
      </c>
      <c r="Y383" s="40" t="n">
        <v>0.00058</v>
      </c>
    </row>
    <row r="384" customFormat="false" ht="15" hidden="false" customHeight="false" outlineLevel="0" collapsed="false">
      <c r="A384" s="38" t="n">
        <v>439</v>
      </c>
      <c r="B384" s="39" t="n">
        <v>0.02814</v>
      </c>
      <c r="C384" s="40" t="n">
        <v>1E-005</v>
      </c>
      <c r="D384" s="39" t="n">
        <v>0.01264</v>
      </c>
      <c r="E384" s="40" t="n">
        <v>2E-005</v>
      </c>
      <c r="F384" s="39" t="n">
        <v>0.12715</v>
      </c>
      <c r="G384" s="40" t="n">
        <v>0.00066</v>
      </c>
      <c r="H384" s="39" t="n">
        <v>0.31326</v>
      </c>
      <c r="I384" s="40" t="n">
        <v>5E-005</v>
      </c>
      <c r="J384" s="39" t="n">
        <v>0.41239</v>
      </c>
      <c r="K384" s="40" t="n">
        <v>9E-005</v>
      </c>
      <c r="L384" s="39" t="n">
        <v>0.60143</v>
      </c>
      <c r="M384" s="40" t="n">
        <v>0.00016</v>
      </c>
      <c r="N384" s="39" t="n">
        <v>0.38643</v>
      </c>
      <c r="O384" s="40" t="n">
        <v>6E-005</v>
      </c>
      <c r="P384" s="39" t="n">
        <v>0.56488</v>
      </c>
      <c r="Q384" s="40" t="n">
        <v>0.00014</v>
      </c>
      <c r="R384" s="39" t="n">
        <v>0.59953</v>
      </c>
      <c r="S384" s="40" t="n">
        <v>6E-005</v>
      </c>
      <c r="T384" s="39" t="n">
        <v>0.56892</v>
      </c>
      <c r="U384" s="40" t="n">
        <v>0.00028</v>
      </c>
      <c r="V384" s="39" t="n">
        <v>0.68111</v>
      </c>
      <c r="W384" s="40" t="n">
        <v>0.0001</v>
      </c>
      <c r="X384" s="39" t="n">
        <v>0.42651</v>
      </c>
      <c r="Y384" s="40" t="n">
        <v>0.00059</v>
      </c>
    </row>
    <row r="385" customFormat="false" ht="15" hidden="false" customHeight="false" outlineLevel="0" collapsed="false">
      <c r="A385" s="38" t="n">
        <v>440</v>
      </c>
      <c r="B385" s="39" t="n">
        <v>0.02787</v>
      </c>
      <c r="C385" s="40" t="n">
        <v>1E-005</v>
      </c>
      <c r="D385" s="39" t="n">
        <v>0.01304</v>
      </c>
      <c r="E385" s="40" t="n">
        <v>-1E-005</v>
      </c>
      <c r="F385" s="39" t="n">
        <v>0.11913</v>
      </c>
      <c r="G385" s="40" t="n">
        <v>0.00059</v>
      </c>
      <c r="H385" s="39" t="n">
        <v>0.31258</v>
      </c>
      <c r="I385" s="40" t="n">
        <v>6E-005</v>
      </c>
      <c r="J385" s="39" t="n">
        <v>0.41118</v>
      </c>
      <c r="K385" s="40" t="n">
        <v>9E-005</v>
      </c>
      <c r="L385" s="39" t="n">
        <v>0.59953</v>
      </c>
      <c r="M385" s="40" t="n">
        <v>0.00016</v>
      </c>
      <c r="N385" s="39" t="n">
        <v>0.38517</v>
      </c>
      <c r="O385" s="40" t="n">
        <v>7E-005</v>
      </c>
      <c r="P385" s="39" t="n">
        <v>0.56347</v>
      </c>
      <c r="Q385" s="40" t="n">
        <v>0.00014</v>
      </c>
      <c r="R385" s="39" t="n">
        <v>0.5988</v>
      </c>
      <c r="S385" s="40" t="n">
        <v>5E-005</v>
      </c>
      <c r="T385" s="39" t="n">
        <v>0.56563</v>
      </c>
      <c r="U385" s="40" t="n">
        <v>0.00028</v>
      </c>
      <c r="V385" s="39" t="n">
        <v>0.67993</v>
      </c>
      <c r="W385" s="40" t="n">
        <v>0.0001</v>
      </c>
      <c r="X385" s="39" t="n">
        <v>0.4191</v>
      </c>
      <c r="Y385" s="40" t="n">
        <v>0.0006</v>
      </c>
    </row>
    <row r="386" customFormat="false" ht="15" hidden="false" customHeight="false" outlineLevel="0" collapsed="false">
      <c r="A386" s="38" t="n">
        <v>441</v>
      </c>
      <c r="B386" s="39" t="n">
        <v>0.02755</v>
      </c>
      <c r="C386" s="40" t="n">
        <v>1E-005</v>
      </c>
      <c r="D386" s="39" t="n">
        <v>0.01239</v>
      </c>
      <c r="E386" s="40" t="n">
        <v>1E-005</v>
      </c>
      <c r="F386" s="39" t="n">
        <v>0.11275</v>
      </c>
      <c r="G386" s="40" t="n">
        <v>0.00052</v>
      </c>
      <c r="H386" s="39" t="n">
        <v>0.31195</v>
      </c>
      <c r="I386" s="40" t="n">
        <v>6E-005</v>
      </c>
      <c r="J386" s="39" t="n">
        <v>0.40995</v>
      </c>
      <c r="K386" s="40" t="n">
        <v>8E-005</v>
      </c>
      <c r="L386" s="39" t="n">
        <v>0.59738</v>
      </c>
      <c r="M386" s="40" t="n">
        <v>0.00016</v>
      </c>
      <c r="N386" s="39" t="n">
        <v>0.38447</v>
      </c>
      <c r="O386" s="40" t="n">
        <v>6E-005</v>
      </c>
      <c r="P386" s="39" t="n">
        <v>0.56193</v>
      </c>
      <c r="Q386" s="40" t="n">
        <v>0.00014</v>
      </c>
      <c r="R386" s="39" t="n">
        <v>0.5983</v>
      </c>
      <c r="S386" s="40" t="n">
        <v>5E-005</v>
      </c>
      <c r="T386" s="39" t="n">
        <v>0.56238</v>
      </c>
      <c r="U386" s="40" t="n">
        <v>0.00028</v>
      </c>
      <c r="V386" s="39" t="n">
        <v>0.67864</v>
      </c>
      <c r="W386" s="40" t="n">
        <v>0.0001</v>
      </c>
      <c r="X386" s="39" t="n">
        <v>0.4119</v>
      </c>
      <c r="Y386" s="40" t="n">
        <v>0.00061</v>
      </c>
    </row>
    <row r="387" customFormat="false" ht="15" hidden="false" customHeight="false" outlineLevel="0" collapsed="false">
      <c r="A387" s="38" t="n">
        <v>442</v>
      </c>
      <c r="B387" s="39" t="n">
        <v>0.02767</v>
      </c>
      <c r="C387" s="40" t="n">
        <v>1E-005</v>
      </c>
      <c r="D387" s="39" t="n">
        <v>0.01233</v>
      </c>
      <c r="E387" s="40" t="n">
        <v>4E-005</v>
      </c>
      <c r="F387" s="39" t="n">
        <v>0.10718</v>
      </c>
      <c r="G387" s="40" t="n">
        <v>0.00044</v>
      </c>
      <c r="H387" s="39" t="n">
        <v>0.31116</v>
      </c>
      <c r="I387" s="40" t="n">
        <v>6E-005</v>
      </c>
      <c r="J387" s="39" t="n">
        <v>0.40926</v>
      </c>
      <c r="K387" s="40" t="n">
        <v>8E-005</v>
      </c>
      <c r="L387" s="39" t="n">
        <v>0.59577</v>
      </c>
      <c r="M387" s="40" t="n">
        <v>0.00016</v>
      </c>
      <c r="N387" s="39" t="n">
        <v>0.38354</v>
      </c>
      <c r="O387" s="40" t="n">
        <v>7E-005</v>
      </c>
      <c r="P387" s="39" t="n">
        <v>0.55997</v>
      </c>
      <c r="Q387" s="40" t="n">
        <v>0.00015</v>
      </c>
      <c r="R387" s="39" t="n">
        <v>0.59776</v>
      </c>
      <c r="S387" s="40" t="n">
        <v>6E-005</v>
      </c>
      <c r="T387" s="39" t="n">
        <v>0.55916</v>
      </c>
      <c r="U387" s="40" t="n">
        <v>0.00027</v>
      </c>
      <c r="V387" s="39" t="n">
        <v>0.67767</v>
      </c>
      <c r="W387" s="40" t="n">
        <v>0.0001</v>
      </c>
      <c r="X387" s="39" t="n">
        <v>0.40467</v>
      </c>
      <c r="Y387" s="40" t="n">
        <v>0.00062</v>
      </c>
    </row>
    <row r="388" customFormat="false" ht="15" hidden="false" customHeight="false" outlineLevel="0" collapsed="false">
      <c r="A388" s="38" t="n">
        <v>443</v>
      </c>
      <c r="B388" s="39" t="n">
        <v>0.02733</v>
      </c>
      <c r="C388" s="40" t="n">
        <v>2E-005</v>
      </c>
      <c r="D388" s="39" t="n">
        <v>0.01309</v>
      </c>
      <c r="E388" s="40" t="n">
        <v>2E-005</v>
      </c>
      <c r="F388" s="39" t="n">
        <v>0.10238</v>
      </c>
      <c r="G388" s="40" t="n">
        <v>0.00037</v>
      </c>
      <c r="H388" s="39" t="n">
        <v>0.31049</v>
      </c>
      <c r="I388" s="40" t="n">
        <v>6E-005</v>
      </c>
      <c r="J388" s="39" t="n">
        <v>0.40827</v>
      </c>
      <c r="K388" s="40" t="n">
        <v>9E-005</v>
      </c>
      <c r="L388" s="39" t="n">
        <v>0.59404</v>
      </c>
      <c r="M388" s="40" t="n">
        <v>0.00016</v>
      </c>
      <c r="N388" s="39" t="n">
        <v>0.38303</v>
      </c>
      <c r="O388" s="40" t="n">
        <v>7E-005</v>
      </c>
      <c r="P388" s="39" t="n">
        <v>0.5581</v>
      </c>
      <c r="Q388" s="40" t="n">
        <v>0.00015</v>
      </c>
      <c r="R388" s="39" t="n">
        <v>0.59698</v>
      </c>
      <c r="S388" s="40" t="n">
        <v>6E-005</v>
      </c>
      <c r="T388" s="39" t="n">
        <v>0.55547</v>
      </c>
      <c r="U388" s="40" t="n">
        <v>0.00027</v>
      </c>
      <c r="V388" s="39" t="n">
        <v>0.67652</v>
      </c>
      <c r="W388" s="40" t="n">
        <v>0.0001</v>
      </c>
      <c r="X388" s="39" t="n">
        <v>0.39698</v>
      </c>
      <c r="Y388" s="40" t="n">
        <v>0.00063</v>
      </c>
    </row>
    <row r="389" customFormat="false" ht="15" hidden="false" customHeight="false" outlineLevel="0" collapsed="false">
      <c r="A389" s="38" t="n">
        <v>444</v>
      </c>
      <c r="B389" s="39" t="n">
        <v>0.027</v>
      </c>
      <c r="C389" s="40" t="n">
        <v>2E-005</v>
      </c>
      <c r="D389" s="39" t="n">
        <v>0.01316</v>
      </c>
      <c r="E389" s="40" t="n">
        <v>5E-005</v>
      </c>
      <c r="F389" s="39" t="n">
        <v>0.09819</v>
      </c>
      <c r="G389" s="40" t="n">
        <v>0.00029</v>
      </c>
      <c r="H389" s="39" t="n">
        <v>0.30968</v>
      </c>
      <c r="I389" s="40" t="n">
        <v>6E-005</v>
      </c>
      <c r="J389" s="39" t="n">
        <v>0.40737</v>
      </c>
      <c r="K389" s="40" t="n">
        <v>9E-005</v>
      </c>
      <c r="L389" s="39" t="n">
        <v>0.5922</v>
      </c>
      <c r="M389" s="40" t="n">
        <v>0.00016</v>
      </c>
      <c r="N389" s="39" t="n">
        <v>0.38215</v>
      </c>
      <c r="O389" s="40" t="n">
        <v>6E-005</v>
      </c>
      <c r="P389" s="39" t="n">
        <v>0.55632</v>
      </c>
      <c r="Q389" s="40" t="n">
        <v>0.00016</v>
      </c>
      <c r="R389" s="39" t="n">
        <v>0.59635</v>
      </c>
      <c r="S389" s="40" t="n">
        <v>6E-005</v>
      </c>
      <c r="T389" s="39" t="n">
        <v>0.55242</v>
      </c>
      <c r="U389" s="40" t="n">
        <v>0.00027</v>
      </c>
      <c r="V389" s="39" t="n">
        <v>0.67526</v>
      </c>
      <c r="W389" s="40" t="n">
        <v>0.0001</v>
      </c>
      <c r="X389" s="39" t="n">
        <v>0.38948</v>
      </c>
      <c r="Y389" s="40" t="n">
        <v>0.00064</v>
      </c>
    </row>
    <row r="390" customFormat="false" ht="15" hidden="false" customHeight="false" outlineLevel="0" collapsed="false">
      <c r="A390" s="38" t="n">
        <v>445</v>
      </c>
      <c r="B390" s="39" t="n">
        <v>0.02718</v>
      </c>
      <c r="C390" s="40" t="n">
        <v>1E-005</v>
      </c>
      <c r="D390" s="39" t="n">
        <v>0.01046</v>
      </c>
      <c r="E390" s="40" t="n">
        <v>7E-005</v>
      </c>
      <c r="F390" s="39" t="n">
        <v>0.09496</v>
      </c>
      <c r="G390" s="40" t="n">
        <v>0.00023</v>
      </c>
      <c r="H390" s="39" t="n">
        <v>0.30928</v>
      </c>
      <c r="I390" s="40" t="n">
        <v>5E-005</v>
      </c>
      <c r="J390" s="39" t="n">
        <v>0.4063</v>
      </c>
      <c r="K390" s="40" t="n">
        <v>8E-005</v>
      </c>
      <c r="L390" s="39" t="n">
        <v>0.58993</v>
      </c>
      <c r="M390" s="40" t="n">
        <v>0.00016</v>
      </c>
      <c r="N390" s="39" t="n">
        <v>0.38134</v>
      </c>
      <c r="O390" s="40" t="n">
        <v>7E-005</v>
      </c>
      <c r="P390" s="39" t="n">
        <v>0.55439</v>
      </c>
      <c r="Q390" s="40" t="n">
        <v>0.00016</v>
      </c>
      <c r="R390" s="39" t="n">
        <v>0.59563</v>
      </c>
      <c r="S390" s="40" t="n">
        <v>6E-005</v>
      </c>
      <c r="T390" s="39" t="n">
        <v>0.54918</v>
      </c>
      <c r="U390" s="40" t="n">
        <v>0.00028</v>
      </c>
      <c r="V390" s="39" t="n">
        <v>0.67388</v>
      </c>
      <c r="W390" s="40" t="n">
        <v>0.00011</v>
      </c>
      <c r="X390" s="39" t="n">
        <v>0.3819</v>
      </c>
      <c r="Y390" s="40" t="n">
        <v>0.00065</v>
      </c>
    </row>
    <row r="391" customFormat="false" ht="15" hidden="false" customHeight="false" outlineLevel="0" collapsed="false">
      <c r="A391" s="38" t="n">
        <v>446</v>
      </c>
      <c r="B391" s="39" t="n">
        <v>0.02709</v>
      </c>
      <c r="C391" s="40" t="n">
        <v>1E-005</v>
      </c>
      <c r="D391" s="39" t="n">
        <v>0.00901</v>
      </c>
      <c r="E391" s="40" t="n">
        <v>8E-005</v>
      </c>
      <c r="F391" s="39" t="n">
        <v>0.09266</v>
      </c>
      <c r="G391" s="40" t="n">
        <v>0.00017</v>
      </c>
      <c r="H391" s="39" t="n">
        <v>0.30873</v>
      </c>
      <c r="I391" s="40" t="n">
        <v>5E-005</v>
      </c>
      <c r="J391" s="39" t="n">
        <v>0.40504</v>
      </c>
      <c r="K391" s="40" t="n">
        <v>8E-005</v>
      </c>
      <c r="L391" s="39" t="n">
        <v>0.58788</v>
      </c>
      <c r="M391" s="40" t="n">
        <v>0.00017</v>
      </c>
      <c r="N391" s="39" t="n">
        <v>0.38059</v>
      </c>
      <c r="O391" s="40" t="n">
        <v>7E-005</v>
      </c>
      <c r="P391" s="39" t="n">
        <v>0.55269</v>
      </c>
      <c r="Q391" s="40" t="n">
        <v>0.00015</v>
      </c>
      <c r="R391" s="39" t="n">
        <v>0.59473</v>
      </c>
      <c r="S391" s="40" t="n">
        <v>6E-005</v>
      </c>
      <c r="T391" s="39" t="n">
        <v>0.54582</v>
      </c>
      <c r="U391" s="40" t="n">
        <v>0.00028</v>
      </c>
      <c r="V391" s="39" t="n">
        <v>0.67245</v>
      </c>
      <c r="W391" s="40" t="n">
        <v>0.00011</v>
      </c>
      <c r="X391" s="39" t="n">
        <v>0.37392</v>
      </c>
      <c r="Y391" s="40" t="n">
        <v>0.00066</v>
      </c>
    </row>
    <row r="392" customFormat="false" ht="15" hidden="false" customHeight="false" outlineLevel="0" collapsed="false">
      <c r="A392" s="38" t="n">
        <v>447</v>
      </c>
      <c r="B392" s="39" t="n">
        <v>0.02641</v>
      </c>
      <c r="C392" s="40" t="n">
        <v>1E-005</v>
      </c>
      <c r="D392" s="39" t="n">
        <v>0.00999</v>
      </c>
      <c r="E392" s="40" t="n">
        <v>0.0001</v>
      </c>
      <c r="F392" s="39" t="n">
        <v>0.0912</v>
      </c>
      <c r="G392" s="40" t="n">
        <v>0.00012</v>
      </c>
      <c r="H392" s="39" t="n">
        <v>0.30762</v>
      </c>
      <c r="I392" s="40" t="n">
        <v>5E-005</v>
      </c>
      <c r="J392" s="39" t="n">
        <v>0.40394</v>
      </c>
      <c r="K392" s="40" t="n">
        <v>8E-005</v>
      </c>
      <c r="L392" s="39" t="n">
        <v>0.58604</v>
      </c>
      <c r="M392" s="40" t="n">
        <v>0.00017</v>
      </c>
      <c r="N392" s="39" t="n">
        <v>0.3796</v>
      </c>
      <c r="O392" s="40" t="n">
        <v>6E-005</v>
      </c>
      <c r="P392" s="39" t="n">
        <v>0.55079</v>
      </c>
      <c r="Q392" s="40" t="n">
        <v>0.00015</v>
      </c>
      <c r="R392" s="39" t="n">
        <v>0.59409</v>
      </c>
      <c r="S392" s="40" t="n">
        <v>5E-005</v>
      </c>
      <c r="T392" s="39" t="n">
        <v>0.54255</v>
      </c>
      <c r="U392" s="40" t="n">
        <v>0.00028</v>
      </c>
      <c r="V392" s="39" t="n">
        <v>0.67136</v>
      </c>
      <c r="W392" s="40" t="n">
        <v>0.00011</v>
      </c>
      <c r="X392" s="39" t="n">
        <v>0.36596</v>
      </c>
      <c r="Y392" s="40" t="n">
        <v>0.00066</v>
      </c>
    </row>
    <row r="393" customFormat="false" ht="15" hidden="false" customHeight="false" outlineLevel="0" collapsed="false">
      <c r="A393" s="38" t="n">
        <v>448</v>
      </c>
      <c r="B393" s="39" t="n">
        <v>0.02644</v>
      </c>
      <c r="C393" s="40" t="n">
        <v>1E-005</v>
      </c>
      <c r="D393" s="39" t="n">
        <v>0.00815</v>
      </c>
      <c r="E393" s="40" t="n">
        <v>0.0001</v>
      </c>
      <c r="F393" s="39" t="n">
        <v>0.09002</v>
      </c>
      <c r="G393" s="40" t="n">
        <v>8E-005</v>
      </c>
      <c r="H393" s="39" t="n">
        <v>0.30739</v>
      </c>
      <c r="I393" s="40" t="n">
        <v>5E-005</v>
      </c>
      <c r="J393" s="39" t="n">
        <v>0.40311</v>
      </c>
      <c r="K393" s="40" t="n">
        <v>8E-005</v>
      </c>
      <c r="L393" s="39" t="n">
        <v>0.58391</v>
      </c>
      <c r="M393" s="40" t="n">
        <v>0.00018</v>
      </c>
      <c r="N393" s="39" t="n">
        <v>0.37906</v>
      </c>
      <c r="O393" s="40" t="n">
        <v>6E-005</v>
      </c>
      <c r="P393" s="39" t="n">
        <v>0.549</v>
      </c>
      <c r="Q393" s="40" t="n">
        <v>0.00015</v>
      </c>
      <c r="R393" s="39" t="n">
        <v>0.5936</v>
      </c>
      <c r="S393" s="40" t="n">
        <v>5E-005</v>
      </c>
      <c r="T393" s="39" t="n">
        <v>0.53909</v>
      </c>
      <c r="U393" s="40" t="n">
        <v>0.00028</v>
      </c>
      <c r="V393" s="39" t="n">
        <v>0.66995</v>
      </c>
      <c r="W393" s="40" t="n">
        <v>0.00011</v>
      </c>
      <c r="X393" s="39" t="n">
        <v>0.35806</v>
      </c>
      <c r="Y393" s="40" t="n">
        <v>0.00067</v>
      </c>
    </row>
    <row r="394" customFormat="false" ht="15" hidden="false" customHeight="false" outlineLevel="0" collapsed="false">
      <c r="A394" s="38" t="n">
        <v>449</v>
      </c>
      <c r="B394" s="39" t="n">
        <v>0.0267</v>
      </c>
      <c r="C394" s="40" t="n">
        <v>1E-005</v>
      </c>
      <c r="D394" s="39" t="n">
        <v>0.00679</v>
      </c>
      <c r="E394" s="40" t="n">
        <v>6E-005</v>
      </c>
      <c r="F394" s="39" t="n">
        <v>0.08896</v>
      </c>
      <c r="G394" s="40" t="n">
        <v>5E-005</v>
      </c>
      <c r="H394" s="39" t="n">
        <v>0.30675</v>
      </c>
      <c r="I394" s="40" t="n">
        <v>5E-005</v>
      </c>
      <c r="J394" s="39" t="n">
        <v>0.40241</v>
      </c>
      <c r="K394" s="40" t="n">
        <v>8E-005</v>
      </c>
      <c r="L394" s="39" t="n">
        <v>0.58168</v>
      </c>
      <c r="M394" s="40" t="n">
        <v>0.00018</v>
      </c>
      <c r="N394" s="39" t="n">
        <v>0.37807</v>
      </c>
      <c r="O394" s="40" t="n">
        <v>6E-005</v>
      </c>
      <c r="P394" s="39" t="n">
        <v>0.54723</v>
      </c>
      <c r="Q394" s="40" t="n">
        <v>0.00014</v>
      </c>
      <c r="R394" s="39" t="n">
        <v>0.59296</v>
      </c>
      <c r="S394" s="40" t="n">
        <v>5E-005</v>
      </c>
      <c r="T394" s="39" t="n">
        <v>0.53574</v>
      </c>
      <c r="U394" s="40" t="n">
        <v>0.00029</v>
      </c>
      <c r="V394" s="39" t="n">
        <v>0.66844</v>
      </c>
      <c r="W394" s="40" t="n">
        <v>0.00011</v>
      </c>
      <c r="X394" s="39" t="n">
        <v>0.34981</v>
      </c>
      <c r="Y394" s="40" t="n">
        <v>0.00068</v>
      </c>
    </row>
    <row r="395" customFormat="false" ht="15" hidden="false" customHeight="false" outlineLevel="0" collapsed="false">
      <c r="A395" s="38" t="n">
        <v>450</v>
      </c>
      <c r="B395" s="39" t="n">
        <v>0.02664</v>
      </c>
      <c r="C395" s="40" t="n">
        <v>1E-005</v>
      </c>
      <c r="D395" s="39" t="n">
        <v>0.00693</v>
      </c>
      <c r="E395" s="40" t="n">
        <v>2E-005</v>
      </c>
      <c r="F395" s="39" t="n">
        <v>0.08857</v>
      </c>
      <c r="G395" s="40" t="n">
        <v>4E-005</v>
      </c>
      <c r="H395" s="39" t="n">
        <v>0.30596</v>
      </c>
      <c r="I395" s="40" t="n">
        <v>6E-005</v>
      </c>
      <c r="J395" s="39" t="n">
        <v>0.40161</v>
      </c>
      <c r="K395" s="40" t="n">
        <v>7E-005</v>
      </c>
      <c r="L395" s="39" t="n">
        <v>0.57956</v>
      </c>
      <c r="M395" s="40" t="n">
        <v>0.00018</v>
      </c>
      <c r="N395" s="39" t="n">
        <v>0.37755</v>
      </c>
      <c r="O395" s="40" t="n">
        <v>6E-005</v>
      </c>
      <c r="P395" s="39" t="n">
        <v>0.54552</v>
      </c>
      <c r="Q395" s="40" t="n">
        <v>0.00015</v>
      </c>
      <c r="R395" s="39" t="n">
        <v>0.59234</v>
      </c>
      <c r="S395" s="40" t="n">
        <v>5E-005</v>
      </c>
      <c r="T395" s="39" t="n">
        <v>0.53218</v>
      </c>
      <c r="U395" s="40" t="n">
        <v>0.00028</v>
      </c>
      <c r="V395" s="39" t="n">
        <v>0.66721</v>
      </c>
      <c r="W395" s="40" t="n">
        <v>0.00011</v>
      </c>
      <c r="X395" s="39" t="n">
        <v>0.3416</v>
      </c>
      <c r="Y395" s="40" t="n">
        <v>0.00069</v>
      </c>
    </row>
    <row r="396" customFormat="false" ht="15" hidden="false" customHeight="false" outlineLevel="0" collapsed="false">
      <c r="A396" s="38" t="n">
        <v>451</v>
      </c>
      <c r="B396" s="39" t="n">
        <v>0.02626</v>
      </c>
      <c r="C396" s="40" t="n">
        <v>0</v>
      </c>
      <c r="D396" s="39" t="n">
        <v>0.00536</v>
      </c>
      <c r="E396" s="40" t="n">
        <v>4E-005</v>
      </c>
      <c r="F396" s="39" t="n">
        <v>0.0886</v>
      </c>
      <c r="G396" s="40" t="n">
        <v>3E-005</v>
      </c>
      <c r="H396" s="39" t="n">
        <v>0.3053</v>
      </c>
      <c r="I396" s="40" t="n">
        <v>5E-005</v>
      </c>
      <c r="J396" s="39" t="n">
        <v>0.40044</v>
      </c>
      <c r="K396" s="40" t="n">
        <v>7E-005</v>
      </c>
      <c r="L396" s="39" t="n">
        <v>0.57744</v>
      </c>
      <c r="M396" s="40" t="n">
        <v>0.00019</v>
      </c>
      <c r="N396" s="39" t="n">
        <v>0.37696</v>
      </c>
      <c r="O396" s="40" t="n">
        <v>6E-005</v>
      </c>
      <c r="P396" s="39" t="n">
        <v>0.54377</v>
      </c>
      <c r="Q396" s="40" t="n">
        <v>0.00015</v>
      </c>
      <c r="R396" s="39" t="n">
        <v>0.59171</v>
      </c>
      <c r="S396" s="40" t="n">
        <v>5E-005</v>
      </c>
      <c r="T396" s="39" t="n">
        <v>0.52881</v>
      </c>
      <c r="U396" s="40" t="n">
        <v>0.00028</v>
      </c>
      <c r="V396" s="39" t="n">
        <v>0.66595</v>
      </c>
      <c r="W396" s="40" t="n">
        <v>0.00011</v>
      </c>
      <c r="X396" s="39" t="n">
        <v>0.3333</v>
      </c>
      <c r="Y396" s="40" t="n">
        <v>0.0007</v>
      </c>
    </row>
    <row r="397" customFormat="false" ht="15" hidden="false" customHeight="false" outlineLevel="0" collapsed="false">
      <c r="A397" s="38" t="n">
        <v>452</v>
      </c>
      <c r="B397" s="39" t="n">
        <v>0.02636</v>
      </c>
      <c r="C397" s="40" t="n">
        <v>1E-005</v>
      </c>
      <c r="D397" s="39" t="n">
        <v>0.00473</v>
      </c>
      <c r="E397" s="40" t="n">
        <v>2E-005</v>
      </c>
      <c r="F397" s="39" t="n">
        <v>0.08807</v>
      </c>
      <c r="G397" s="40" t="n">
        <v>2E-005</v>
      </c>
      <c r="H397" s="39" t="n">
        <v>0.30475</v>
      </c>
      <c r="I397" s="40" t="n">
        <v>6E-005</v>
      </c>
      <c r="J397" s="39" t="n">
        <v>0.39938</v>
      </c>
      <c r="K397" s="40" t="n">
        <v>8E-005</v>
      </c>
      <c r="L397" s="39" t="n">
        <v>0.57524</v>
      </c>
      <c r="M397" s="40" t="n">
        <v>0.00019</v>
      </c>
      <c r="N397" s="39" t="n">
        <v>0.3761</v>
      </c>
      <c r="O397" s="40" t="n">
        <v>7E-005</v>
      </c>
      <c r="P397" s="39" t="n">
        <v>0.54206</v>
      </c>
      <c r="Q397" s="40" t="n">
        <v>0.00016</v>
      </c>
      <c r="R397" s="39" t="n">
        <v>0.59091</v>
      </c>
      <c r="S397" s="40" t="n">
        <v>5E-005</v>
      </c>
      <c r="T397" s="39" t="n">
        <v>0.52536</v>
      </c>
      <c r="U397" s="40" t="n">
        <v>0.00028</v>
      </c>
      <c r="V397" s="39" t="n">
        <v>0.66457</v>
      </c>
      <c r="W397" s="40" t="n">
        <v>0.00011</v>
      </c>
      <c r="X397" s="39" t="n">
        <v>0.32479</v>
      </c>
      <c r="Y397" s="40" t="n">
        <v>0.00071</v>
      </c>
    </row>
    <row r="398" customFormat="false" ht="15" hidden="false" customHeight="false" outlineLevel="0" collapsed="false">
      <c r="A398" s="38" t="n">
        <v>453</v>
      </c>
      <c r="B398" s="39" t="n">
        <v>0.02612</v>
      </c>
      <c r="C398" s="40" t="n">
        <v>2E-005</v>
      </c>
      <c r="D398" s="39" t="n">
        <v>0.0059</v>
      </c>
      <c r="E398" s="40" t="n">
        <v>2E-005</v>
      </c>
      <c r="F398" s="39" t="n">
        <v>0.08764</v>
      </c>
      <c r="G398" s="40" t="n">
        <v>2E-005</v>
      </c>
      <c r="H398" s="39" t="n">
        <v>0.30405</v>
      </c>
      <c r="I398" s="40" t="n">
        <v>6E-005</v>
      </c>
      <c r="J398" s="39" t="n">
        <v>0.39857</v>
      </c>
      <c r="K398" s="40" t="n">
        <v>8E-005</v>
      </c>
      <c r="L398" s="39" t="n">
        <v>0.57273</v>
      </c>
      <c r="M398" s="40" t="n">
        <v>0.00019</v>
      </c>
      <c r="N398" s="39" t="n">
        <v>0.3753</v>
      </c>
      <c r="O398" s="40" t="n">
        <v>7E-005</v>
      </c>
      <c r="P398" s="39" t="n">
        <v>0.54015</v>
      </c>
      <c r="Q398" s="40" t="n">
        <v>0.00017</v>
      </c>
      <c r="R398" s="39" t="n">
        <v>0.59043</v>
      </c>
      <c r="S398" s="40" t="n">
        <v>5E-005</v>
      </c>
      <c r="T398" s="39" t="n">
        <v>0.52222</v>
      </c>
      <c r="U398" s="40" t="n">
        <v>0.00028</v>
      </c>
      <c r="V398" s="39" t="n">
        <v>0.6632</v>
      </c>
      <c r="W398" s="40" t="n">
        <v>0.00012</v>
      </c>
      <c r="X398" s="39" t="n">
        <v>0.31623</v>
      </c>
      <c r="Y398" s="40" t="n">
        <v>0.00072</v>
      </c>
    </row>
    <row r="399" customFormat="false" ht="15" hidden="false" customHeight="false" outlineLevel="0" collapsed="false">
      <c r="A399" s="38" t="n">
        <v>454</v>
      </c>
      <c r="B399" s="39" t="n">
        <v>0.02589</v>
      </c>
      <c r="C399" s="40" t="n">
        <v>2E-005</v>
      </c>
      <c r="D399" s="39" t="n">
        <v>0.0075</v>
      </c>
      <c r="E399" s="40" t="n">
        <v>3E-005</v>
      </c>
      <c r="F399" s="39" t="n">
        <v>0.08697</v>
      </c>
      <c r="G399" s="40" t="n">
        <v>3E-005</v>
      </c>
      <c r="H399" s="39" t="n">
        <v>0.30325</v>
      </c>
      <c r="I399" s="40" t="n">
        <v>6E-005</v>
      </c>
      <c r="J399" s="39" t="n">
        <v>0.3977</v>
      </c>
      <c r="K399" s="40" t="n">
        <v>8E-005</v>
      </c>
      <c r="L399" s="39" t="n">
        <v>0.57056</v>
      </c>
      <c r="M399" s="40" t="n">
        <v>0.00019</v>
      </c>
      <c r="N399" s="39" t="n">
        <v>0.37443</v>
      </c>
      <c r="O399" s="40" t="n">
        <v>7E-005</v>
      </c>
      <c r="P399" s="39" t="n">
        <v>0.53796</v>
      </c>
      <c r="Q399" s="40" t="n">
        <v>0.00017</v>
      </c>
      <c r="R399" s="39" t="n">
        <v>0.58981</v>
      </c>
      <c r="S399" s="40" t="n">
        <v>5E-005</v>
      </c>
      <c r="T399" s="39" t="n">
        <v>0.51883</v>
      </c>
      <c r="U399" s="40" t="n">
        <v>0.00028</v>
      </c>
      <c r="V399" s="39" t="n">
        <v>0.66173</v>
      </c>
      <c r="W399" s="40" t="n">
        <v>0.00012</v>
      </c>
      <c r="X399" s="39" t="n">
        <v>0.30749</v>
      </c>
      <c r="Y399" s="40" t="n">
        <v>0.00074</v>
      </c>
    </row>
    <row r="400" customFormat="false" ht="15" hidden="false" customHeight="false" outlineLevel="0" collapsed="false">
      <c r="A400" s="38" t="n">
        <v>455</v>
      </c>
      <c r="B400" s="39" t="n">
        <v>0.02565</v>
      </c>
      <c r="C400" s="40" t="n">
        <v>2E-005</v>
      </c>
      <c r="D400" s="39" t="n">
        <v>0.00506</v>
      </c>
      <c r="E400" s="40" t="n">
        <v>4E-005</v>
      </c>
      <c r="F400" s="39" t="n">
        <v>0.08711</v>
      </c>
      <c r="G400" s="40" t="n">
        <v>3E-005</v>
      </c>
      <c r="H400" s="39" t="n">
        <v>0.30254</v>
      </c>
      <c r="I400" s="40" t="n">
        <v>6E-005</v>
      </c>
      <c r="J400" s="39" t="n">
        <v>0.39679</v>
      </c>
      <c r="K400" s="40" t="n">
        <v>7E-005</v>
      </c>
      <c r="L400" s="39" t="n">
        <v>0.56823</v>
      </c>
      <c r="M400" s="40" t="n">
        <v>0.00019</v>
      </c>
      <c r="N400" s="39" t="n">
        <v>0.37357</v>
      </c>
      <c r="O400" s="40" t="n">
        <v>7E-005</v>
      </c>
      <c r="P400" s="39" t="n">
        <v>0.53578</v>
      </c>
      <c r="Q400" s="40" t="n">
        <v>0.00017</v>
      </c>
      <c r="R400" s="39" t="n">
        <v>0.58932</v>
      </c>
      <c r="S400" s="40" t="n">
        <v>5E-005</v>
      </c>
      <c r="T400" s="39" t="n">
        <v>0.51563</v>
      </c>
      <c r="U400" s="40" t="n">
        <v>0.00029</v>
      </c>
      <c r="V400" s="39" t="n">
        <v>0.66044</v>
      </c>
      <c r="W400" s="40" t="n">
        <v>0.00013</v>
      </c>
      <c r="X400" s="39" t="n">
        <v>0.29842</v>
      </c>
      <c r="Y400" s="40" t="n">
        <v>0.00075</v>
      </c>
    </row>
    <row r="401" customFormat="false" ht="15" hidden="false" customHeight="false" outlineLevel="0" collapsed="false">
      <c r="A401" s="38" t="n">
        <v>456</v>
      </c>
      <c r="B401" s="39" t="n">
        <v>0.02529</v>
      </c>
      <c r="C401" s="40" t="n">
        <v>3E-005</v>
      </c>
      <c r="D401" s="39" t="n">
        <v>0.00353</v>
      </c>
      <c r="E401" s="40" t="n">
        <v>6E-005</v>
      </c>
      <c r="F401" s="39" t="n">
        <v>0.087</v>
      </c>
      <c r="G401" s="40" t="n">
        <v>2E-005</v>
      </c>
      <c r="H401" s="39" t="n">
        <v>0.30205</v>
      </c>
      <c r="I401" s="40" t="n">
        <v>6E-005</v>
      </c>
      <c r="J401" s="39" t="n">
        <v>0.39586</v>
      </c>
      <c r="K401" s="40" t="n">
        <v>7E-005</v>
      </c>
      <c r="L401" s="39" t="n">
        <v>0.56619</v>
      </c>
      <c r="M401" s="40" t="n">
        <v>0.00019</v>
      </c>
      <c r="N401" s="39" t="n">
        <v>0.37251</v>
      </c>
      <c r="O401" s="40" t="n">
        <v>6E-005</v>
      </c>
      <c r="P401" s="39" t="n">
        <v>0.53359</v>
      </c>
      <c r="Q401" s="40" t="n">
        <v>0.00017</v>
      </c>
      <c r="R401" s="39" t="n">
        <v>0.5886</v>
      </c>
      <c r="S401" s="40" t="n">
        <v>5E-005</v>
      </c>
      <c r="T401" s="39" t="n">
        <v>0.51206</v>
      </c>
      <c r="U401" s="40" t="n">
        <v>0.00028</v>
      </c>
      <c r="V401" s="39" t="n">
        <v>0.65872</v>
      </c>
      <c r="W401" s="40" t="n">
        <v>0.00013</v>
      </c>
      <c r="X401" s="39" t="n">
        <v>0.28943</v>
      </c>
      <c r="Y401" s="40" t="n">
        <v>0.00076</v>
      </c>
    </row>
    <row r="402" customFormat="false" ht="15" hidden="false" customHeight="false" outlineLevel="0" collapsed="false">
      <c r="A402" s="38" t="n">
        <v>457</v>
      </c>
      <c r="B402" s="39" t="n">
        <v>0.02516</v>
      </c>
      <c r="C402" s="40" t="n">
        <v>3E-005</v>
      </c>
      <c r="D402" s="39" t="n">
        <v>0.00329</v>
      </c>
      <c r="E402" s="40" t="n">
        <v>8E-005</v>
      </c>
      <c r="F402" s="39" t="n">
        <v>0.08612</v>
      </c>
      <c r="G402" s="40" t="n">
        <v>2E-005</v>
      </c>
      <c r="H402" s="39" t="n">
        <v>0.30128</v>
      </c>
      <c r="I402" s="40" t="n">
        <v>5E-005</v>
      </c>
      <c r="J402" s="39" t="n">
        <v>0.39495</v>
      </c>
      <c r="K402" s="40" t="n">
        <v>7E-005</v>
      </c>
      <c r="L402" s="39" t="n">
        <v>0.56372</v>
      </c>
      <c r="M402" s="40" t="n">
        <v>0.00019</v>
      </c>
      <c r="N402" s="39" t="n">
        <v>0.37191</v>
      </c>
      <c r="O402" s="40" t="n">
        <v>6E-005</v>
      </c>
      <c r="P402" s="39" t="n">
        <v>0.53163</v>
      </c>
      <c r="Q402" s="40" t="n">
        <v>0.00017</v>
      </c>
      <c r="R402" s="39" t="n">
        <v>0.58804</v>
      </c>
      <c r="S402" s="40" t="n">
        <v>5E-005</v>
      </c>
      <c r="T402" s="39" t="n">
        <v>0.50834</v>
      </c>
      <c r="U402" s="40" t="n">
        <v>0.00029</v>
      </c>
      <c r="V402" s="39" t="n">
        <v>0.65719</v>
      </c>
      <c r="W402" s="40" t="n">
        <v>0.00013</v>
      </c>
      <c r="X402" s="39" t="n">
        <v>0.28022</v>
      </c>
      <c r="Y402" s="40" t="n">
        <v>0.00078</v>
      </c>
    </row>
    <row r="403" customFormat="false" ht="15" hidden="false" customHeight="false" outlineLevel="0" collapsed="false">
      <c r="A403" s="38" t="n">
        <v>458</v>
      </c>
      <c r="B403" s="39" t="n">
        <v>0.0246</v>
      </c>
      <c r="C403" s="40" t="n">
        <v>2E-005</v>
      </c>
      <c r="D403" s="39" t="n">
        <v>0.00255</v>
      </c>
      <c r="E403" s="40" t="n">
        <v>9E-005</v>
      </c>
      <c r="F403" s="39" t="n">
        <v>0.08566</v>
      </c>
      <c r="G403" s="40" t="n">
        <v>2E-005</v>
      </c>
      <c r="H403" s="39" t="n">
        <v>0.30059</v>
      </c>
      <c r="I403" s="40" t="n">
        <v>5E-005</v>
      </c>
      <c r="J403" s="39" t="n">
        <v>0.39419</v>
      </c>
      <c r="K403" s="40" t="n">
        <v>7E-005</v>
      </c>
      <c r="L403" s="39" t="n">
        <v>0.56138</v>
      </c>
      <c r="M403" s="40" t="n">
        <v>0.0002</v>
      </c>
      <c r="N403" s="39" t="n">
        <v>0.37154</v>
      </c>
      <c r="O403" s="40" t="n">
        <v>6E-005</v>
      </c>
      <c r="P403" s="39" t="n">
        <v>0.52993</v>
      </c>
      <c r="Q403" s="40" t="n">
        <v>0.00017</v>
      </c>
      <c r="R403" s="39" t="n">
        <v>0.58752</v>
      </c>
      <c r="S403" s="40" t="n">
        <v>5E-005</v>
      </c>
      <c r="T403" s="39" t="n">
        <v>0.50484</v>
      </c>
      <c r="U403" s="40" t="n">
        <v>0.00029</v>
      </c>
      <c r="V403" s="39" t="n">
        <v>0.65555</v>
      </c>
      <c r="W403" s="40" t="n">
        <v>0.00013</v>
      </c>
      <c r="X403" s="39" t="n">
        <v>0.27077</v>
      </c>
      <c r="Y403" s="40" t="n">
        <v>0.00079</v>
      </c>
    </row>
    <row r="404" customFormat="false" ht="15" hidden="false" customHeight="false" outlineLevel="0" collapsed="false">
      <c r="A404" s="38" t="n">
        <v>459</v>
      </c>
      <c r="B404" s="39" t="n">
        <v>0.02427</v>
      </c>
      <c r="C404" s="40" t="n">
        <v>2E-005</v>
      </c>
      <c r="D404" s="39" t="n">
        <v>0.00205</v>
      </c>
      <c r="E404" s="40" t="n">
        <v>5E-005</v>
      </c>
      <c r="F404" s="39" t="n">
        <v>0.08614</v>
      </c>
      <c r="G404" s="40" t="n">
        <v>3E-005</v>
      </c>
      <c r="H404" s="39" t="n">
        <v>0.30009</v>
      </c>
      <c r="I404" s="40" t="n">
        <v>5E-005</v>
      </c>
      <c r="J404" s="39" t="n">
        <v>0.39332</v>
      </c>
      <c r="K404" s="40" t="n">
        <v>7E-005</v>
      </c>
      <c r="L404" s="39" t="n">
        <v>0.55888</v>
      </c>
      <c r="M404" s="40" t="n">
        <v>0.00021</v>
      </c>
      <c r="N404" s="39" t="n">
        <v>0.37075</v>
      </c>
      <c r="O404" s="40" t="n">
        <v>5E-005</v>
      </c>
      <c r="P404" s="39" t="n">
        <v>0.52809</v>
      </c>
      <c r="Q404" s="40" t="n">
        <v>0.00016</v>
      </c>
      <c r="R404" s="39" t="n">
        <v>0.58691</v>
      </c>
      <c r="S404" s="40" t="n">
        <v>5E-005</v>
      </c>
      <c r="T404" s="39" t="n">
        <v>0.50149</v>
      </c>
      <c r="U404" s="40" t="n">
        <v>0.00029</v>
      </c>
      <c r="V404" s="39" t="n">
        <v>0.6542</v>
      </c>
      <c r="W404" s="40" t="n">
        <v>0.00013</v>
      </c>
      <c r="X404" s="39" t="n">
        <v>0.26106</v>
      </c>
      <c r="Y404" s="40" t="n">
        <v>0.00081</v>
      </c>
    </row>
    <row r="405" customFormat="false" ht="15" hidden="false" customHeight="false" outlineLevel="0" collapsed="false">
      <c r="A405" s="38" t="n">
        <v>460</v>
      </c>
      <c r="B405" s="39" t="n">
        <v>0.02432</v>
      </c>
      <c r="C405" s="40" t="n">
        <v>1E-005</v>
      </c>
      <c r="D405" s="39" t="n">
        <v>0.00063</v>
      </c>
      <c r="E405" s="40" t="n">
        <v>4E-005</v>
      </c>
      <c r="F405" s="39" t="n">
        <v>0.08597</v>
      </c>
      <c r="G405" s="40" t="n">
        <v>3E-005</v>
      </c>
      <c r="H405" s="39" t="n">
        <v>0.29939</v>
      </c>
      <c r="I405" s="40" t="n">
        <v>6E-005</v>
      </c>
      <c r="J405" s="39" t="n">
        <v>0.39267</v>
      </c>
      <c r="K405" s="40" t="n">
        <v>7E-005</v>
      </c>
      <c r="L405" s="39" t="n">
        <v>0.55624</v>
      </c>
      <c r="M405" s="40" t="n">
        <v>0.00021</v>
      </c>
      <c r="N405" s="39" t="n">
        <v>0.36978</v>
      </c>
      <c r="O405" s="40" t="n">
        <v>5E-005</v>
      </c>
      <c r="P405" s="39" t="n">
        <v>0.52588</v>
      </c>
      <c r="Q405" s="40" t="n">
        <v>0.00017</v>
      </c>
      <c r="R405" s="39" t="n">
        <v>0.58626</v>
      </c>
      <c r="S405" s="40" t="n">
        <v>5E-005</v>
      </c>
      <c r="T405" s="39" t="n">
        <v>0.49825</v>
      </c>
      <c r="U405" s="40" t="n">
        <v>0.00029</v>
      </c>
      <c r="V405" s="39" t="n">
        <v>0.65276</v>
      </c>
      <c r="W405" s="40" t="n">
        <v>0.00012</v>
      </c>
      <c r="X405" s="39" t="n">
        <v>0.25127</v>
      </c>
      <c r="Y405" s="40" t="n">
        <v>0.00083</v>
      </c>
    </row>
    <row r="406" customFormat="false" ht="15" hidden="false" customHeight="false" outlineLevel="0" collapsed="false">
      <c r="A406" s="38" t="n">
        <v>461</v>
      </c>
      <c r="B406" s="39" t="n">
        <v>0.02432</v>
      </c>
      <c r="C406" s="40" t="n">
        <v>1E-005</v>
      </c>
      <c r="D406" s="39" t="n">
        <v>0.00096</v>
      </c>
      <c r="E406" s="40" t="n">
        <v>7E-005</v>
      </c>
      <c r="F406" s="39" t="n">
        <v>0.08501</v>
      </c>
      <c r="G406" s="40" t="n">
        <v>2E-005</v>
      </c>
      <c r="H406" s="39" t="n">
        <v>0.29861</v>
      </c>
      <c r="I406" s="40" t="n">
        <v>6E-005</v>
      </c>
      <c r="J406" s="39" t="n">
        <v>0.39168</v>
      </c>
      <c r="K406" s="40" t="n">
        <v>7E-005</v>
      </c>
      <c r="L406" s="39" t="n">
        <v>0.55386</v>
      </c>
      <c r="M406" s="40" t="n">
        <v>0.00021</v>
      </c>
      <c r="N406" s="39" t="n">
        <v>0.36919</v>
      </c>
      <c r="O406" s="40" t="n">
        <v>6E-005</v>
      </c>
      <c r="P406" s="39" t="n">
        <v>0.52376</v>
      </c>
      <c r="Q406" s="40" t="n">
        <v>0.00017</v>
      </c>
      <c r="R406" s="39" t="n">
        <v>0.58567</v>
      </c>
      <c r="S406" s="40" t="n">
        <v>5E-005</v>
      </c>
      <c r="T406" s="39" t="n">
        <v>0.49456</v>
      </c>
      <c r="U406" s="40" t="n">
        <v>0.00029</v>
      </c>
      <c r="V406" s="39" t="n">
        <v>0.65126</v>
      </c>
      <c r="W406" s="40" t="n">
        <v>0.00012</v>
      </c>
      <c r="X406" s="39" t="n">
        <v>0.24131</v>
      </c>
      <c r="Y406" s="40" t="n">
        <v>0.00084</v>
      </c>
    </row>
    <row r="407" customFormat="false" ht="15" hidden="false" customHeight="false" outlineLevel="0" collapsed="false">
      <c r="A407" s="38" t="n">
        <v>462</v>
      </c>
      <c r="B407" s="39" t="n">
        <v>0.0242</v>
      </c>
      <c r="C407" s="40" t="n">
        <v>0</v>
      </c>
      <c r="D407" s="39" t="n">
        <v>-0.00049</v>
      </c>
      <c r="E407" s="40" t="n">
        <v>6E-005</v>
      </c>
      <c r="F407" s="39" t="n">
        <v>0.08458</v>
      </c>
      <c r="G407" s="40" t="n">
        <v>3E-005</v>
      </c>
      <c r="H407" s="39" t="n">
        <v>0.2979</v>
      </c>
      <c r="I407" s="40" t="n">
        <v>6E-005</v>
      </c>
      <c r="J407" s="39" t="n">
        <v>0.39082</v>
      </c>
      <c r="K407" s="40" t="n">
        <v>7E-005</v>
      </c>
      <c r="L407" s="39" t="n">
        <v>0.55121</v>
      </c>
      <c r="M407" s="40" t="n">
        <v>0.00021</v>
      </c>
      <c r="N407" s="39" t="n">
        <v>0.36852</v>
      </c>
      <c r="O407" s="40" t="n">
        <v>6E-005</v>
      </c>
      <c r="P407" s="39" t="n">
        <v>0.52164</v>
      </c>
      <c r="Q407" s="40" t="n">
        <v>0.00018</v>
      </c>
      <c r="R407" s="39" t="n">
        <v>0.58506</v>
      </c>
      <c r="S407" s="40" t="n">
        <v>5E-005</v>
      </c>
      <c r="T407" s="39" t="n">
        <v>0.49078</v>
      </c>
      <c r="U407" s="40" t="n">
        <v>0.0003</v>
      </c>
      <c r="V407" s="39" t="n">
        <v>0.64981</v>
      </c>
      <c r="W407" s="40" t="n">
        <v>0.00012</v>
      </c>
      <c r="X407" s="39" t="n">
        <v>0.23119</v>
      </c>
      <c r="Y407" s="40" t="n">
        <v>0.00085</v>
      </c>
    </row>
    <row r="408" customFormat="false" ht="15" hidden="false" customHeight="false" outlineLevel="0" collapsed="false">
      <c r="A408" s="38" t="n">
        <v>463</v>
      </c>
      <c r="B408" s="39" t="n">
        <v>0.02423</v>
      </c>
      <c r="C408" s="40" t="n">
        <v>0</v>
      </c>
      <c r="D408" s="39" t="n">
        <v>-0.00055</v>
      </c>
      <c r="E408" s="40" t="n">
        <v>5E-005</v>
      </c>
      <c r="F408" s="39" t="n">
        <v>0.0844</v>
      </c>
      <c r="G408" s="40" t="n">
        <v>4E-005</v>
      </c>
      <c r="H408" s="39" t="n">
        <v>0.29709</v>
      </c>
      <c r="I408" s="40" t="n">
        <v>7E-005</v>
      </c>
      <c r="J408" s="39" t="n">
        <v>0.38996</v>
      </c>
      <c r="K408" s="40" t="n">
        <v>7E-005</v>
      </c>
      <c r="L408" s="39" t="n">
        <v>0.54878</v>
      </c>
      <c r="M408" s="40" t="n">
        <v>0.00022</v>
      </c>
      <c r="N408" s="39" t="n">
        <v>0.36831</v>
      </c>
      <c r="O408" s="40" t="n">
        <v>6E-005</v>
      </c>
      <c r="P408" s="39" t="n">
        <v>0.51962</v>
      </c>
      <c r="Q408" s="40" t="n">
        <v>0.00018</v>
      </c>
      <c r="R408" s="39" t="n">
        <v>0.58439</v>
      </c>
      <c r="S408" s="40" t="n">
        <v>5E-005</v>
      </c>
      <c r="T408" s="39" t="n">
        <v>0.48736</v>
      </c>
      <c r="U408" s="40" t="n">
        <v>0.0003</v>
      </c>
      <c r="V408" s="39" t="n">
        <v>0.64821</v>
      </c>
      <c r="W408" s="40" t="n">
        <v>0.00012</v>
      </c>
      <c r="X408" s="39" t="n">
        <v>0.22065</v>
      </c>
      <c r="Y408" s="40" t="n">
        <v>0.00086</v>
      </c>
    </row>
    <row r="409" customFormat="false" ht="15" hidden="false" customHeight="false" outlineLevel="0" collapsed="false">
      <c r="A409" s="38" t="n">
        <v>464</v>
      </c>
      <c r="B409" s="39" t="n">
        <v>0.02411</v>
      </c>
      <c r="C409" s="40" t="n">
        <v>1E-005</v>
      </c>
      <c r="D409" s="39" t="n">
        <v>-0.00143</v>
      </c>
      <c r="E409" s="40" t="n">
        <v>5E-005</v>
      </c>
      <c r="F409" s="39" t="n">
        <v>0.08406</v>
      </c>
      <c r="G409" s="40" t="n">
        <v>4E-005</v>
      </c>
      <c r="H409" s="39" t="n">
        <v>0.2961</v>
      </c>
      <c r="I409" s="40" t="n">
        <v>7E-005</v>
      </c>
      <c r="J409" s="39" t="n">
        <v>0.38936</v>
      </c>
      <c r="K409" s="40" t="n">
        <v>7E-005</v>
      </c>
      <c r="L409" s="39" t="n">
        <v>0.5464</v>
      </c>
      <c r="M409" s="40" t="n">
        <v>0.00022</v>
      </c>
      <c r="N409" s="39" t="n">
        <v>0.36712</v>
      </c>
      <c r="O409" s="40" t="n">
        <v>6E-005</v>
      </c>
      <c r="P409" s="39" t="n">
        <v>0.51765</v>
      </c>
      <c r="Q409" s="40" t="n">
        <v>0.00018</v>
      </c>
      <c r="R409" s="39" t="n">
        <v>0.58388</v>
      </c>
      <c r="S409" s="40" t="n">
        <v>5E-005</v>
      </c>
      <c r="T409" s="39" t="n">
        <v>0.48388</v>
      </c>
      <c r="U409" s="40" t="n">
        <v>0.0003</v>
      </c>
      <c r="V409" s="39" t="n">
        <v>0.64669</v>
      </c>
      <c r="W409" s="40" t="n">
        <v>0.00013</v>
      </c>
      <c r="X409" s="39" t="n">
        <v>0.21047</v>
      </c>
      <c r="Y409" s="40" t="n">
        <v>0.00087</v>
      </c>
    </row>
    <row r="410" customFormat="false" ht="15" hidden="false" customHeight="false" outlineLevel="0" collapsed="false">
      <c r="A410" s="38" t="n">
        <v>465</v>
      </c>
      <c r="B410" s="39" t="n">
        <v>0.02402</v>
      </c>
      <c r="C410" s="40" t="n">
        <v>2E-005</v>
      </c>
      <c r="D410" s="39" t="n">
        <v>-0.00289</v>
      </c>
      <c r="E410" s="40" t="n">
        <v>5E-005</v>
      </c>
      <c r="F410" s="39" t="n">
        <v>0.08375</v>
      </c>
      <c r="G410" s="40" t="n">
        <v>3E-005</v>
      </c>
      <c r="H410" s="39" t="n">
        <v>0.29546</v>
      </c>
      <c r="I410" s="40" t="n">
        <v>7E-005</v>
      </c>
      <c r="J410" s="39" t="n">
        <v>0.38859</v>
      </c>
      <c r="K410" s="40" t="n">
        <v>7E-005</v>
      </c>
      <c r="L410" s="39" t="n">
        <v>0.54349</v>
      </c>
      <c r="M410" s="40" t="n">
        <v>0.00022</v>
      </c>
      <c r="N410" s="39" t="n">
        <v>0.3663</v>
      </c>
      <c r="O410" s="40" t="n">
        <v>6E-005</v>
      </c>
      <c r="P410" s="39" t="n">
        <v>0.51532</v>
      </c>
      <c r="Q410" s="40" t="n">
        <v>0.00018</v>
      </c>
      <c r="R410" s="39" t="n">
        <v>0.58319</v>
      </c>
      <c r="S410" s="40" t="n">
        <v>5E-005</v>
      </c>
      <c r="T410" s="39" t="n">
        <v>0.48018</v>
      </c>
      <c r="U410" s="40" t="n">
        <v>0.0003</v>
      </c>
      <c r="V410" s="39" t="n">
        <v>0.64514</v>
      </c>
      <c r="W410" s="40" t="n">
        <v>0.00013</v>
      </c>
      <c r="X410" s="39" t="n">
        <v>0.20019</v>
      </c>
      <c r="Y410" s="40" t="n">
        <v>0.00088</v>
      </c>
    </row>
    <row r="411" customFormat="false" ht="15" hidden="false" customHeight="false" outlineLevel="0" collapsed="false">
      <c r="A411" s="38" t="n">
        <v>466</v>
      </c>
      <c r="B411" s="39" t="n">
        <v>0.02378</v>
      </c>
      <c r="C411" s="40" t="n">
        <v>2E-005</v>
      </c>
      <c r="D411" s="39" t="n">
        <v>-0.00277</v>
      </c>
      <c r="E411" s="40" t="n">
        <v>2E-005</v>
      </c>
      <c r="F411" s="39" t="n">
        <v>0.08336</v>
      </c>
      <c r="G411" s="40" t="n">
        <v>3E-005</v>
      </c>
      <c r="H411" s="39" t="n">
        <v>0.29478</v>
      </c>
      <c r="I411" s="40" t="n">
        <v>7E-005</v>
      </c>
      <c r="J411" s="39" t="n">
        <v>0.38771</v>
      </c>
      <c r="K411" s="40" t="n">
        <v>6E-005</v>
      </c>
      <c r="L411" s="39" t="n">
        <v>0.54073</v>
      </c>
      <c r="M411" s="40" t="n">
        <v>0.00022</v>
      </c>
      <c r="N411" s="39" t="n">
        <v>0.36588</v>
      </c>
      <c r="O411" s="40" t="n">
        <v>6E-005</v>
      </c>
      <c r="P411" s="39" t="n">
        <v>0.51316</v>
      </c>
      <c r="Q411" s="40" t="n">
        <v>0.00019</v>
      </c>
      <c r="R411" s="39" t="n">
        <v>0.5829</v>
      </c>
      <c r="S411" s="40" t="n">
        <v>5E-005</v>
      </c>
      <c r="T411" s="39" t="n">
        <v>0.4764</v>
      </c>
      <c r="U411" s="40" t="n">
        <v>0.0003</v>
      </c>
      <c r="V411" s="39" t="n">
        <v>0.64375</v>
      </c>
      <c r="W411" s="40" t="n">
        <v>0.00013</v>
      </c>
      <c r="X411" s="39" t="n">
        <v>0.1896</v>
      </c>
      <c r="Y411" s="40" t="n">
        <v>0.0009</v>
      </c>
    </row>
    <row r="412" customFormat="false" ht="15" hidden="false" customHeight="false" outlineLevel="0" collapsed="false">
      <c r="A412" s="38" t="n">
        <v>467</v>
      </c>
      <c r="B412" s="39" t="n">
        <v>0.02328</v>
      </c>
      <c r="C412" s="40" t="n">
        <v>2E-005</v>
      </c>
      <c r="D412" s="39" t="n">
        <v>-0.00225</v>
      </c>
      <c r="E412" s="40" t="n">
        <v>2E-005</v>
      </c>
      <c r="F412" s="39" t="n">
        <v>0.0827</v>
      </c>
      <c r="G412" s="40" t="n">
        <v>4E-005</v>
      </c>
      <c r="H412" s="39" t="n">
        <v>0.2938</v>
      </c>
      <c r="I412" s="40" t="n">
        <v>7E-005</v>
      </c>
      <c r="J412" s="39" t="n">
        <v>0.38688</v>
      </c>
      <c r="K412" s="40" t="n">
        <v>6E-005</v>
      </c>
      <c r="L412" s="39" t="n">
        <v>0.53788</v>
      </c>
      <c r="M412" s="40" t="n">
        <v>0.00023</v>
      </c>
      <c r="N412" s="39" t="n">
        <v>0.36505</v>
      </c>
      <c r="O412" s="40" t="n">
        <v>5E-005</v>
      </c>
      <c r="P412" s="39" t="n">
        <v>0.51074</v>
      </c>
      <c r="Q412" s="40" t="n">
        <v>0.00019</v>
      </c>
      <c r="R412" s="39" t="n">
        <v>0.58227</v>
      </c>
      <c r="S412" s="40" t="n">
        <v>5E-005</v>
      </c>
      <c r="T412" s="39" t="n">
        <v>0.47292</v>
      </c>
      <c r="U412" s="40" t="n">
        <v>0.00031</v>
      </c>
      <c r="V412" s="39" t="n">
        <v>0.6423</v>
      </c>
      <c r="W412" s="40" t="n">
        <v>0.00012</v>
      </c>
      <c r="X412" s="39" t="n">
        <v>0.17859</v>
      </c>
      <c r="Y412" s="40" t="n">
        <v>0.00091</v>
      </c>
    </row>
    <row r="413" customFormat="false" ht="15" hidden="false" customHeight="false" outlineLevel="0" collapsed="false">
      <c r="A413" s="38" t="n">
        <v>468</v>
      </c>
      <c r="B413" s="39" t="n">
        <v>0.02303</v>
      </c>
      <c r="C413" s="40" t="n">
        <v>2E-005</v>
      </c>
      <c r="D413" s="39" t="n">
        <v>-0.00346</v>
      </c>
      <c r="E413" s="40" t="n">
        <v>4E-005</v>
      </c>
      <c r="F413" s="39" t="n">
        <v>0.08218</v>
      </c>
      <c r="G413" s="40" t="n">
        <v>4E-005</v>
      </c>
      <c r="H413" s="39" t="n">
        <v>0.2927</v>
      </c>
      <c r="I413" s="40" t="n">
        <v>7E-005</v>
      </c>
      <c r="J413" s="39" t="n">
        <v>0.38589</v>
      </c>
      <c r="K413" s="40" t="n">
        <v>7E-005</v>
      </c>
      <c r="L413" s="39" t="n">
        <v>0.53532</v>
      </c>
      <c r="M413" s="40" t="n">
        <v>0.00023</v>
      </c>
      <c r="N413" s="39" t="n">
        <v>0.36437</v>
      </c>
      <c r="O413" s="40" t="n">
        <v>5E-005</v>
      </c>
      <c r="P413" s="39" t="n">
        <v>0.50862</v>
      </c>
      <c r="Q413" s="40" t="n">
        <v>0.00019</v>
      </c>
      <c r="R413" s="39" t="n">
        <v>0.58119</v>
      </c>
      <c r="S413" s="40" t="n">
        <v>6E-005</v>
      </c>
      <c r="T413" s="39" t="n">
        <v>0.46936</v>
      </c>
      <c r="U413" s="40" t="n">
        <v>0.00031</v>
      </c>
      <c r="V413" s="39" t="n">
        <v>0.64062</v>
      </c>
      <c r="W413" s="40" t="n">
        <v>0.00012</v>
      </c>
      <c r="X413" s="39" t="n">
        <v>0.16749</v>
      </c>
      <c r="Y413" s="40" t="n">
        <v>0.00093</v>
      </c>
    </row>
    <row r="414" customFormat="false" ht="15" hidden="false" customHeight="false" outlineLevel="0" collapsed="false">
      <c r="A414" s="38" t="n">
        <v>469</v>
      </c>
      <c r="B414" s="39" t="n">
        <v>0.02282</v>
      </c>
      <c r="C414" s="40" t="n">
        <v>2E-005</v>
      </c>
      <c r="D414" s="39" t="n">
        <v>-0.00428</v>
      </c>
      <c r="E414" s="40" t="n">
        <v>5E-005</v>
      </c>
      <c r="F414" s="39" t="n">
        <v>0.08198</v>
      </c>
      <c r="G414" s="40" t="n">
        <v>4E-005</v>
      </c>
      <c r="H414" s="39" t="n">
        <v>0.29205</v>
      </c>
      <c r="I414" s="40" t="n">
        <v>7E-005</v>
      </c>
      <c r="J414" s="39" t="n">
        <v>0.38538</v>
      </c>
      <c r="K414" s="40" t="n">
        <v>7E-005</v>
      </c>
      <c r="L414" s="39" t="n">
        <v>0.53279</v>
      </c>
      <c r="M414" s="40" t="n">
        <v>0.00024</v>
      </c>
      <c r="N414" s="39" t="n">
        <v>0.36401</v>
      </c>
      <c r="O414" s="40" t="n">
        <v>5E-005</v>
      </c>
      <c r="P414" s="39" t="n">
        <v>0.50635</v>
      </c>
      <c r="Q414" s="40" t="n">
        <v>0.00019</v>
      </c>
      <c r="R414" s="39" t="n">
        <v>0.58064</v>
      </c>
      <c r="S414" s="40" t="n">
        <v>5E-005</v>
      </c>
      <c r="T414" s="39" t="n">
        <v>0.46535</v>
      </c>
      <c r="U414" s="40" t="n">
        <v>0.00031</v>
      </c>
      <c r="V414" s="39" t="n">
        <v>0.63914</v>
      </c>
      <c r="W414" s="40" t="n">
        <v>0.00013</v>
      </c>
      <c r="X414" s="39" t="n">
        <v>0.15618</v>
      </c>
      <c r="Y414" s="40" t="n">
        <v>0.00095</v>
      </c>
    </row>
    <row r="415" customFormat="false" ht="15" hidden="false" customHeight="false" outlineLevel="0" collapsed="false">
      <c r="A415" s="38" t="n">
        <v>470</v>
      </c>
      <c r="B415" s="39" t="n">
        <v>0.02287</v>
      </c>
      <c r="C415" s="40" t="n">
        <v>1E-005</v>
      </c>
      <c r="D415" s="39" t="n">
        <v>-0.00299</v>
      </c>
      <c r="E415" s="40" t="n">
        <v>8E-005</v>
      </c>
      <c r="F415" s="39" t="n">
        <v>0.08167</v>
      </c>
      <c r="G415" s="40" t="n">
        <v>4E-005</v>
      </c>
      <c r="H415" s="39" t="n">
        <v>0.29125</v>
      </c>
      <c r="I415" s="40" t="n">
        <v>7E-005</v>
      </c>
      <c r="J415" s="39" t="n">
        <v>0.38469</v>
      </c>
      <c r="K415" s="40" t="n">
        <v>6E-005</v>
      </c>
      <c r="L415" s="39" t="n">
        <v>0.52991</v>
      </c>
      <c r="M415" s="40" t="n">
        <v>0.00024</v>
      </c>
      <c r="N415" s="39" t="n">
        <v>0.36337</v>
      </c>
      <c r="O415" s="40" t="n">
        <v>5E-005</v>
      </c>
      <c r="P415" s="39" t="n">
        <v>0.50388</v>
      </c>
      <c r="Q415" s="40" t="n">
        <v>0.0002</v>
      </c>
      <c r="R415" s="39" t="n">
        <v>0.5799</v>
      </c>
      <c r="S415" s="40" t="n">
        <v>6E-005</v>
      </c>
      <c r="T415" s="39" t="n">
        <v>0.46151</v>
      </c>
      <c r="U415" s="40" t="n">
        <v>0.00031</v>
      </c>
      <c r="V415" s="39" t="n">
        <v>0.63771</v>
      </c>
      <c r="W415" s="40" t="n">
        <v>0.00013</v>
      </c>
      <c r="X415" s="39" t="n">
        <v>0.14476</v>
      </c>
      <c r="Y415" s="40" t="n">
        <v>0.00096</v>
      </c>
    </row>
    <row r="416" customFormat="false" ht="15" hidden="false" customHeight="false" outlineLevel="0" collapsed="false">
      <c r="A416" s="38" t="n">
        <v>471</v>
      </c>
      <c r="B416" s="39" t="n">
        <v>0.02263</v>
      </c>
      <c r="C416" s="40" t="n">
        <v>0</v>
      </c>
      <c r="D416" s="39" t="n">
        <v>-0.00499</v>
      </c>
      <c r="E416" s="40" t="n">
        <v>0.00013</v>
      </c>
      <c r="F416" s="39" t="n">
        <v>0.08101</v>
      </c>
      <c r="G416" s="40" t="n">
        <v>4E-005</v>
      </c>
      <c r="H416" s="39" t="n">
        <v>0.29025</v>
      </c>
      <c r="I416" s="40" t="n">
        <v>7E-005</v>
      </c>
      <c r="J416" s="39" t="n">
        <v>0.38393</v>
      </c>
      <c r="K416" s="40" t="n">
        <v>6E-005</v>
      </c>
      <c r="L416" s="39" t="n">
        <v>0.52684</v>
      </c>
      <c r="M416" s="40" t="n">
        <v>0.00024</v>
      </c>
      <c r="N416" s="39" t="n">
        <v>0.36284</v>
      </c>
      <c r="O416" s="40" t="n">
        <v>5E-005</v>
      </c>
      <c r="P416" s="39" t="n">
        <v>0.50159</v>
      </c>
      <c r="Q416" s="40" t="n">
        <v>0.0002</v>
      </c>
      <c r="R416" s="39" t="n">
        <v>0.57943</v>
      </c>
      <c r="S416" s="40" t="n">
        <v>6E-005</v>
      </c>
      <c r="T416" s="39" t="n">
        <v>0.45774</v>
      </c>
      <c r="U416" s="40" t="n">
        <v>0.00031</v>
      </c>
      <c r="V416" s="39" t="n">
        <v>0.63613</v>
      </c>
      <c r="W416" s="40" t="n">
        <v>0.00013</v>
      </c>
      <c r="X416" s="39" t="n">
        <v>0.13333</v>
      </c>
      <c r="Y416" s="40" t="n">
        <v>0.00097</v>
      </c>
    </row>
    <row r="417" customFormat="false" ht="15" hidden="false" customHeight="false" outlineLevel="0" collapsed="false">
      <c r="A417" s="38" t="n">
        <v>472</v>
      </c>
      <c r="B417" s="39" t="n">
        <v>0.02239</v>
      </c>
      <c r="C417" s="40" t="n">
        <v>0</v>
      </c>
      <c r="D417" s="39" t="n">
        <v>-0.00791</v>
      </c>
      <c r="E417" s="40" t="n">
        <v>0.00012</v>
      </c>
      <c r="F417" s="39" t="n">
        <v>0.08046</v>
      </c>
      <c r="G417" s="40" t="n">
        <v>3E-005</v>
      </c>
      <c r="H417" s="39" t="n">
        <v>0.28929</v>
      </c>
      <c r="I417" s="40" t="n">
        <v>7E-005</v>
      </c>
      <c r="J417" s="39" t="n">
        <v>0.38299</v>
      </c>
      <c r="K417" s="40" t="n">
        <v>6E-005</v>
      </c>
      <c r="L417" s="39" t="n">
        <v>0.52375</v>
      </c>
      <c r="M417" s="40" t="n">
        <v>0.00025</v>
      </c>
      <c r="N417" s="39" t="n">
        <v>0.36182</v>
      </c>
      <c r="O417" s="40" t="n">
        <v>5E-005</v>
      </c>
      <c r="P417" s="39" t="n">
        <v>0.49911</v>
      </c>
      <c r="Q417" s="40" t="n">
        <v>0.00021</v>
      </c>
      <c r="R417" s="39" t="n">
        <v>0.57865</v>
      </c>
      <c r="S417" s="40" t="n">
        <v>6E-005</v>
      </c>
      <c r="T417" s="39" t="n">
        <v>0.45422</v>
      </c>
      <c r="U417" s="40" t="n">
        <v>0.00031</v>
      </c>
      <c r="V417" s="39" t="n">
        <v>0.63458</v>
      </c>
      <c r="W417" s="40" t="n">
        <v>0.00013</v>
      </c>
      <c r="X417" s="39" t="n">
        <v>0.12147</v>
      </c>
      <c r="Y417" s="40" t="n">
        <v>0.00098</v>
      </c>
    </row>
    <row r="418" customFormat="false" ht="15" hidden="false" customHeight="false" outlineLevel="0" collapsed="false">
      <c r="A418" s="38" t="n">
        <v>473</v>
      </c>
      <c r="B418" s="39" t="n">
        <v>0.02236</v>
      </c>
      <c r="C418" s="40" t="n">
        <v>0</v>
      </c>
      <c r="D418" s="39" t="n">
        <v>-0.0087</v>
      </c>
      <c r="E418" s="40" t="n">
        <v>8E-005</v>
      </c>
      <c r="F418" s="39" t="n">
        <v>0.07987</v>
      </c>
      <c r="G418" s="40" t="n">
        <v>4E-005</v>
      </c>
      <c r="H418" s="39" t="n">
        <v>0.28886</v>
      </c>
      <c r="I418" s="40" t="n">
        <v>8E-005</v>
      </c>
      <c r="J418" s="39" t="n">
        <v>0.38219</v>
      </c>
      <c r="K418" s="40" t="n">
        <v>6E-005</v>
      </c>
      <c r="L418" s="39" t="n">
        <v>0.52061</v>
      </c>
      <c r="M418" s="40" t="n">
        <v>0.00026</v>
      </c>
      <c r="N418" s="39" t="n">
        <v>0.36132</v>
      </c>
      <c r="O418" s="40" t="n">
        <v>6E-005</v>
      </c>
      <c r="P418" s="39" t="n">
        <v>0.49671</v>
      </c>
      <c r="Q418" s="40" t="n">
        <v>0.00021</v>
      </c>
      <c r="R418" s="39" t="n">
        <v>0.57821</v>
      </c>
      <c r="S418" s="40" t="n">
        <v>6E-005</v>
      </c>
      <c r="T418" s="39" t="n">
        <v>0.45055</v>
      </c>
      <c r="U418" s="40" t="n">
        <v>0.00031</v>
      </c>
      <c r="V418" s="39" t="n">
        <v>0.63293</v>
      </c>
      <c r="W418" s="40" t="n">
        <v>0.00013</v>
      </c>
      <c r="X418" s="39" t="n">
        <v>0.10962</v>
      </c>
      <c r="Y418" s="40" t="n">
        <v>0.00098</v>
      </c>
    </row>
    <row r="419" customFormat="false" ht="15" hidden="false" customHeight="false" outlineLevel="0" collapsed="false">
      <c r="A419" s="38" t="n">
        <v>474</v>
      </c>
      <c r="B419" s="39" t="n">
        <v>0.02272</v>
      </c>
      <c r="C419" s="40" t="n">
        <v>0</v>
      </c>
      <c r="D419" s="39" t="n">
        <v>-0.00933</v>
      </c>
      <c r="E419" s="40" t="n">
        <v>5E-005</v>
      </c>
      <c r="F419" s="39" t="n">
        <v>0.07944</v>
      </c>
      <c r="G419" s="40" t="n">
        <v>4E-005</v>
      </c>
      <c r="H419" s="39" t="n">
        <v>0.28778</v>
      </c>
      <c r="I419" s="40" t="n">
        <v>8E-005</v>
      </c>
      <c r="J419" s="39" t="n">
        <v>0.38151</v>
      </c>
      <c r="K419" s="40" t="n">
        <v>6E-005</v>
      </c>
      <c r="L419" s="39" t="n">
        <v>0.51771</v>
      </c>
      <c r="M419" s="40" t="n">
        <v>0.00026</v>
      </c>
      <c r="N419" s="39" t="n">
        <v>0.36098</v>
      </c>
      <c r="O419" s="40" t="n">
        <v>5E-005</v>
      </c>
      <c r="P419" s="39" t="n">
        <v>0.49399</v>
      </c>
      <c r="Q419" s="40" t="n">
        <v>0.00021</v>
      </c>
      <c r="R419" s="39" t="n">
        <v>0.57737</v>
      </c>
      <c r="S419" s="40" t="n">
        <v>6E-005</v>
      </c>
      <c r="T419" s="39" t="n">
        <v>0.44674</v>
      </c>
      <c r="U419" s="40" t="n">
        <v>0.00031</v>
      </c>
      <c r="V419" s="39" t="n">
        <v>0.63139</v>
      </c>
      <c r="W419" s="40" t="n">
        <v>0.00013</v>
      </c>
      <c r="X419" s="39" t="n">
        <v>0.09827</v>
      </c>
      <c r="Y419" s="40" t="n">
        <v>0.00097</v>
      </c>
    </row>
    <row r="420" customFormat="false" ht="15" hidden="false" customHeight="false" outlineLevel="0" collapsed="false">
      <c r="A420" s="38" t="n">
        <v>475</v>
      </c>
      <c r="B420" s="39" t="n">
        <v>0.02269</v>
      </c>
      <c r="C420" s="40" t="n">
        <v>1E-005</v>
      </c>
      <c r="D420" s="39" t="n">
        <v>-0.01148</v>
      </c>
      <c r="E420" s="40" t="n">
        <v>2E-005</v>
      </c>
      <c r="F420" s="39" t="n">
        <v>0.07926</v>
      </c>
      <c r="G420" s="40" t="n">
        <v>3E-005</v>
      </c>
      <c r="H420" s="39" t="n">
        <v>0.28662</v>
      </c>
      <c r="I420" s="40" t="n">
        <v>8E-005</v>
      </c>
      <c r="J420" s="39" t="n">
        <v>0.38091</v>
      </c>
      <c r="K420" s="40" t="n">
        <v>6E-005</v>
      </c>
      <c r="L420" s="39" t="n">
        <v>0.51473</v>
      </c>
      <c r="M420" s="40" t="n">
        <v>0.00026</v>
      </c>
      <c r="N420" s="39" t="n">
        <v>0.36017</v>
      </c>
      <c r="O420" s="40" t="n">
        <v>5E-005</v>
      </c>
      <c r="P420" s="39" t="n">
        <v>0.49166</v>
      </c>
      <c r="Q420" s="40" t="n">
        <v>0.00021</v>
      </c>
      <c r="R420" s="39" t="n">
        <v>0.57631</v>
      </c>
      <c r="S420" s="40" t="n">
        <v>6E-005</v>
      </c>
      <c r="T420" s="39" t="n">
        <v>0.44279</v>
      </c>
      <c r="U420" s="40" t="n">
        <v>0.00032</v>
      </c>
      <c r="V420" s="39" t="n">
        <v>0.62977</v>
      </c>
      <c r="W420" s="40" t="n">
        <v>0.00013</v>
      </c>
      <c r="X420" s="39" t="n">
        <v>0.08696</v>
      </c>
      <c r="Y420" s="40" t="n">
        <v>0.00093</v>
      </c>
    </row>
    <row r="421" customFormat="false" ht="15" hidden="false" customHeight="false" outlineLevel="0" collapsed="false">
      <c r="A421" s="38" t="n">
        <v>476</v>
      </c>
      <c r="B421" s="39" t="n">
        <v>0.02218</v>
      </c>
      <c r="C421" s="40" t="n">
        <v>1E-005</v>
      </c>
      <c r="D421" s="39" t="n">
        <v>-0.01049</v>
      </c>
      <c r="E421" s="40" t="n">
        <v>4E-005</v>
      </c>
      <c r="F421" s="39" t="n">
        <v>0.07921</v>
      </c>
      <c r="G421" s="40" t="n">
        <v>3E-005</v>
      </c>
      <c r="H421" s="39" t="n">
        <v>0.28575</v>
      </c>
      <c r="I421" s="40" t="n">
        <v>8E-005</v>
      </c>
      <c r="J421" s="39" t="n">
        <v>0.38048</v>
      </c>
      <c r="K421" s="40" t="n">
        <v>6E-005</v>
      </c>
      <c r="L421" s="39" t="n">
        <v>0.51142</v>
      </c>
      <c r="M421" s="40" t="n">
        <v>0.00026</v>
      </c>
      <c r="N421" s="39" t="n">
        <v>0.35946</v>
      </c>
      <c r="O421" s="40" t="n">
        <v>5E-005</v>
      </c>
      <c r="P421" s="39" t="n">
        <v>0.48902</v>
      </c>
      <c r="Q421" s="40" t="n">
        <v>0.00022</v>
      </c>
      <c r="R421" s="39" t="n">
        <v>0.57564</v>
      </c>
      <c r="S421" s="40" t="n">
        <v>6E-005</v>
      </c>
      <c r="T421" s="39" t="n">
        <v>0.43909</v>
      </c>
      <c r="U421" s="40" t="n">
        <v>0.00032</v>
      </c>
      <c r="V421" s="39" t="n">
        <v>0.62839</v>
      </c>
      <c r="W421" s="40" t="n">
        <v>0.00013</v>
      </c>
      <c r="X421" s="39" t="n">
        <v>0.07595</v>
      </c>
      <c r="Y421" s="40" t="n">
        <v>0.00086</v>
      </c>
    </row>
    <row r="422" customFormat="false" ht="15" hidden="false" customHeight="false" outlineLevel="0" collapsed="false">
      <c r="A422" s="38" t="n">
        <v>477</v>
      </c>
      <c r="B422" s="39" t="n">
        <v>0.02211</v>
      </c>
      <c r="C422" s="40" t="n">
        <v>2E-005</v>
      </c>
      <c r="D422" s="39" t="n">
        <v>-0.00829</v>
      </c>
      <c r="E422" s="40" t="n">
        <v>4E-005</v>
      </c>
      <c r="F422" s="39" t="n">
        <v>0.07868</v>
      </c>
      <c r="G422" s="40" t="n">
        <v>3E-005</v>
      </c>
      <c r="H422" s="39" t="n">
        <v>0.28479</v>
      </c>
      <c r="I422" s="40" t="n">
        <v>8E-005</v>
      </c>
      <c r="J422" s="39" t="n">
        <v>0.37974</v>
      </c>
      <c r="K422" s="40" t="n">
        <v>6E-005</v>
      </c>
      <c r="L422" s="39" t="n">
        <v>0.50824</v>
      </c>
      <c r="M422" s="40" t="n">
        <v>0.00026</v>
      </c>
      <c r="N422" s="39" t="n">
        <v>0.35899</v>
      </c>
      <c r="O422" s="40" t="n">
        <v>5E-005</v>
      </c>
      <c r="P422" s="39" t="n">
        <v>0.48648</v>
      </c>
      <c r="Q422" s="40" t="n">
        <v>0.00022</v>
      </c>
      <c r="R422" s="39" t="n">
        <v>0.57499</v>
      </c>
      <c r="S422" s="40" t="n">
        <v>6E-005</v>
      </c>
      <c r="T422" s="39" t="n">
        <v>0.43514</v>
      </c>
      <c r="U422" s="40" t="n">
        <v>0.00032</v>
      </c>
      <c r="V422" s="39" t="n">
        <v>0.62687</v>
      </c>
      <c r="W422" s="40" t="n">
        <v>0.00013</v>
      </c>
      <c r="X422" s="39" t="n">
        <v>0.0659</v>
      </c>
      <c r="Y422" s="40" t="n">
        <v>0.00075</v>
      </c>
    </row>
    <row r="423" customFormat="false" ht="15" hidden="false" customHeight="false" outlineLevel="0" collapsed="false">
      <c r="A423" s="38" t="n">
        <v>478</v>
      </c>
      <c r="B423" s="39" t="n">
        <v>0.02229</v>
      </c>
      <c r="C423" s="40" t="n">
        <v>2E-005</v>
      </c>
      <c r="D423" s="39" t="n">
        <v>-0.00857</v>
      </c>
      <c r="E423" s="40" t="n">
        <v>3E-005</v>
      </c>
      <c r="F423" s="39" t="n">
        <v>0.07781</v>
      </c>
      <c r="G423" s="40" t="n">
        <v>3E-005</v>
      </c>
      <c r="H423" s="39" t="n">
        <v>0.28384</v>
      </c>
      <c r="I423" s="40" t="n">
        <v>8E-005</v>
      </c>
      <c r="J423" s="39" t="n">
        <v>0.37865</v>
      </c>
      <c r="K423" s="40" t="n">
        <v>6E-005</v>
      </c>
      <c r="L423" s="39" t="n">
        <v>0.50502</v>
      </c>
      <c r="M423" s="40" t="n">
        <v>0.00027</v>
      </c>
      <c r="N423" s="39" t="n">
        <v>0.35848</v>
      </c>
      <c r="O423" s="40" t="n">
        <v>5E-005</v>
      </c>
      <c r="P423" s="39" t="n">
        <v>0.48376</v>
      </c>
      <c r="Q423" s="40" t="n">
        <v>0.00022</v>
      </c>
      <c r="R423" s="39" t="n">
        <v>0.57457</v>
      </c>
      <c r="S423" s="40" t="n">
        <v>6E-005</v>
      </c>
      <c r="T423" s="39" t="n">
        <v>0.43142</v>
      </c>
      <c r="U423" s="40" t="n">
        <v>0.00032</v>
      </c>
      <c r="V423" s="39" t="n">
        <v>0.62522</v>
      </c>
      <c r="W423" s="40" t="n">
        <v>0.00013</v>
      </c>
      <c r="X423" s="39" t="n">
        <v>0.05703</v>
      </c>
      <c r="Y423" s="40" t="n">
        <v>0.00062</v>
      </c>
    </row>
    <row r="424" customFormat="false" ht="15" hidden="false" customHeight="false" outlineLevel="0" collapsed="false">
      <c r="A424" s="38" t="n">
        <v>479</v>
      </c>
      <c r="B424" s="39" t="n">
        <v>0.0215</v>
      </c>
      <c r="C424" s="40" t="n">
        <v>2E-005</v>
      </c>
      <c r="D424" s="39" t="n">
        <v>-0.01207</v>
      </c>
      <c r="E424" s="40" t="n">
        <v>3E-005</v>
      </c>
      <c r="F424" s="39" t="n">
        <v>0.07776</v>
      </c>
      <c r="G424" s="40" t="n">
        <v>3E-005</v>
      </c>
      <c r="H424" s="39" t="n">
        <v>0.28288</v>
      </c>
      <c r="I424" s="40" t="n">
        <v>8E-005</v>
      </c>
      <c r="J424" s="39" t="n">
        <v>0.37799</v>
      </c>
      <c r="K424" s="40" t="n">
        <v>6E-005</v>
      </c>
      <c r="L424" s="39" t="n">
        <v>0.50188</v>
      </c>
      <c r="M424" s="40" t="n">
        <v>0.00028</v>
      </c>
      <c r="N424" s="39" t="n">
        <v>0.35785</v>
      </c>
      <c r="O424" s="40" t="n">
        <v>5E-005</v>
      </c>
      <c r="P424" s="39" t="n">
        <v>0.4812</v>
      </c>
      <c r="Q424" s="40" t="n">
        <v>0.00022</v>
      </c>
      <c r="R424" s="39" t="n">
        <v>0.57412</v>
      </c>
      <c r="S424" s="40" t="n">
        <v>5E-005</v>
      </c>
      <c r="T424" s="39" t="n">
        <v>0.4276</v>
      </c>
      <c r="U424" s="40" t="n">
        <v>0.00032</v>
      </c>
      <c r="V424" s="39" t="n">
        <v>0.62382</v>
      </c>
      <c r="W424" s="40" t="n">
        <v>0.00013</v>
      </c>
      <c r="X424" s="39" t="n">
        <v>0.0505</v>
      </c>
      <c r="Y424" s="40" t="n">
        <v>0.00047</v>
      </c>
    </row>
    <row r="425" customFormat="false" ht="15" hidden="false" customHeight="false" outlineLevel="0" collapsed="false">
      <c r="A425" s="38" t="n">
        <v>480</v>
      </c>
      <c r="B425" s="39" t="n">
        <v>0.02149</v>
      </c>
      <c r="C425" s="40" t="n">
        <v>1E-005</v>
      </c>
      <c r="D425" s="39" t="n">
        <v>-0.01454</v>
      </c>
      <c r="E425" s="40" t="n">
        <v>4E-005</v>
      </c>
      <c r="F425" s="39" t="n">
        <v>0.07763</v>
      </c>
      <c r="G425" s="40" t="n">
        <v>3E-005</v>
      </c>
      <c r="H425" s="39" t="n">
        <v>0.2819</v>
      </c>
      <c r="I425" s="40" t="n">
        <v>8E-005</v>
      </c>
      <c r="J425" s="39" t="n">
        <v>0.37731</v>
      </c>
      <c r="K425" s="40" t="n">
        <v>6E-005</v>
      </c>
      <c r="L425" s="39" t="n">
        <v>0.49852</v>
      </c>
      <c r="M425" s="40" t="n">
        <v>0.00028</v>
      </c>
      <c r="N425" s="39" t="n">
        <v>0.35719</v>
      </c>
      <c r="O425" s="40" t="n">
        <v>5E-005</v>
      </c>
      <c r="P425" s="39" t="n">
        <v>0.47851</v>
      </c>
      <c r="Q425" s="40" t="n">
        <v>0.00022</v>
      </c>
      <c r="R425" s="39" t="n">
        <v>0.57315</v>
      </c>
      <c r="S425" s="40" t="n">
        <v>6E-005</v>
      </c>
      <c r="T425" s="39" t="n">
        <v>0.42358</v>
      </c>
      <c r="U425" s="40" t="n">
        <v>0.00032</v>
      </c>
      <c r="V425" s="39" t="n">
        <v>0.62208</v>
      </c>
      <c r="W425" s="40" t="n">
        <v>0.00013</v>
      </c>
      <c r="X425" s="39" t="n">
        <v>0.04596</v>
      </c>
      <c r="Y425" s="40" t="n">
        <v>0.00033</v>
      </c>
    </row>
    <row r="426" customFormat="false" ht="15" hidden="false" customHeight="false" outlineLevel="0" collapsed="false">
      <c r="A426" s="38" t="n">
        <v>481</v>
      </c>
      <c r="B426" s="39" t="n">
        <v>0.02133</v>
      </c>
      <c r="C426" s="40" t="n">
        <v>1E-005</v>
      </c>
      <c r="D426" s="39" t="n">
        <v>-0.01286</v>
      </c>
      <c r="E426" s="40" t="n">
        <v>7E-005</v>
      </c>
      <c r="F426" s="39" t="n">
        <v>0.07731</v>
      </c>
      <c r="G426" s="40" t="n">
        <v>2E-005</v>
      </c>
      <c r="H426" s="39" t="n">
        <v>0.28085</v>
      </c>
      <c r="I426" s="40" t="n">
        <v>9E-005</v>
      </c>
      <c r="J426" s="39" t="n">
        <v>0.37658</v>
      </c>
      <c r="K426" s="40" t="n">
        <v>6E-005</v>
      </c>
      <c r="L426" s="39" t="n">
        <v>0.49508</v>
      </c>
      <c r="M426" s="40" t="n">
        <v>0.00028</v>
      </c>
      <c r="N426" s="39" t="n">
        <v>0.35691</v>
      </c>
      <c r="O426" s="40" t="n">
        <v>5E-005</v>
      </c>
      <c r="P426" s="39" t="n">
        <v>0.47584</v>
      </c>
      <c r="Q426" s="40" t="n">
        <v>0.00023</v>
      </c>
      <c r="R426" s="39" t="n">
        <v>0.57219</v>
      </c>
      <c r="S426" s="40" t="n">
        <v>7E-005</v>
      </c>
      <c r="T426" s="39" t="n">
        <v>0.41977</v>
      </c>
      <c r="U426" s="40" t="n">
        <v>0.00032</v>
      </c>
      <c r="V426" s="39" t="n">
        <v>0.62042</v>
      </c>
      <c r="W426" s="40" t="n">
        <v>0.00013</v>
      </c>
      <c r="X426" s="39" t="n">
        <v>0.04317</v>
      </c>
      <c r="Y426" s="40" t="n">
        <v>0.00021</v>
      </c>
    </row>
    <row r="427" customFormat="false" ht="15" hidden="false" customHeight="false" outlineLevel="0" collapsed="false">
      <c r="A427" s="38" t="n">
        <v>482</v>
      </c>
      <c r="B427" s="39" t="n">
        <v>0.02115</v>
      </c>
      <c r="C427" s="40" t="n">
        <v>1E-005</v>
      </c>
      <c r="D427" s="39" t="n">
        <v>-0.01089</v>
      </c>
      <c r="E427" s="40" t="n">
        <v>4E-005</v>
      </c>
      <c r="F427" s="39" t="n">
        <v>0.07709</v>
      </c>
      <c r="G427" s="40" t="n">
        <v>2E-005</v>
      </c>
      <c r="H427" s="39" t="n">
        <v>0.27994</v>
      </c>
      <c r="I427" s="40" t="n">
        <v>8E-005</v>
      </c>
      <c r="J427" s="39" t="n">
        <v>0.37604</v>
      </c>
      <c r="K427" s="40" t="n">
        <v>5E-005</v>
      </c>
      <c r="L427" s="39" t="n">
        <v>0.49168</v>
      </c>
      <c r="M427" s="40" t="n">
        <v>0.0003</v>
      </c>
      <c r="N427" s="39" t="n">
        <v>0.35602</v>
      </c>
      <c r="O427" s="40" t="n">
        <v>5E-005</v>
      </c>
      <c r="P427" s="39" t="n">
        <v>0.47306</v>
      </c>
      <c r="Q427" s="40" t="n">
        <v>0.00023</v>
      </c>
      <c r="R427" s="39" t="n">
        <v>0.57146</v>
      </c>
      <c r="S427" s="40" t="n">
        <v>7E-005</v>
      </c>
      <c r="T427" s="39" t="n">
        <v>0.41577</v>
      </c>
      <c r="U427" s="40" t="n">
        <v>0.00033</v>
      </c>
      <c r="V427" s="39" t="n">
        <v>0.61896</v>
      </c>
      <c r="W427" s="40" t="n">
        <v>0.00013</v>
      </c>
      <c r="X427" s="39" t="n">
        <v>0.04186</v>
      </c>
      <c r="Y427" s="40" t="n">
        <v>0.00014</v>
      </c>
    </row>
    <row r="428" customFormat="false" ht="15" hidden="false" customHeight="false" outlineLevel="0" collapsed="false">
      <c r="A428" s="38" t="n">
        <v>483</v>
      </c>
      <c r="B428" s="39" t="n">
        <v>0.02123</v>
      </c>
      <c r="C428" s="40" t="n">
        <v>0</v>
      </c>
      <c r="D428" s="39" t="n">
        <v>-0.01311</v>
      </c>
      <c r="E428" s="40" t="n">
        <v>2E-005</v>
      </c>
      <c r="F428" s="39" t="n">
        <v>0.07687</v>
      </c>
      <c r="G428" s="40" t="n">
        <v>3E-005</v>
      </c>
      <c r="H428" s="39" t="n">
        <v>0.27893</v>
      </c>
      <c r="I428" s="40" t="n">
        <v>9E-005</v>
      </c>
      <c r="J428" s="39" t="n">
        <v>0.37526</v>
      </c>
      <c r="K428" s="40" t="n">
        <v>6E-005</v>
      </c>
      <c r="L428" s="39" t="n">
        <v>0.48783</v>
      </c>
      <c r="M428" s="40" t="n">
        <v>0.00031</v>
      </c>
      <c r="N428" s="39" t="n">
        <v>0.35541</v>
      </c>
      <c r="O428" s="40" t="n">
        <v>5E-005</v>
      </c>
      <c r="P428" s="39" t="n">
        <v>0.4703</v>
      </c>
      <c r="Q428" s="40" t="n">
        <v>0.00023</v>
      </c>
      <c r="R428" s="39" t="n">
        <v>0.57071</v>
      </c>
      <c r="S428" s="40" t="n">
        <v>8E-005</v>
      </c>
      <c r="T428" s="39" t="n">
        <v>0.41187</v>
      </c>
      <c r="U428" s="40" t="n">
        <v>0.00033</v>
      </c>
      <c r="V428" s="39" t="n">
        <v>0.61733</v>
      </c>
      <c r="W428" s="40" t="n">
        <v>0.00013</v>
      </c>
      <c r="X428" s="39" t="n">
        <v>0.04069</v>
      </c>
      <c r="Y428" s="40" t="n">
        <v>0.0001</v>
      </c>
    </row>
    <row r="429" customFormat="false" ht="15" hidden="false" customHeight="false" outlineLevel="0" collapsed="false">
      <c r="A429" s="38" t="n">
        <v>484</v>
      </c>
      <c r="B429" s="39" t="n">
        <v>0.02133</v>
      </c>
      <c r="C429" s="40" t="n">
        <v>0</v>
      </c>
      <c r="D429" s="39" t="n">
        <v>-0.01325</v>
      </c>
      <c r="E429" s="40" t="n">
        <v>4E-005</v>
      </c>
      <c r="F429" s="39" t="n">
        <v>0.07641</v>
      </c>
      <c r="G429" s="40" t="n">
        <v>3E-005</v>
      </c>
      <c r="H429" s="39" t="n">
        <v>0.27768</v>
      </c>
      <c r="I429" s="40" t="n">
        <v>9E-005</v>
      </c>
      <c r="J429" s="39" t="n">
        <v>0.37446</v>
      </c>
      <c r="K429" s="40" t="n">
        <v>6E-005</v>
      </c>
      <c r="L429" s="39" t="n">
        <v>0.48434</v>
      </c>
      <c r="M429" s="40" t="n">
        <v>0.00031</v>
      </c>
      <c r="N429" s="39" t="n">
        <v>0.35496</v>
      </c>
      <c r="O429" s="40" t="n">
        <v>4E-005</v>
      </c>
      <c r="P429" s="39" t="n">
        <v>0.46755</v>
      </c>
      <c r="Q429" s="40" t="n">
        <v>0.00024</v>
      </c>
      <c r="R429" s="39" t="n">
        <v>0.56978</v>
      </c>
      <c r="S429" s="40" t="n">
        <v>7E-005</v>
      </c>
      <c r="T429" s="39" t="n">
        <v>0.40839</v>
      </c>
      <c r="U429" s="40" t="n">
        <v>0.00032</v>
      </c>
      <c r="V429" s="39" t="n">
        <v>0.61573</v>
      </c>
      <c r="W429" s="40" t="n">
        <v>0.00013</v>
      </c>
      <c r="X429" s="39" t="n">
        <v>0.03922</v>
      </c>
      <c r="Y429" s="40" t="n">
        <v>9E-005</v>
      </c>
    </row>
    <row r="430" customFormat="false" ht="15" hidden="false" customHeight="false" outlineLevel="0" collapsed="false">
      <c r="A430" s="38" t="n">
        <v>485</v>
      </c>
      <c r="B430" s="39" t="n">
        <v>0.02122</v>
      </c>
      <c r="C430" s="40" t="n">
        <v>0</v>
      </c>
      <c r="D430" s="39" t="n">
        <v>-0.01461</v>
      </c>
      <c r="E430" s="40" t="n">
        <v>8E-005</v>
      </c>
      <c r="F430" s="39" t="n">
        <v>0.07628</v>
      </c>
      <c r="G430" s="40" t="n">
        <v>3E-005</v>
      </c>
      <c r="H430" s="39" t="n">
        <v>0.27665</v>
      </c>
      <c r="I430" s="40" t="n">
        <v>9E-005</v>
      </c>
      <c r="J430" s="39" t="n">
        <v>0.37388</v>
      </c>
      <c r="K430" s="40" t="n">
        <v>6E-005</v>
      </c>
      <c r="L430" s="39" t="n">
        <v>0.48064</v>
      </c>
      <c r="M430" s="40" t="n">
        <v>0.00031</v>
      </c>
      <c r="N430" s="39" t="n">
        <v>0.35425</v>
      </c>
      <c r="O430" s="40" t="n">
        <v>4E-005</v>
      </c>
      <c r="P430" s="39" t="n">
        <v>0.4646</v>
      </c>
      <c r="Q430" s="40" t="n">
        <v>0.00025</v>
      </c>
      <c r="R430" s="39" t="n">
        <v>0.56861</v>
      </c>
      <c r="S430" s="40" t="n">
        <v>7E-005</v>
      </c>
      <c r="T430" s="39" t="n">
        <v>0.4041</v>
      </c>
      <c r="U430" s="40" t="n">
        <v>0.00033</v>
      </c>
      <c r="V430" s="39" t="n">
        <v>0.61415</v>
      </c>
      <c r="W430" s="40" t="n">
        <v>0.00013</v>
      </c>
      <c r="X430" s="39" t="n">
        <v>0.03781</v>
      </c>
      <c r="Y430" s="40" t="n">
        <v>9E-005</v>
      </c>
    </row>
    <row r="431" customFormat="false" ht="15" hidden="false" customHeight="false" outlineLevel="0" collapsed="false">
      <c r="A431" s="38" t="n">
        <v>486</v>
      </c>
      <c r="B431" s="39" t="n">
        <v>0.02148</v>
      </c>
      <c r="C431" s="40" t="n">
        <v>0</v>
      </c>
      <c r="D431" s="39" t="n">
        <v>-0.01558</v>
      </c>
      <c r="E431" s="40" t="n">
        <v>9E-005</v>
      </c>
      <c r="F431" s="39" t="n">
        <v>0.07572</v>
      </c>
      <c r="G431" s="40" t="n">
        <v>3E-005</v>
      </c>
      <c r="H431" s="39" t="n">
        <v>0.2758</v>
      </c>
      <c r="I431" s="40" t="n">
        <v>9E-005</v>
      </c>
      <c r="J431" s="39" t="n">
        <v>0.3731</v>
      </c>
      <c r="K431" s="40" t="n">
        <v>6E-005</v>
      </c>
      <c r="L431" s="39" t="n">
        <v>0.47665</v>
      </c>
      <c r="M431" s="40" t="n">
        <v>0.00032</v>
      </c>
      <c r="N431" s="39" t="n">
        <v>0.3539</v>
      </c>
      <c r="O431" s="40" t="n">
        <v>4E-005</v>
      </c>
      <c r="P431" s="39" t="n">
        <v>0.46143</v>
      </c>
      <c r="Q431" s="40" t="n">
        <v>0.00026</v>
      </c>
      <c r="R431" s="39" t="n">
        <v>0.56786</v>
      </c>
      <c r="S431" s="40" t="n">
        <v>7E-005</v>
      </c>
      <c r="T431" s="39" t="n">
        <v>0.39999</v>
      </c>
      <c r="U431" s="40" t="n">
        <v>0.00033</v>
      </c>
      <c r="V431" s="39" t="n">
        <v>0.61274</v>
      </c>
      <c r="W431" s="40" t="n">
        <v>0.00014</v>
      </c>
      <c r="X431" s="39" t="n">
        <v>0.03661</v>
      </c>
      <c r="Y431" s="40" t="n">
        <v>0.0001</v>
      </c>
    </row>
    <row r="432" customFormat="false" ht="15" hidden="false" customHeight="false" outlineLevel="0" collapsed="false">
      <c r="A432" s="38" t="n">
        <v>487</v>
      </c>
      <c r="B432" s="39" t="n">
        <v>0.02129</v>
      </c>
      <c r="C432" s="40" t="n">
        <v>1E-005</v>
      </c>
      <c r="D432" s="39" t="n">
        <v>-0.01664</v>
      </c>
      <c r="E432" s="40" t="n">
        <v>6E-005</v>
      </c>
      <c r="F432" s="39" t="n">
        <v>0.07539</v>
      </c>
      <c r="G432" s="40" t="n">
        <v>3E-005</v>
      </c>
      <c r="H432" s="39" t="n">
        <v>0.2746</v>
      </c>
      <c r="I432" s="40" t="n">
        <v>9E-005</v>
      </c>
      <c r="J432" s="39" t="n">
        <v>0.37228</v>
      </c>
      <c r="K432" s="40" t="n">
        <v>6E-005</v>
      </c>
      <c r="L432" s="39" t="n">
        <v>0.47264</v>
      </c>
      <c r="M432" s="40" t="n">
        <v>0.00033</v>
      </c>
      <c r="N432" s="39" t="n">
        <v>0.35345</v>
      </c>
      <c r="O432" s="40" t="n">
        <v>4E-005</v>
      </c>
      <c r="P432" s="39" t="n">
        <v>0.45858</v>
      </c>
      <c r="Q432" s="40" t="n">
        <v>0.00027</v>
      </c>
      <c r="R432" s="39" t="n">
        <v>0.5671</v>
      </c>
      <c r="S432" s="40" t="n">
        <v>7E-005</v>
      </c>
      <c r="T432" s="39" t="n">
        <v>0.39635</v>
      </c>
      <c r="U432" s="40" t="n">
        <v>0.00033</v>
      </c>
      <c r="V432" s="39" t="n">
        <v>0.61093</v>
      </c>
      <c r="W432" s="40" t="n">
        <v>0.00013</v>
      </c>
      <c r="X432" s="39" t="n">
        <v>0.03553</v>
      </c>
      <c r="Y432" s="40" t="n">
        <v>0.00011</v>
      </c>
    </row>
    <row r="433" customFormat="false" ht="15" hidden="false" customHeight="false" outlineLevel="0" collapsed="false">
      <c r="A433" s="38" t="n">
        <v>488</v>
      </c>
      <c r="B433" s="39" t="n">
        <v>0.02111</v>
      </c>
      <c r="C433" s="40" t="n">
        <v>2E-005</v>
      </c>
      <c r="D433" s="39" t="n">
        <v>-0.01776</v>
      </c>
      <c r="E433" s="40" t="n">
        <v>9E-005</v>
      </c>
      <c r="F433" s="39" t="n">
        <v>0.07521</v>
      </c>
      <c r="G433" s="40" t="n">
        <v>2E-005</v>
      </c>
      <c r="H433" s="39" t="n">
        <v>0.27343</v>
      </c>
      <c r="I433" s="40" t="n">
        <v>9E-005</v>
      </c>
      <c r="J433" s="39" t="n">
        <v>0.37157</v>
      </c>
      <c r="K433" s="40" t="n">
        <v>6E-005</v>
      </c>
      <c r="L433" s="39" t="n">
        <v>0.46913</v>
      </c>
      <c r="M433" s="40" t="n">
        <v>0.00034</v>
      </c>
      <c r="N433" s="39" t="n">
        <v>0.35316</v>
      </c>
      <c r="O433" s="40" t="n">
        <v>4E-005</v>
      </c>
      <c r="P433" s="39" t="n">
        <v>0.45544</v>
      </c>
      <c r="Q433" s="40" t="n">
        <v>0.00027</v>
      </c>
      <c r="R433" s="39" t="n">
        <v>0.56618</v>
      </c>
      <c r="S433" s="40" t="n">
        <v>7E-005</v>
      </c>
      <c r="T433" s="39" t="n">
        <v>0.39235</v>
      </c>
      <c r="U433" s="40" t="n">
        <v>0.00034</v>
      </c>
      <c r="V433" s="39" t="n">
        <v>0.60931</v>
      </c>
      <c r="W433" s="40" t="n">
        <v>0.00013</v>
      </c>
      <c r="X433" s="39" t="n">
        <v>0.03431</v>
      </c>
      <c r="Y433" s="40" t="n">
        <v>0.00012</v>
      </c>
    </row>
    <row r="434" customFormat="false" ht="15" hidden="false" customHeight="false" outlineLevel="0" collapsed="false">
      <c r="A434" s="38" t="n">
        <v>489</v>
      </c>
      <c r="B434" s="39" t="n">
        <v>0.02078</v>
      </c>
      <c r="C434" s="40" t="n">
        <v>2E-005</v>
      </c>
      <c r="D434" s="39" t="n">
        <v>-0.01762</v>
      </c>
      <c r="E434" s="40" t="n">
        <v>7E-005</v>
      </c>
      <c r="F434" s="39" t="n">
        <v>0.07469</v>
      </c>
      <c r="G434" s="40" t="n">
        <v>2E-005</v>
      </c>
      <c r="H434" s="39" t="n">
        <v>0.27256</v>
      </c>
      <c r="I434" s="40" t="n">
        <v>9E-005</v>
      </c>
      <c r="J434" s="39" t="n">
        <v>0.37104</v>
      </c>
      <c r="K434" s="40" t="n">
        <v>6E-005</v>
      </c>
      <c r="L434" s="39" t="n">
        <v>0.46494</v>
      </c>
      <c r="M434" s="40" t="n">
        <v>0.00034</v>
      </c>
      <c r="N434" s="39" t="n">
        <v>0.35262</v>
      </c>
      <c r="O434" s="40" t="n">
        <v>5E-005</v>
      </c>
      <c r="P434" s="39" t="n">
        <v>0.45176</v>
      </c>
      <c r="Q434" s="40" t="n">
        <v>0.00027</v>
      </c>
      <c r="R434" s="39" t="n">
        <v>0.56546</v>
      </c>
      <c r="S434" s="40" t="n">
        <v>7E-005</v>
      </c>
      <c r="T434" s="39" t="n">
        <v>0.38829</v>
      </c>
      <c r="U434" s="40" t="n">
        <v>0.00033</v>
      </c>
      <c r="V434" s="39" t="n">
        <v>0.60761</v>
      </c>
      <c r="W434" s="40" t="n">
        <v>0.00014</v>
      </c>
      <c r="X434" s="39" t="n">
        <v>0.03311</v>
      </c>
      <c r="Y434" s="40" t="n">
        <v>0.00013</v>
      </c>
    </row>
    <row r="435" customFormat="false" ht="15" hidden="false" customHeight="false" outlineLevel="0" collapsed="false">
      <c r="A435" s="38" t="n">
        <v>490</v>
      </c>
      <c r="B435" s="39" t="n">
        <v>0.02092</v>
      </c>
      <c r="C435" s="40" t="n">
        <v>3E-005</v>
      </c>
      <c r="D435" s="39" t="n">
        <v>-0.01819</v>
      </c>
      <c r="E435" s="40" t="n">
        <v>5E-005</v>
      </c>
      <c r="F435" s="39" t="n">
        <v>0.07451</v>
      </c>
      <c r="G435" s="40" t="n">
        <v>3E-005</v>
      </c>
      <c r="H435" s="39" t="n">
        <v>0.27134</v>
      </c>
      <c r="I435" s="40" t="n">
        <v>9E-005</v>
      </c>
      <c r="J435" s="39" t="n">
        <v>0.37004</v>
      </c>
      <c r="K435" s="40" t="n">
        <v>6E-005</v>
      </c>
      <c r="L435" s="39" t="n">
        <v>0.46067</v>
      </c>
      <c r="M435" s="40" t="n">
        <v>0.00034</v>
      </c>
      <c r="N435" s="39" t="n">
        <v>0.352</v>
      </c>
      <c r="O435" s="40" t="n">
        <v>5E-005</v>
      </c>
      <c r="P435" s="39" t="n">
        <v>0.4484</v>
      </c>
      <c r="Q435" s="40" t="n">
        <v>0.00027</v>
      </c>
      <c r="R435" s="39" t="n">
        <v>0.56463</v>
      </c>
      <c r="S435" s="40" t="n">
        <v>8E-005</v>
      </c>
      <c r="T435" s="39" t="n">
        <v>0.38404</v>
      </c>
      <c r="U435" s="40" t="n">
        <v>0.00033</v>
      </c>
      <c r="V435" s="39" t="n">
        <v>0.60603</v>
      </c>
      <c r="W435" s="40" t="n">
        <v>0.00014</v>
      </c>
      <c r="X435" s="39" t="n">
        <v>0.0312</v>
      </c>
      <c r="Y435" s="40" t="n">
        <v>0.00014</v>
      </c>
    </row>
    <row r="436" customFormat="false" ht="15" hidden="false" customHeight="false" outlineLevel="0" collapsed="false">
      <c r="A436" s="38" t="n">
        <v>491</v>
      </c>
      <c r="B436" s="39" t="n">
        <v>0.02046</v>
      </c>
      <c r="C436" s="40" t="n">
        <v>2E-005</v>
      </c>
      <c r="D436" s="39" t="n">
        <v>-0.01938</v>
      </c>
      <c r="E436" s="40" t="n">
        <v>7E-005</v>
      </c>
      <c r="F436" s="39" t="n">
        <v>0.07451</v>
      </c>
      <c r="G436" s="40" t="n">
        <v>3E-005</v>
      </c>
      <c r="H436" s="39" t="n">
        <v>0.27032</v>
      </c>
      <c r="I436" s="40" t="n">
        <v>9E-005</v>
      </c>
      <c r="J436" s="39" t="n">
        <v>0.36938</v>
      </c>
      <c r="K436" s="40" t="n">
        <v>6E-005</v>
      </c>
      <c r="L436" s="39" t="n">
        <v>0.45641</v>
      </c>
      <c r="M436" s="40" t="n">
        <v>0.00035</v>
      </c>
      <c r="N436" s="39" t="n">
        <v>0.35144</v>
      </c>
      <c r="O436" s="40" t="n">
        <v>4E-005</v>
      </c>
      <c r="P436" s="39" t="n">
        <v>0.44526</v>
      </c>
      <c r="Q436" s="40" t="n">
        <v>0.00028</v>
      </c>
      <c r="R436" s="39" t="n">
        <v>0.56342</v>
      </c>
      <c r="S436" s="40" t="n">
        <v>8E-005</v>
      </c>
      <c r="T436" s="39" t="n">
        <v>0.38012</v>
      </c>
      <c r="U436" s="40" t="n">
        <v>0.00033</v>
      </c>
      <c r="V436" s="39" t="n">
        <v>0.60457</v>
      </c>
      <c r="W436" s="40" t="n">
        <v>0.00014</v>
      </c>
      <c r="X436" s="39" t="n">
        <v>0.02918</v>
      </c>
      <c r="Y436" s="40" t="n">
        <v>0.00015</v>
      </c>
    </row>
    <row r="437" customFormat="false" ht="15" hidden="false" customHeight="false" outlineLevel="0" collapsed="false">
      <c r="A437" s="38" t="n">
        <v>492</v>
      </c>
      <c r="B437" s="39" t="n">
        <v>0.01997</v>
      </c>
      <c r="C437" s="40" t="n">
        <v>1E-005</v>
      </c>
      <c r="D437" s="39" t="n">
        <v>-0.02183</v>
      </c>
      <c r="E437" s="40" t="n">
        <v>9E-005</v>
      </c>
      <c r="F437" s="39" t="n">
        <v>0.07389</v>
      </c>
      <c r="G437" s="40" t="n">
        <v>3E-005</v>
      </c>
      <c r="H437" s="39" t="n">
        <v>0.26927</v>
      </c>
      <c r="I437" s="40" t="n">
        <v>9E-005</v>
      </c>
      <c r="J437" s="39" t="n">
        <v>0.36863</v>
      </c>
      <c r="K437" s="40" t="n">
        <v>6E-005</v>
      </c>
      <c r="L437" s="39" t="n">
        <v>0.45205</v>
      </c>
      <c r="M437" s="40" t="n">
        <v>0.00037</v>
      </c>
      <c r="N437" s="39" t="n">
        <v>0.3509</v>
      </c>
      <c r="O437" s="40" t="n">
        <v>4E-005</v>
      </c>
      <c r="P437" s="39" t="n">
        <v>0.44217</v>
      </c>
      <c r="Q437" s="40" t="n">
        <v>0.00027</v>
      </c>
      <c r="R437" s="39" t="n">
        <v>0.56246</v>
      </c>
      <c r="S437" s="40" t="n">
        <v>8E-005</v>
      </c>
      <c r="T437" s="39" t="n">
        <v>0.37635</v>
      </c>
      <c r="U437" s="40" t="n">
        <v>0.00033</v>
      </c>
      <c r="V437" s="39" t="n">
        <v>0.60282</v>
      </c>
      <c r="W437" s="40" t="n">
        <v>0.00014</v>
      </c>
      <c r="X437" s="39" t="n">
        <v>0.02735</v>
      </c>
      <c r="Y437" s="40" t="n">
        <v>0.00015</v>
      </c>
    </row>
    <row r="438" customFormat="false" ht="15" hidden="false" customHeight="false" outlineLevel="0" collapsed="false">
      <c r="A438" s="38" t="n">
        <v>493</v>
      </c>
      <c r="B438" s="39" t="n">
        <v>0.01973</v>
      </c>
      <c r="C438" s="40" t="n">
        <v>1E-005</v>
      </c>
      <c r="D438" s="39" t="n">
        <v>-0.02088</v>
      </c>
      <c r="E438" s="40" t="n">
        <v>9E-005</v>
      </c>
      <c r="F438" s="39" t="n">
        <v>0.07352</v>
      </c>
      <c r="G438" s="40" t="n">
        <v>3E-005</v>
      </c>
      <c r="H438" s="39" t="n">
        <v>0.26804</v>
      </c>
      <c r="I438" s="40" t="n">
        <v>0.0001</v>
      </c>
      <c r="J438" s="39" t="n">
        <v>0.36784</v>
      </c>
      <c r="K438" s="40" t="n">
        <v>6E-005</v>
      </c>
      <c r="L438" s="39" t="n">
        <v>0.44776</v>
      </c>
      <c r="M438" s="40" t="n">
        <v>0.00037</v>
      </c>
      <c r="N438" s="39" t="n">
        <v>0.34996</v>
      </c>
      <c r="O438" s="40" t="n">
        <v>4E-005</v>
      </c>
      <c r="P438" s="39" t="n">
        <v>0.43882</v>
      </c>
      <c r="Q438" s="40" t="n">
        <v>0.00028</v>
      </c>
      <c r="R438" s="39" t="n">
        <v>0.5614</v>
      </c>
      <c r="S438" s="40" t="n">
        <v>9E-005</v>
      </c>
      <c r="T438" s="39" t="n">
        <v>0.37248</v>
      </c>
      <c r="U438" s="40" t="n">
        <v>0.00032</v>
      </c>
      <c r="V438" s="39" t="n">
        <v>0.60096</v>
      </c>
      <c r="W438" s="40" t="n">
        <v>0.00013</v>
      </c>
      <c r="X438" s="39" t="n">
        <v>0.02563</v>
      </c>
      <c r="Y438" s="40" t="n">
        <v>0.00014</v>
      </c>
    </row>
    <row r="439" customFormat="false" ht="15" hidden="false" customHeight="false" outlineLevel="0" collapsed="false">
      <c r="A439" s="38" t="n">
        <v>494</v>
      </c>
      <c r="B439" s="39" t="n">
        <v>0.01989</v>
      </c>
      <c r="C439" s="40" t="n">
        <v>1E-005</v>
      </c>
      <c r="D439" s="39" t="n">
        <v>-0.02096</v>
      </c>
      <c r="E439" s="40" t="n">
        <v>5E-005</v>
      </c>
      <c r="F439" s="39" t="n">
        <v>0.0729</v>
      </c>
      <c r="G439" s="40" t="n">
        <v>4E-005</v>
      </c>
      <c r="H439" s="39" t="n">
        <v>0.26689</v>
      </c>
      <c r="I439" s="40" t="n">
        <v>0.0001</v>
      </c>
      <c r="J439" s="39" t="n">
        <v>0.36726</v>
      </c>
      <c r="K439" s="40" t="n">
        <v>6E-005</v>
      </c>
      <c r="L439" s="39" t="n">
        <v>0.44356</v>
      </c>
      <c r="M439" s="40" t="n">
        <v>0.00038</v>
      </c>
      <c r="N439" s="39" t="n">
        <v>0.34984</v>
      </c>
      <c r="O439" s="40" t="n">
        <v>4E-005</v>
      </c>
      <c r="P439" s="39" t="n">
        <v>0.43543</v>
      </c>
      <c r="Q439" s="40" t="n">
        <v>0.00028</v>
      </c>
      <c r="R439" s="39" t="n">
        <v>0.56043</v>
      </c>
      <c r="S439" s="40" t="n">
        <v>9E-005</v>
      </c>
      <c r="T439" s="39" t="n">
        <v>0.36856</v>
      </c>
      <c r="U439" s="40" t="n">
        <v>0.00032</v>
      </c>
      <c r="V439" s="39" t="n">
        <v>0.59931</v>
      </c>
      <c r="W439" s="40" t="n">
        <v>0.00014</v>
      </c>
      <c r="X439" s="39" t="n">
        <v>0.02415</v>
      </c>
      <c r="Y439" s="40" t="n">
        <v>0.00012</v>
      </c>
    </row>
    <row r="440" customFormat="false" ht="15" hidden="false" customHeight="false" outlineLevel="0" collapsed="false">
      <c r="A440" s="38" t="n">
        <v>495</v>
      </c>
      <c r="B440" s="39" t="n">
        <v>0.01997</v>
      </c>
      <c r="C440" s="40" t="n">
        <v>0</v>
      </c>
      <c r="D440" s="39" t="n">
        <v>-0.02405</v>
      </c>
      <c r="E440" s="40" t="n">
        <v>4E-005</v>
      </c>
      <c r="F440" s="39" t="n">
        <v>0.0727</v>
      </c>
      <c r="G440" s="40" t="n">
        <v>3E-005</v>
      </c>
      <c r="H440" s="39" t="n">
        <v>0.26565</v>
      </c>
      <c r="I440" s="40" t="n">
        <v>0.00011</v>
      </c>
      <c r="J440" s="39" t="n">
        <v>0.36659</v>
      </c>
      <c r="K440" s="40" t="n">
        <v>5E-005</v>
      </c>
      <c r="L440" s="39" t="n">
        <v>0.43873</v>
      </c>
      <c r="M440" s="40" t="n">
        <v>0.00039</v>
      </c>
      <c r="N440" s="39" t="n">
        <v>0.34979</v>
      </c>
      <c r="O440" s="40" t="n">
        <v>4E-005</v>
      </c>
      <c r="P440" s="39" t="n">
        <v>0.43198</v>
      </c>
      <c r="Q440" s="40" t="n">
        <v>0.00029</v>
      </c>
      <c r="R440" s="39" t="n">
        <v>0.55937</v>
      </c>
      <c r="S440" s="40" t="n">
        <v>8E-005</v>
      </c>
      <c r="T440" s="39" t="n">
        <v>0.36461</v>
      </c>
      <c r="U440" s="40" t="n">
        <v>0.00033</v>
      </c>
      <c r="V440" s="39" t="n">
        <v>0.59783</v>
      </c>
      <c r="W440" s="40" t="n">
        <v>0.00014</v>
      </c>
      <c r="X440" s="39" t="n">
        <v>0.02278</v>
      </c>
      <c r="Y440" s="40" t="n">
        <v>9E-005</v>
      </c>
    </row>
    <row r="441" customFormat="false" ht="15" hidden="false" customHeight="false" outlineLevel="0" collapsed="false">
      <c r="A441" s="38" t="n">
        <v>496</v>
      </c>
      <c r="B441" s="39" t="n">
        <v>0.02017</v>
      </c>
      <c r="C441" s="40" t="n">
        <v>0</v>
      </c>
      <c r="D441" s="39" t="n">
        <v>-0.02502</v>
      </c>
      <c r="E441" s="40" t="n">
        <v>4E-005</v>
      </c>
      <c r="F441" s="39" t="n">
        <v>0.07231</v>
      </c>
      <c r="G441" s="40" t="n">
        <v>3E-005</v>
      </c>
      <c r="H441" s="39" t="n">
        <v>0.26442</v>
      </c>
      <c r="I441" s="40" t="n">
        <v>0.00011</v>
      </c>
      <c r="J441" s="39" t="n">
        <v>0.36595</v>
      </c>
      <c r="K441" s="40" t="n">
        <v>5E-005</v>
      </c>
      <c r="L441" s="39" t="n">
        <v>0.43381</v>
      </c>
      <c r="M441" s="40" t="n">
        <v>0.0004</v>
      </c>
      <c r="N441" s="39" t="n">
        <v>0.34922</v>
      </c>
      <c r="O441" s="40" t="n">
        <v>4E-005</v>
      </c>
      <c r="P441" s="39" t="n">
        <v>0.42852</v>
      </c>
      <c r="Q441" s="40" t="n">
        <v>0.00031</v>
      </c>
      <c r="R441" s="39" t="n">
        <v>0.55842</v>
      </c>
      <c r="S441" s="40" t="n">
        <v>8E-005</v>
      </c>
      <c r="T441" s="39" t="n">
        <v>0.36051</v>
      </c>
      <c r="U441" s="40" t="n">
        <v>0.00033</v>
      </c>
      <c r="V441" s="39" t="n">
        <v>0.5963</v>
      </c>
      <c r="W441" s="40" t="n">
        <v>0.00014</v>
      </c>
      <c r="X441" s="39" t="n">
        <v>0.02179</v>
      </c>
      <c r="Y441" s="40" t="n">
        <v>7E-005</v>
      </c>
    </row>
    <row r="442" customFormat="false" ht="15" hidden="false" customHeight="false" outlineLevel="0" collapsed="false">
      <c r="A442" s="38" t="n">
        <v>497</v>
      </c>
      <c r="B442" s="39" t="n">
        <v>0.01971</v>
      </c>
      <c r="C442" s="40" t="n">
        <v>1E-005</v>
      </c>
      <c r="D442" s="39" t="n">
        <v>-0.02375</v>
      </c>
      <c r="E442" s="40" t="n">
        <v>8E-005</v>
      </c>
      <c r="F442" s="39" t="n">
        <v>0.07174</v>
      </c>
      <c r="G442" s="40" t="n">
        <v>3E-005</v>
      </c>
      <c r="H442" s="39" t="n">
        <v>0.26298</v>
      </c>
      <c r="I442" s="40" t="n">
        <v>0.0001</v>
      </c>
      <c r="J442" s="39" t="n">
        <v>0.36524</v>
      </c>
      <c r="K442" s="40" t="n">
        <v>5E-005</v>
      </c>
      <c r="L442" s="39" t="n">
        <v>0.42906</v>
      </c>
      <c r="M442" s="40" t="n">
        <v>0.00041</v>
      </c>
      <c r="N442" s="39" t="n">
        <v>0.3482</v>
      </c>
      <c r="O442" s="40" t="n">
        <v>4E-005</v>
      </c>
      <c r="P442" s="39" t="n">
        <v>0.42464</v>
      </c>
      <c r="Q442" s="40" t="n">
        <v>0.00031</v>
      </c>
      <c r="R442" s="39" t="n">
        <v>0.55746</v>
      </c>
      <c r="S442" s="40" t="n">
        <v>8E-005</v>
      </c>
      <c r="T442" s="39" t="n">
        <v>0.35682</v>
      </c>
      <c r="U442" s="40" t="n">
        <v>0.00033</v>
      </c>
      <c r="V442" s="39" t="n">
        <v>0.5945</v>
      </c>
      <c r="W442" s="40" t="n">
        <v>0.00014</v>
      </c>
      <c r="X442" s="39" t="n">
        <v>0.02118</v>
      </c>
      <c r="Y442" s="40" t="n">
        <v>6E-005</v>
      </c>
    </row>
    <row r="443" customFormat="false" ht="15" hidden="false" customHeight="false" outlineLevel="0" collapsed="false">
      <c r="A443" s="38" t="n">
        <v>498</v>
      </c>
      <c r="B443" s="39" t="n">
        <v>0.01961</v>
      </c>
      <c r="C443" s="40" t="n">
        <v>2E-005</v>
      </c>
      <c r="D443" s="39" t="n">
        <v>-0.02321</v>
      </c>
      <c r="E443" s="40" t="n">
        <v>9E-005</v>
      </c>
      <c r="F443" s="39" t="n">
        <v>0.07163</v>
      </c>
      <c r="G443" s="40" t="n">
        <v>2E-005</v>
      </c>
      <c r="H443" s="39" t="n">
        <v>0.26174</v>
      </c>
      <c r="I443" s="40" t="n">
        <v>0.0001</v>
      </c>
      <c r="J443" s="39" t="n">
        <v>0.36448</v>
      </c>
      <c r="K443" s="40" t="n">
        <v>6E-005</v>
      </c>
      <c r="L443" s="39" t="n">
        <v>0.42417</v>
      </c>
      <c r="M443" s="40" t="n">
        <v>0.00042</v>
      </c>
      <c r="N443" s="39" t="n">
        <v>0.34761</v>
      </c>
      <c r="O443" s="40" t="n">
        <v>4E-005</v>
      </c>
      <c r="P443" s="39" t="n">
        <v>0.42086</v>
      </c>
      <c r="Q443" s="40" t="n">
        <v>0.00031</v>
      </c>
      <c r="R443" s="39" t="n">
        <v>0.55633</v>
      </c>
      <c r="S443" s="40" t="n">
        <v>9E-005</v>
      </c>
      <c r="T443" s="39" t="n">
        <v>0.35275</v>
      </c>
      <c r="U443" s="40" t="n">
        <v>0.00033</v>
      </c>
      <c r="V443" s="39" t="n">
        <v>0.5926</v>
      </c>
      <c r="W443" s="40" t="n">
        <v>0.00014</v>
      </c>
      <c r="X443" s="39" t="n">
        <v>0.02046</v>
      </c>
      <c r="Y443" s="40" t="n">
        <v>4E-005</v>
      </c>
    </row>
    <row r="444" customFormat="false" ht="15" hidden="false" customHeight="false" outlineLevel="0" collapsed="false">
      <c r="A444" s="38" t="n">
        <v>499</v>
      </c>
      <c r="B444" s="39" t="n">
        <v>0.01931</v>
      </c>
      <c r="C444" s="40" t="n">
        <v>2E-005</v>
      </c>
      <c r="D444" s="39" t="n">
        <v>-0.02572</v>
      </c>
      <c r="E444" s="40" t="n">
        <v>8E-005</v>
      </c>
      <c r="F444" s="39" t="n">
        <v>0.07147</v>
      </c>
      <c r="G444" s="40" t="n">
        <v>2E-005</v>
      </c>
      <c r="H444" s="39" t="n">
        <v>0.26041</v>
      </c>
      <c r="I444" s="40" t="n">
        <v>0.0001</v>
      </c>
      <c r="J444" s="39" t="n">
        <v>0.364</v>
      </c>
      <c r="K444" s="40" t="n">
        <v>6E-005</v>
      </c>
      <c r="L444" s="39" t="n">
        <v>0.41917</v>
      </c>
      <c r="M444" s="40" t="n">
        <v>0.00042</v>
      </c>
      <c r="N444" s="39" t="n">
        <v>0.34765</v>
      </c>
      <c r="O444" s="40" t="n">
        <v>4E-005</v>
      </c>
      <c r="P444" s="39" t="n">
        <v>0.41723</v>
      </c>
      <c r="Q444" s="40" t="n">
        <v>0.00032</v>
      </c>
      <c r="R444" s="39" t="n">
        <v>0.55531</v>
      </c>
      <c r="S444" s="40" t="n">
        <v>9E-005</v>
      </c>
      <c r="T444" s="39" t="n">
        <v>0.34891</v>
      </c>
      <c r="U444" s="40" t="n">
        <v>0.00033</v>
      </c>
      <c r="V444" s="39" t="n">
        <v>0.59084</v>
      </c>
      <c r="W444" s="40" t="n">
        <v>0.00014</v>
      </c>
      <c r="X444" s="39" t="n">
        <v>0.02016</v>
      </c>
      <c r="Y444" s="40" t="n">
        <v>3E-005</v>
      </c>
    </row>
    <row r="445" customFormat="false" ht="15" hidden="false" customHeight="false" outlineLevel="0" collapsed="false">
      <c r="A445" s="38" t="n">
        <v>500</v>
      </c>
      <c r="B445" s="39" t="n">
        <v>0.01939</v>
      </c>
      <c r="C445" s="40" t="n">
        <v>2E-005</v>
      </c>
      <c r="D445" s="39" t="n">
        <v>-0.02734</v>
      </c>
      <c r="E445" s="40" t="n">
        <v>0.00012</v>
      </c>
      <c r="F445" s="39" t="n">
        <v>0.07098</v>
      </c>
      <c r="G445" s="40" t="n">
        <v>2E-005</v>
      </c>
      <c r="H445" s="39" t="n">
        <v>0.25933</v>
      </c>
      <c r="I445" s="40" t="n">
        <v>0.0001</v>
      </c>
      <c r="J445" s="39" t="n">
        <v>0.36327</v>
      </c>
      <c r="K445" s="40" t="n">
        <v>6E-005</v>
      </c>
      <c r="L445" s="39" t="n">
        <v>0.41424</v>
      </c>
      <c r="M445" s="40" t="n">
        <v>0.00043</v>
      </c>
      <c r="N445" s="39" t="n">
        <v>0.34694</v>
      </c>
      <c r="O445" s="40" t="n">
        <v>3E-005</v>
      </c>
      <c r="P445" s="39" t="n">
        <v>0.41317</v>
      </c>
      <c r="Q445" s="40" t="n">
        <v>0.00032</v>
      </c>
      <c r="R445" s="39" t="n">
        <v>0.55438</v>
      </c>
      <c r="S445" s="40" t="n">
        <v>9E-005</v>
      </c>
      <c r="T445" s="39" t="n">
        <v>0.34487</v>
      </c>
      <c r="U445" s="40" t="n">
        <v>0.00033</v>
      </c>
      <c r="V445" s="39" t="n">
        <v>0.58936</v>
      </c>
      <c r="W445" s="40" t="n">
        <v>0.00014</v>
      </c>
      <c r="X445" s="39" t="n">
        <v>0.01986</v>
      </c>
      <c r="Y445" s="40" t="n">
        <v>2E-005</v>
      </c>
    </row>
    <row r="446" customFormat="false" ht="15" hidden="false" customHeight="false" outlineLevel="0" collapsed="false">
      <c r="A446" s="38" t="n">
        <v>501</v>
      </c>
      <c r="B446" s="39" t="n">
        <v>0.01891</v>
      </c>
      <c r="C446" s="40" t="n">
        <v>2E-005</v>
      </c>
      <c r="D446" s="39" t="n">
        <v>-0.02943</v>
      </c>
      <c r="E446" s="40" t="n">
        <v>0.00015</v>
      </c>
      <c r="F446" s="39" t="n">
        <v>0.07073</v>
      </c>
      <c r="G446" s="40" t="n">
        <v>2E-005</v>
      </c>
      <c r="H446" s="39" t="n">
        <v>0.25834</v>
      </c>
      <c r="I446" s="40" t="n">
        <v>0.0001</v>
      </c>
      <c r="J446" s="39" t="n">
        <v>0.3625</v>
      </c>
      <c r="K446" s="40" t="n">
        <v>6E-005</v>
      </c>
      <c r="L446" s="39" t="n">
        <v>0.40879</v>
      </c>
      <c r="M446" s="40" t="n">
        <v>0.00044</v>
      </c>
      <c r="N446" s="39" t="n">
        <v>0.34657</v>
      </c>
      <c r="O446" s="40" t="n">
        <v>3E-005</v>
      </c>
      <c r="P446" s="39" t="n">
        <v>0.40964</v>
      </c>
      <c r="Q446" s="40" t="n">
        <v>0.00032</v>
      </c>
      <c r="R446" s="39" t="n">
        <v>0.55322</v>
      </c>
      <c r="S446" s="40" t="n">
        <v>9E-005</v>
      </c>
      <c r="T446" s="39" t="n">
        <v>0.34087</v>
      </c>
      <c r="U446" s="40" t="n">
        <v>0.00033</v>
      </c>
      <c r="V446" s="39" t="n">
        <v>0.58761</v>
      </c>
      <c r="W446" s="40" t="n">
        <v>0.00014</v>
      </c>
      <c r="X446" s="39" t="n">
        <v>0.01952</v>
      </c>
      <c r="Y446" s="40" t="n">
        <v>1E-005</v>
      </c>
    </row>
    <row r="447" customFormat="false" ht="15" hidden="false" customHeight="false" outlineLevel="0" collapsed="false">
      <c r="A447" s="38" t="n">
        <v>502</v>
      </c>
      <c r="B447" s="39" t="n">
        <v>0.01863</v>
      </c>
      <c r="C447" s="40" t="n">
        <v>1E-005</v>
      </c>
      <c r="D447" s="39" t="n">
        <v>-0.03061</v>
      </c>
      <c r="E447" s="40" t="n">
        <v>0.00011</v>
      </c>
      <c r="F447" s="39" t="n">
        <v>0.07093</v>
      </c>
      <c r="G447" s="40" t="n">
        <v>2E-005</v>
      </c>
      <c r="H447" s="39" t="n">
        <v>0.25681</v>
      </c>
      <c r="I447" s="40" t="n">
        <v>0.0001</v>
      </c>
      <c r="J447" s="39" t="n">
        <v>0.3618</v>
      </c>
      <c r="K447" s="40" t="n">
        <v>6E-005</v>
      </c>
      <c r="L447" s="39" t="n">
        <v>0.40369</v>
      </c>
      <c r="M447" s="40" t="n">
        <v>0.00045</v>
      </c>
      <c r="N447" s="39" t="n">
        <v>0.34655</v>
      </c>
      <c r="O447" s="40" t="n">
        <v>4E-005</v>
      </c>
      <c r="P447" s="39" t="n">
        <v>0.40573</v>
      </c>
      <c r="Q447" s="40" t="n">
        <v>0.00032</v>
      </c>
      <c r="R447" s="39" t="n">
        <v>0.5519</v>
      </c>
      <c r="S447" s="40" t="n">
        <v>9E-005</v>
      </c>
      <c r="T447" s="39" t="n">
        <v>0.33696</v>
      </c>
      <c r="U447" s="40" t="n">
        <v>0.00032</v>
      </c>
      <c r="V447" s="39" t="n">
        <v>0.58606</v>
      </c>
      <c r="W447" s="40" t="n">
        <v>0.00014</v>
      </c>
      <c r="X447" s="39" t="n">
        <v>0.01953</v>
      </c>
      <c r="Y447" s="40" t="n">
        <v>1E-005</v>
      </c>
    </row>
    <row r="448" customFormat="false" ht="15" hidden="false" customHeight="false" outlineLevel="0" collapsed="false">
      <c r="A448" s="38" t="n">
        <v>503</v>
      </c>
      <c r="B448" s="39" t="n">
        <v>0.01844</v>
      </c>
      <c r="C448" s="40" t="n">
        <v>1E-005</v>
      </c>
      <c r="D448" s="39" t="n">
        <v>-0.03144</v>
      </c>
      <c r="E448" s="40" t="n">
        <v>5E-005</v>
      </c>
      <c r="F448" s="39" t="n">
        <v>0.07023</v>
      </c>
      <c r="G448" s="40" t="n">
        <v>2E-005</v>
      </c>
      <c r="H448" s="39" t="n">
        <v>0.25551</v>
      </c>
      <c r="I448" s="40" t="n">
        <v>0.0001</v>
      </c>
      <c r="J448" s="39" t="n">
        <v>0.36115</v>
      </c>
      <c r="K448" s="40" t="n">
        <v>6E-005</v>
      </c>
      <c r="L448" s="39" t="n">
        <v>0.39821</v>
      </c>
      <c r="M448" s="40" t="n">
        <v>0.00046</v>
      </c>
      <c r="N448" s="39" t="n">
        <v>0.34601</v>
      </c>
      <c r="O448" s="40" t="n">
        <v>4E-005</v>
      </c>
      <c r="P448" s="39" t="n">
        <v>0.40189</v>
      </c>
      <c r="Q448" s="40" t="n">
        <v>0.00032</v>
      </c>
      <c r="R448" s="39" t="n">
        <v>0.55084</v>
      </c>
      <c r="S448" s="40" t="n">
        <v>9E-005</v>
      </c>
      <c r="T448" s="39" t="n">
        <v>0.33311</v>
      </c>
      <c r="U448" s="40" t="n">
        <v>0.00032</v>
      </c>
      <c r="V448" s="39" t="n">
        <v>0.58438</v>
      </c>
      <c r="W448" s="40" t="n">
        <v>0.00014</v>
      </c>
      <c r="X448" s="39" t="n">
        <v>0.01947</v>
      </c>
      <c r="Y448" s="40" t="n">
        <v>1E-005</v>
      </c>
    </row>
    <row r="449" customFormat="false" ht="15" hidden="false" customHeight="false" outlineLevel="0" collapsed="false">
      <c r="A449" s="38" t="n">
        <v>504</v>
      </c>
      <c r="B449" s="39" t="n">
        <v>0.01836</v>
      </c>
      <c r="C449" s="40" t="n">
        <v>1E-005</v>
      </c>
      <c r="D449" s="39" t="n">
        <v>-0.0327</v>
      </c>
      <c r="E449" s="40" t="n">
        <v>5E-005</v>
      </c>
      <c r="F449" s="39" t="n">
        <v>0.07016</v>
      </c>
      <c r="G449" s="40" t="n">
        <v>2E-005</v>
      </c>
      <c r="H449" s="39" t="n">
        <v>0.25445</v>
      </c>
      <c r="I449" s="40" t="n">
        <v>0.0001</v>
      </c>
      <c r="J449" s="39" t="n">
        <v>0.36048</v>
      </c>
      <c r="K449" s="40" t="n">
        <v>6E-005</v>
      </c>
      <c r="L449" s="39" t="n">
        <v>0.39254</v>
      </c>
      <c r="M449" s="40" t="n">
        <v>0.00047</v>
      </c>
      <c r="N449" s="39" t="n">
        <v>0.34512</v>
      </c>
      <c r="O449" s="40" t="n">
        <v>4E-005</v>
      </c>
      <c r="P449" s="39" t="n">
        <v>0.39789</v>
      </c>
      <c r="Q449" s="40" t="n">
        <v>0.00033</v>
      </c>
      <c r="R449" s="39" t="n">
        <v>0.54997</v>
      </c>
      <c r="S449" s="40" t="n">
        <v>9E-005</v>
      </c>
      <c r="T449" s="39" t="n">
        <v>0.32933</v>
      </c>
      <c r="U449" s="40" t="n">
        <v>0.00032</v>
      </c>
      <c r="V449" s="39" t="n">
        <v>0.58265</v>
      </c>
      <c r="W449" s="40" t="n">
        <v>0.00014</v>
      </c>
      <c r="X449" s="39" t="n">
        <v>0.01933</v>
      </c>
      <c r="Y449" s="40" t="n">
        <v>1E-005</v>
      </c>
    </row>
    <row r="450" customFormat="false" ht="15" hidden="false" customHeight="false" outlineLevel="0" collapsed="false">
      <c r="A450" s="38" t="n">
        <v>505</v>
      </c>
      <c r="B450" s="39" t="n">
        <v>0.01842</v>
      </c>
      <c r="C450" s="40" t="n">
        <v>1E-005</v>
      </c>
      <c r="D450" s="39" t="n">
        <v>-0.033</v>
      </c>
      <c r="E450" s="40" t="n">
        <v>4E-005</v>
      </c>
      <c r="F450" s="39" t="n">
        <v>0.06963</v>
      </c>
      <c r="G450" s="40" t="n">
        <v>3E-005</v>
      </c>
      <c r="H450" s="39" t="n">
        <v>0.25321</v>
      </c>
      <c r="I450" s="40" t="n">
        <v>0.00011</v>
      </c>
      <c r="J450" s="39" t="n">
        <v>0.3598</v>
      </c>
      <c r="K450" s="40" t="n">
        <v>6E-005</v>
      </c>
      <c r="L450" s="39" t="n">
        <v>0.38702</v>
      </c>
      <c r="M450" s="40" t="n">
        <v>0.00048</v>
      </c>
      <c r="N450" s="39" t="n">
        <v>0.34459</v>
      </c>
      <c r="O450" s="40" t="n">
        <v>4E-005</v>
      </c>
      <c r="P450" s="39" t="n">
        <v>0.39399</v>
      </c>
      <c r="Q450" s="40" t="n">
        <v>0.00033</v>
      </c>
      <c r="R450" s="39" t="n">
        <v>0.54894</v>
      </c>
      <c r="S450" s="40" t="n">
        <v>9E-005</v>
      </c>
      <c r="T450" s="39" t="n">
        <v>0.32554</v>
      </c>
      <c r="U450" s="40" t="n">
        <v>0.00032</v>
      </c>
      <c r="V450" s="39" t="n">
        <v>0.58086</v>
      </c>
      <c r="W450" s="40" t="n">
        <v>0.00015</v>
      </c>
      <c r="X450" s="39" t="n">
        <v>0.01907</v>
      </c>
      <c r="Y450" s="40" t="n">
        <v>1E-005</v>
      </c>
    </row>
    <row r="451" customFormat="false" ht="15" hidden="false" customHeight="false" outlineLevel="0" collapsed="false">
      <c r="A451" s="38" t="n">
        <v>506</v>
      </c>
      <c r="B451" s="39" t="n">
        <v>0.01846</v>
      </c>
      <c r="C451" s="40" t="n">
        <v>1E-005</v>
      </c>
      <c r="D451" s="39" t="n">
        <v>-0.03154</v>
      </c>
      <c r="E451" s="40" t="n">
        <v>4E-005</v>
      </c>
      <c r="F451" s="39" t="n">
        <v>0.06935</v>
      </c>
      <c r="G451" s="40" t="n">
        <v>3E-005</v>
      </c>
      <c r="H451" s="39" t="n">
        <v>0.25201</v>
      </c>
      <c r="I451" s="40" t="n">
        <v>0.00011</v>
      </c>
      <c r="J451" s="39" t="n">
        <v>0.35919</v>
      </c>
      <c r="K451" s="40" t="n">
        <v>6E-005</v>
      </c>
      <c r="L451" s="39" t="n">
        <v>0.38108</v>
      </c>
      <c r="M451" s="40" t="n">
        <v>0.00049</v>
      </c>
      <c r="N451" s="39" t="n">
        <v>0.34437</v>
      </c>
      <c r="O451" s="40" t="n">
        <v>5E-005</v>
      </c>
      <c r="P451" s="39" t="n">
        <v>0.39011</v>
      </c>
      <c r="Q451" s="40" t="n">
        <v>0.00034</v>
      </c>
      <c r="R451" s="39" t="n">
        <v>0.54781</v>
      </c>
      <c r="S451" s="40" t="n">
        <v>9E-005</v>
      </c>
      <c r="T451" s="39" t="n">
        <v>0.32169</v>
      </c>
      <c r="U451" s="40" t="n">
        <v>0.00032</v>
      </c>
      <c r="V451" s="39" t="n">
        <v>0.57908</v>
      </c>
      <c r="W451" s="40" t="n">
        <v>0.00015</v>
      </c>
      <c r="X451" s="39" t="n">
        <v>0.01902</v>
      </c>
      <c r="Y451" s="40" t="n">
        <v>1E-005</v>
      </c>
    </row>
    <row r="452" customFormat="false" ht="15" hidden="false" customHeight="false" outlineLevel="0" collapsed="false">
      <c r="A452" s="38" t="n">
        <v>507</v>
      </c>
      <c r="B452" s="39" t="n">
        <v>0.01793</v>
      </c>
      <c r="C452" s="40" t="n">
        <v>1E-005</v>
      </c>
      <c r="D452" s="39" t="n">
        <v>-0.0325</v>
      </c>
      <c r="E452" s="40" t="n">
        <v>4E-005</v>
      </c>
      <c r="F452" s="39" t="n">
        <v>0.06946</v>
      </c>
      <c r="G452" s="40" t="n">
        <v>2E-005</v>
      </c>
      <c r="H452" s="39" t="n">
        <v>0.25049</v>
      </c>
      <c r="I452" s="40" t="n">
        <v>0.00011</v>
      </c>
      <c r="J452" s="39" t="n">
        <v>0.35854</v>
      </c>
      <c r="K452" s="40" t="n">
        <v>6E-005</v>
      </c>
      <c r="L452" s="39" t="n">
        <v>0.37527</v>
      </c>
      <c r="M452" s="40" t="n">
        <v>0.0005</v>
      </c>
      <c r="N452" s="39" t="n">
        <v>0.34368</v>
      </c>
      <c r="O452" s="40" t="n">
        <v>4E-005</v>
      </c>
      <c r="P452" s="39" t="n">
        <v>0.38604</v>
      </c>
      <c r="Q452" s="40" t="n">
        <v>0.00034</v>
      </c>
      <c r="R452" s="39" t="n">
        <v>0.54665</v>
      </c>
      <c r="S452" s="40" t="n">
        <v>9E-005</v>
      </c>
      <c r="T452" s="39" t="n">
        <v>0.31772</v>
      </c>
      <c r="U452" s="40" t="n">
        <v>0.00032</v>
      </c>
      <c r="V452" s="39" t="n">
        <v>0.57736</v>
      </c>
      <c r="W452" s="40" t="n">
        <v>0.00015</v>
      </c>
      <c r="X452" s="39" t="n">
        <v>0.0188</v>
      </c>
      <c r="Y452" s="40" t="n">
        <v>1E-005</v>
      </c>
    </row>
    <row r="453" customFormat="false" ht="15" hidden="false" customHeight="false" outlineLevel="0" collapsed="false">
      <c r="A453" s="38" t="n">
        <v>508</v>
      </c>
      <c r="B453" s="39" t="n">
        <v>0.01811</v>
      </c>
      <c r="C453" s="40" t="n">
        <v>1E-005</v>
      </c>
      <c r="D453" s="39" t="n">
        <v>-0.035</v>
      </c>
      <c r="E453" s="40" t="n">
        <v>5E-005</v>
      </c>
      <c r="F453" s="39" t="n">
        <v>0.06883</v>
      </c>
      <c r="G453" s="40" t="n">
        <v>2E-005</v>
      </c>
      <c r="H453" s="39" t="n">
        <v>0.24914</v>
      </c>
      <c r="I453" s="40" t="n">
        <v>0.00011</v>
      </c>
      <c r="J453" s="39" t="n">
        <v>0.3577</v>
      </c>
      <c r="K453" s="40" t="n">
        <v>6E-005</v>
      </c>
      <c r="L453" s="39" t="n">
        <v>0.36901</v>
      </c>
      <c r="M453" s="40" t="n">
        <v>0.00051</v>
      </c>
      <c r="N453" s="39" t="n">
        <v>0.34354</v>
      </c>
      <c r="O453" s="40" t="n">
        <v>4E-005</v>
      </c>
      <c r="P453" s="39" t="n">
        <v>0.38175</v>
      </c>
      <c r="Q453" s="40" t="n">
        <v>0.00035</v>
      </c>
      <c r="R453" s="39" t="n">
        <v>0.54547</v>
      </c>
      <c r="S453" s="40" t="n">
        <v>0.0001</v>
      </c>
      <c r="T453" s="39" t="n">
        <v>0.31398</v>
      </c>
      <c r="U453" s="40" t="n">
        <v>0.00032</v>
      </c>
      <c r="V453" s="39" t="n">
        <v>0.57563</v>
      </c>
      <c r="W453" s="40" t="n">
        <v>0.00015</v>
      </c>
      <c r="X453" s="39" t="n">
        <v>0.0189</v>
      </c>
      <c r="Y453" s="40" t="n">
        <v>0</v>
      </c>
    </row>
    <row r="454" customFormat="false" ht="15" hidden="false" customHeight="false" outlineLevel="0" collapsed="false">
      <c r="A454" s="38" t="n">
        <v>509</v>
      </c>
      <c r="B454" s="39" t="n">
        <v>0.01776</v>
      </c>
      <c r="C454" s="40" t="n">
        <v>1E-005</v>
      </c>
      <c r="D454" s="39" t="n">
        <v>-0.03505</v>
      </c>
      <c r="E454" s="40" t="n">
        <v>8E-005</v>
      </c>
      <c r="F454" s="39" t="n">
        <v>0.06828</v>
      </c>
      <c r="G454" s="40" t="n">
        <v>2E-005</v>
      </c>
      <c r="H454" s="39" t="n">
        <v>0.24743</v>
      </c>
      <c r="I454" s="40" t="n">
        <v>0.00011</v>
      </c>
      <c r="J454" s="39" t="n">
        <v>0.35707</v>
      </c>
      <c r="K454" s="40" t="n">
        <v>6E-005</v>
      </c>
      <c r="L454" s="39" t="n">
        <v>0.36272</v>
      </c>
      <c r="M454" s="40" t="n">
        <v>0.00053</v>
      </c>
      <c r="N454" s="39" t="n">
        <v>0.34286</v>
      </c>
      <c r="O454" s="40" t="n">
        <v>4E-005</v>
      </c>
      <c r="P454" s="39" t="n">
        <v>0.37751</v>
      </c>
      <c r="Q454" s="40" t="n">
        <v>0.00035</v>
      </c>
      <c r="R454" s="39" t="n">
        <v>0.54439</v>
      </c>
      <c r="S454" s="40" t="n">
        <v>0.0001</v>
      </c>
      <c r="T454" s="39" t="n">
        <v>0.31027</v>
      </c>
      <c r="U454" s="40" t="n">
        <v>0.00032</v>
      </c>
      <c r="V454" s="39" t="n">
        <v>0.57356</v>
      </c>
      <c r="W454" s="40" t="n">
        <v>0.00015</v>
      </c>
      <c r="X454" s="39" t="n">
        <v>0.01883</v>
      </c>
      <c r="Y454" s="40" t="n">
        <v>0</v>
      </c>
    </row>
    <row r="455" customFormat="false" ht="15" hidden="false" customHeight="false" outlineLevel="0" collapsed="false">
      <c r="A455" s="38" t="n">
        <v>510</v>
      </c>
      <c r="B455" s="39" t="n">
        <v>0.01759</v>
      </c>
      <c r="C455" s="40" t="n">
        <v>1E-005</v>
      </c>
      <c r="D455" s="39" t="n">
        <v>-0.03594</v>
      </c>
      <c r="E455" s="40" t="n">
        <v>9E-005</v>
      </c>
      <c r="F455" s="39" t="n">
        <v>0.06867</v>
      </c>
      <c r="G455" s="40" t="n">
        <v>2E-005</v>
      </c>
      <c r="H455" s="39" t="n">
        <v>0.24646</v>
      </c>
      <c r="I455" s="40" t="n">
        <v>0.00011</v>
      </c>
      <c r="J455" s="39" t="n">
        <v>0.3564</v>
      </c>
      <c r="K455" s="40" t="n">
        <v>5E-005</v>
      </c>
      <c r="L455" s="39" t="n">
        <v>0.35653</v>
      </c>
      <c r="M455" s="40" t="n">
        <v>0.00054</v>
      </c>
      <c r="N455" s="39" t="n">
        <v>0.34224</v>
      </c>
      <c r="O455" s="40" t="n">
        <v>5E-005</v>
      </c>
      <c r="P455" s="39" t="n">
        <v>0.37357</v>
      </c>
      <c r="Q455" s="40" t="n">
        <v>0.00035</v>
      </c>
      <c r="R455" s="39" t="n">
        <v>0.54315</v>
      </c>
      <c r="S455" s="40" t="n">
        <v>0.0001</v>
      </c>
      <c r="T455" s="39" t="n">
        <v>0.30633</v>
      </c>
      <c r="U455" s="40" t="n">
        <v>0.00032</v>
      </c>
      <c r="V455" s="39" t="n">
        <v>0.57189</v>
      </c>
      <c r="W455" s="40" t="n">
        <v>0.00015</v>
      </c>
      <c r="X455" s="39" t="n">
        <v>0.01856</v>
      </c>
      <c r="Y455" s="40" t="n">
        <v>0</v>
      </c>
    </row>
    <row r="456" customFormat="false" ht="15" hidden="false" customHeight="false" outlineLevel="0" collapsed="false">
      <c r="A456" s="38" t="n">
        <v>511</v>
      </c>
      <c r="B456" s="39" t="n">
        <v>0.01732</v>
      </c>
      <c r="C456" s="40" t="n">
        <v>1E-005</v>
      </c>
      <c r="D456" s="39" t="n">
        <v>-0.03566</v>
      </c>
      <c r="E456" s="40" t="n">
        <v>6E-005</v>
      </c>
      <c r="F456" s="39" t="n">
        <v>0.06838</v>
      </c>
      <c r="G456" s="40" t="n">
        <v>2E-005</v>
      </c>
      <c r="H456" s="39" t="n">
        <v>0.24549</v>
      </c>
      <c r="I456" s="40" t="n">
        <v>0.0001</v>
      </c>
      <c r="J456" s="39" t="n">
        <v>0.35581</v>
      </c>
      <c r="K456" s="40" t="n">
        <v>5E-005</v>
      </c>
      <c r="L456" s="39" t="n">
        <v>0.35007</v>
      </c>
      <c r="M456" s="40" t="n">
        <v>0.00054</v>
      </c>
      <c r="N456" s="39" t="n">
        <v>0.34171</v>
      </c>
      <c r="O456" s="40" t="n">
        <v>4E-005</v>
      </c>
      <c r="P456" s="39" t="n">
        <v>0.36931</v>
      </c>
      <c r="Q456" s="40" t="n">
        <v>0.00036</v>
      </c>
      <c r="R456" s="39" t="n">
        <v>0.54191</v>
      </c>
      <c r="S456" s="40" t="n">
        <v>0.0001</v>
      </c>
      <c r="T456" s="39" t="n">
        <v>0.30236</v>
      </c>
      <c r="U456" s="40" t="n">
        <v>0.00032</v>
      </c>
      <c r="V456" s="39" t="n">
        <v>0.56996</v>
      </c>
      <c r="W456" s="40" t="n">
        <v>0.00015</v>
      </c>
      <c r="X456" s="39" t="n">
        <v>0.01867</v>
      </c>
      <c r="Y456" s="40" t="n">
        <v>0</v>
      </c>
    </row>
    <row r="457" customFormat="false" ht="15" hidden="false" customHeight="false" outlineLevel="0" collapsed="false">
      <c r="A457" s="38" t="n">
        <v>512</v>
      </c>
      <c r="B457" s="39" t="n">
        <v>0.01747</v>
      </c>
      <c r="C457" s="40" t="n">
        <v>1E-005</v>
      </c>
      <c r="D457" s="39" t="n">
        <v>-0.03747</v>
      </c>
      <c r="E457" s="40" t="n">
        <v>4E-005</v>
      </c>
      <c r="F457" s="39" t="n">
        <v>0.06796</v>
      </c>
      <c r="G457" s="40" t="n">
        <v>2E-005</v>
      </c>
      <c r="H457" s="39" t="n">
        <v>0.24424</v>
      </c>
      <c r="I457" s="40" t="n">
        <v>0.0001</v>
      </c>
      <c r="J457" s="39" t="n">
        <v>0.35513</v>
      </c>
      <c r="K457" s="40" t="n">
        <v>6E-005</v>
      </c>
      <c r="L457" s="39" t="n">
        <v>0.34337</v>
      </c>
      <c r="M457" s="40" t="n">
        <v>0.00055</v>
      </c>
      <c r="N457" s="39" t="n">
        <v>0.34131</v>
      </c>
      <c r="O457" s="40" t="n">
        <v>5E-005</v>
      </c>
      <c r="P457" s="39" t="n">
        <v>0.36476</v>
      </c>
      <c r="Q457" s="40" t="n">
        <v>0.00036</v>
      </c>
      <c r="R457" s="39" t="n">
        <v>0.54074</v>
      </c>
      <c r="S457" s="40" t="n">
        <v>0.0001</v>
      </c>
      <c r="T457" s="39" t="n">
        <v>0.29861</v>
      </c>
      <c r="U457" s="40" t="n">
        <v>0.00032</v>
      </c>
      <c r="V457" s="39" t="n">
        <v>0.56825</v>
      </c>
      <c r="W457" s="40" t="n">
        <v>0.00015</v>
      </c>
      <c r="X457" s="39" t="n">
        <v>0.01891</v>
      </c>
      <c r="Y457" s="40" t="n">
        <v>0</v>
      </c>
    </row>
    <row r="458" customFormat="false" ht="15" hidden="false" customHeight="false" outlineLevel="0" collapsed="false">
      <c r="A458" s="38" t="n">
        <v>513</v>
      </c>
      <c r="B458" s="39" t="n">
        <v>0.01753</v>
      </c>
      <c r="C458" s="40" t="n">
        <v>1E-005</v>
      </c>
      <c r="D458" s="39" t="n">
        <v>-0.03862</v>
      </c>
      <c r="E458" s="40" t="n">
        <v>6E-005</v>
      </c>
      <c r="F458" s="39" t="n">
        <v>0.06776</v>
      </c>
      <c r="G458" s="40" t="n">
        <v>3E-005</v>
      </c>
      <c r="H458" s="39" t="n">
        <v>0.24278</v>
      </c>
      <c r="I458" s="40" t="n">
        <v>0.0001</v>
      </c>
      <c r="J458" s="39" t="n">
        <v>0.35441</v>
      </c>
      <c r="K458" s="40" t="n">
        <v>6E-005</v>
      </c>
      <c r="L458" s="39" t="n">
        <v>0.33683</v>
      </c>
      <c r="M458" s="40" t="n">
        <v>0.00055</v>
      </c>
      <c r="N458" s="39" t="n">
        <v>0.34051</v>
      </c>
      <c r="O458" s="40" t="n">
        <v>6E-005</v>
      </c>
      <c r="P458" s="39" t="n">
        <v>0.3606</v>
      </c>
      <c r="Q458" s="40" t="n">
        <v>0.00037</v>
      </c>
      <c r="R458" s="39" t="n">
        <v>0.53966</v>
      </c>
      <c r="S458" s="40" t="n">
        <v>0.0001</v>
      </c>
      <c r="T458" s="39" t="n">
        <v>0.29495</v>
      </c>
      <c r="U458" s="40" t="n">
        <v>0.00031</v>
      </c>
      <c r="V458" s="39" t="n">
        <v>0.56647</v>
      </c>
      <c r="W458" s="40" t="n">
        <v>0.00015</v>
      </c>
      <c r="X458" s="39" t="n">
        <v>0.01887</v>
      </c>
      <c r="Y458" s="40" t="n">
        <v>0</v>
      </c>
    </row>
    <row r="459" customFormat="false" ht="15" hidden="false" customHeight="false" outlineLevel="0" collapsed="false">
      <c r="A459" s="38" t="n">
        <v>514</v>
      </c>
      <c r="B459" s="39" t="n">
        <v>0.01726</v>
      </c>
      <c r="C459" s="40" t="n">
        <v>1E-005</v>
      </c>
      <c r="D459" s="39" t="n">
        <v>-0.03854</v>
      </c>
      <c r="E459" s="40" t="n">
        <v>5E-005</v>
      </c>
      <c r="F459" s="39" t="n">
        <v>0.06757</v>
      </c>
      <c r="G459" s="40" t="n">
        <v>4E-005</v>
      </c>
      <c r="H459" s="39" t="n">
        <v>0.24152</v>
      </c>
      <c r="I459" s="40" t="n">
        <v>0.00011</v>
      </c>
      <c r="J459" s="39" t="n">
        <v>0.35386</v>
      </c>
      <c r="K459" s="40" t="n">
        <v>6E-005</v>
      </c>
      <c r="L459" s="39" t="n">
        <v>0.32989</v>
      </c>
      <c r="M459" s="40" t="n">
        <v>0.00057</v>
      </c>
      <c r="N459" s="39" t="n">
        <v>0.33992</v>
      </c>
      <c r="O459" s="40" t="n">
        <v>5E-005</v>
      </c>
      <c r="P459" s="39" t="n">
        <v>0.35611</v>
      </c>
      <c r="Q459" s="40" t="n">
        <v>0.00037</v>
      </c>
      <c r="R459" s="39" t="n">
        <v>0.53855</v>
      </c>
      <c r="S459" s="40" t="n">
        <v>0.0001</v>
      </c>
      <c r="T459" s="39" t="n">
        <v>0.29126</v>
      </c>
      <c r="U459" s="40" t="n">
        <v>0.00031</v>
      </c>
      <c r="V459" s="39" t="n">
        <v>0.56461</v>
      </c>
      <c r="W459" s="40" t="n">
        <v>0.00015</v>
      </c>
      <c r="X459" s="39" t="n">
        <v>0.01861</v>
      </c>
      <c r="Y459" s="40" t="n">
        <v>0</v>
      </c>
    </row>
    <row r="460" customFormat="false" ht="15" hidden="false" customHeight="false" outlineLevel="0" collapsed="false">
      <c r="A460" s="38" t="n">
        <v>515</v>
      </c>
      <c r="B460" s="39" t="n">
        <v>0.01701</v>
      </c>
      <c r="C460" s="40" t="n">
        <v>2E-005</v>
      </c>
      <c r="D460" s="39" t="n">
        <v>-0.03868</v>
      </c>
      <c r="E460" s="40" t="n">
        <v>3E-005</v>
      </c>
      <c r="F460" s="39" t="n">
        <v>0.06712</v>
      </c>
      <c r="G460" s="40" t="n">
        <v>3E-005</v>
      </c>
      <c r="H460" s="39" t="n">
        <v>0.24019</v>
      </c>
      <c r="I460" s="40" t="n">
        <v>0.00011</v>
      </c>
      <c r="J460" s="39" t="n">
        <v>0.35314</v>
      </c>
      <c r="K460" s="40" t="n">
        <v>6E-005</v>
      </c>
      <c r="L460" s="39" t="n">
        <v>0.32351</v>
      </c>
      <c r="M460" s="40" t="n">
        <v>0.00058</v>
      </c>
      <c r="N460" s="39" t="n">
        <v>0.33933</v>
      </c>
      <c r="O460" s="40" t="n">
        <v>6E-005</v>
      </c>
      <c r="P460" s="39" t="n">
        <v>0.3516</v>
      </c>
      <c r="Q460" s="40" t="n">
        <v>0.00038</v>
      </c>
      <c r="R460" s="39" t="n">
        <v>0.53731</v>
      </c>
      <c r="S460" s="40" t="n">
        <v>0.0001</v>
      </c>
      <c r="T460" s="39" t="n">
        <v>0.2875</v>
      </c>
      <c r="U460" s="40" t="n">
        <v>0.0003</v>
      </c>
      <c r="V460" s="39" t="n">
        <v>0.56273</v>
      </c>
      <c r="W460" s="40" t="n">
        <v>0.00015</v>
      </c>
      <c r="X460" s="39" t="n">
        <v>0.01849</v>
      </c>
      <c r="Y460" s="40" t="n">
        <v>1E-005</v>
      </c>
    </row>
    <row r="461" customFormat="false" ht="15" hidden="false" customHeight="false" outlineLevel="0" collapsed="false">
      <c r="A461" s="38" t="n">
        <v>516</v>
      </c>
      <c r="B461" s="39" t="n">
        <v>0.01675</v>
      </c>
      <c r="C461" s="40" t="n">
        <v>2E-005</v>
      </c>
      <c r="D461" s="39" t="n">
        <v>-0.03955</v>
      </c>
      <c r="E461" s="40" t="n">
        <v>1E-005</v>
      </c>
      <c r="F461" s="39" t="n">
        <v>0.06652</v>
      </c>
      <c r="G461" s="40" t="n">
        <v>2E-005</v>
      </c>
      <c r="H461" s="39" t="n">
        <v>0.23882</v>
      </c>
      <c r="I461" s="40" t="n">
        <v>0.00011</v>
      </c>
      <c r="J461" s="39" t="n">
        <v>0.35208</v>
      </c>
      <c r="K461" s="40" t="n">
        <v>5E-005</v>
      </c>
      <c r="L461" s="39" t="n">
        <v>0.31638</v>
      </c>
      <c r="M461" s="40" t="n">
        <v>0.00058</v>
      </c>
      <c r="N461" s="39" t="n">
        <v>0.33836</v>
      </c>
      <c r="O461" s="40" t="n">
        <v>6E-005</v>
      </c>
      <c r="P461" s="39" t="n">
        <v>0.34694</v>
      </c>
      <c r="Q461" s="40" t="n">
        <v>0.00038</v>
      </c>
      <c r="R461" s="39" t="n">
        <v>0.53612</v>
      </c>
      <c r="S461" s="40" t="n">
        <v>0.0001</v>
      </c>
      <c r="T461" s="39" t="n">
        <v>0.28395</v>
      </c>
      <c r="U461" s="40" t="n">
        <v>0.0003</v>
      </c>
      <c r="V461" s="39" t="n">
        <v>0.561</v>
      </c>
      <c r="W461" s="40" t="n">
        <v>0.00015</v>
      </c>
      <c r="X461" s="39" t="n">
        <v>0.01843</v>
      </c>
      <c r="Y461" s="40" t="n">
        <v>1E-005</v>
      </c>
    </row>
    <row r="462" customFormat="false" ht="15" hidden="false" customHeight="false" outlineLevel="0" collapsed="false">
      <c r="A462" s="38" t="n">
        <v>517</v>
      </c>
      <c r="B462" s="39" t="n">
        <v>0.0165</v>
      </c>
      <c r="C462" s="40" t="n">
        <v>2E-005</v>
      </c>
      <c r="D462" s="39" t="n">
        <v>-0.0397</v>
      </c>
      <c r="E462" s="40" t="n">
        <v>2E-005</v>
      </c>
      <c r="F462" s="39" t="n">
        <v>0.06614</v>
      </c>
      <c r="G462" s="40" t="n">
        <v>3E-005</v>
      </c>
      <c r="H462" s="39" t="n">
        <v>0.23743</v>
      </c>
      <c r="I462" s="40" t="n">
        <v>0.00011</v>
      </c>
      <c r="J462" s="39" t="n">
        <v>0.3517</v>
      </c>
      <c r="K462" s="40" t="n">
        <v>5E-005</v>
      </c>
      <c r="L462" s="39" t="n">
        <v>0.3094</v>
      </c>
      <c r="M462" s="40" t="n">
        <v>0.00059</v>
      </c>
      <c r="N462" s="39" t="n">
        <v>0.3376</v>
      </c>
      <c r="O462" s="40" t="n">
        <v>6E-005</v>
      </c>
      <c r="P462" s="39" t="n">
        <v>0.3424</v>
      </c>
      <c r="Q462" s="40" t="n">
        <v>0.00039</v>
      </c>
      <c r="R462" s="39" t="n">
        <v>0.53492</v>
      </c>
      <c r="S462" s="40" t="n">
        <v>0.0001</v>
      </c>
      <c r="T462" s="39" t="n">
        <v>0.28058</v>
      </c>
      <c r="U462" s="40" t="n">
        <v>0.00031</v>
      </c>
      <c r="V462" s="39" t="n">
        <v>0.55921</v>
      </c>
      <c r="W462" s="40" t="n">
        <v>0.00015</v>
      </c>
      <c r="X462" s="39" t="n">
        <v>0.01864</v>
      </c>
      <c r="Y462" s="40" t="n">
        <v>1E-005</v>
      </c>
    </row>
    <row r="463" customFormat="false" ht="15" hidden="false" customHeight="false" outlineLevel="0" collapsed="false">
      <c r="A463" s="38" t="n">
        <v>518</v>
      </c>
      <c r="B463" s="39" t="n">
        <v>0.01632</v>
      </c>
      <c r="C463" s="40" t="n">
        <v>2E-005</v>
      </c>
      <c r="D463" s="39" t="n">
        <v>-0.03977</v>
      </c>
      <c r="E463" s="40" t="n">
        <v>4E-005</v>
      </c>
      <c r="F463" s="39" t="n">
        <v>0.06594</v>
      </c>
      <c r="G463" s="40" t="n">
        <v>2E-005</v>
      </c>
      <c r="H463" s="39" t="n">
        <v>0.23603</v>
      </c>
      <c r="I463" s="40" t="n">
        <v>0.0001</v>
      </c>
      <c r="J463" s="39" t="n">
        <v>0.35126</v>
      </c>
      <c r="K463" s="40" t="n">
        <v>5E-005</v>
      </c>
      <c r="L463" s="39" t="n">
        <v>0.30198</v>
      </c>
      <c r="M463" s="40" t="n">
        <v>0.0006</v>
      </c>
      <c r="N463" s="39" t="n">
        <v>0.3374</v>
      </c>
      <c r="O463" s="40" t="n">
        <v>6E-005</v>
      </c>
      <c r="P463" s="39" t="n">
        <v>0.33786</v>
      </c>
      <c r="Q463" s="40" t="n">
        <v>0.0004</v>
      </c>
      <c r="R463" s="39" t="n">
        <v>0.53383</v>
      </c>
      <c r="S463" s="40" t="n">
        <v>0.0001</v>
      </c>
      <c r="T463" s="39" t="n">
        <v>0.27658</v>
      </c>
      <c r="U463" s="40" t="n">
        <v>0.0003</v>
      </c>
      <c r="V463" s="39" t="n">
        <v>0.55733</v>
      </c>
      <c r="W463" s="40" t="n">
        <v>0.00015</v>
      </c>
      <c r="X463" s="39" t="n">
        <v>0.01832</v>
      </c>
      <c r="Y463" s="40" t="n">
        <v>1E-005</v>
      </c>
    </row>
    <row r="464" customFormat="false" ht="15" hidden="false" customHeight="false" outlineLevel="0" collapsed="false">
      <c r="A464" s="38" t="n">
        <v>519</v>
      </c>
      <c r="B464" s="39" t="n">
        <v>0.01613</v>
      </c>
      <c r="C464" s="40" t="n">
        <v>1E-005</v>
      </c>
      <c r="D464" s="39" t="n">
        <v>-0.03978</v>
      </c>
      <c r="E464" s="40" t="n">
        <v>6E-005</v>
      </c>
      <c r="F464" s="39" t="n">
        <v>0.06619</v>
      </c>
      <c r="G464" s="40" t="n">
        <v>2E-005</v>
      </c>
      <c r="H464" s="39" t="n">
        <v>0.23517</v>
      </c>
      <c r="I464" s="40" t="n">
        <v>0.0001</v>
      </c>
      <c r="J464" s="39" t="n">
        <v>0.35045</v>
      </c>
      <c r="K464" s="40" t="n">
        <v>5E-005</v>
      </c>
      <c r="L464" s="39" t="n">
        <v>0.29483</v>
      </c>
      <c r="M464" s="40" t="n">
        <v>0.0006</v>
      </c>
      <c r="N464" s="39" t="n">
        <v>0.33635</v>
      </c>
      <c r="O464" s="40" t="n">
        <v>6E-005</v>
      </c>
      <c r="P464" s="39" t="n">
        <v>0.33291</v>
      </c>
      <c r="Q464" s="40" t="n">
        <v>0.00041</v>
      </c>
      <c r="R464" s="39" t="n">
        <v>0.53225</v>
      </c>
      <c r="S464" s="40" t="n">
        <v>0.0001</v>
      </c>
      <c r="T464" s="39" t="n">
        <v>0.27298</v>
      </c>
      <c r="U464" s="40" t="n">
        <v>0.0003</v>
      </c>
      <c r="V464" s="39" t="n">
        <v>0.55556</v>
      </c>
      <c r="W464" s="40" t="n">
        <v>0.00015</v>
      </c>
      <c r="X464" s="39" t="n">
        <v>0.01828</v>
      </c>
      <c r="Y464" s="40" t="n">
        <v>1E-005</v>
      </c>
    </row>
    <row r="465" customFormat="false" ht="15" hidden="false" customHeight="false" outlineLevel="0" collapsed="false">
      <c r="A465" s="38" t="n">
        <v>520</v>
      </c>
      <c r="B465" s="39" t="n">
        <v>0.0161</v>
      </c>
      <c r="C465" s="40" t="n">
        <v>1E-005</v>
      </c>
      <c r="D465" s="39" t="n">
        <v>-0.04103</v>
      </c>
      <c r="E465" s="40" t="n">
        <v>8E-005</v>
      </c>
      <c r="F465" s="39" t="n">
        <v>0.06589</v>
      </c>
      <c r="G465" s="40" t="n">
        <v>1E-005</v>
      </c>
      <c r="H465" s="39" t="n">
        <v>0.23403</v>
      </c>
      <c r="I465" s="40" t="n">
        <v>0.0001</v>
      </c>
      <c r="J465" s="39" t="n">
        <v>0.3499</v>
      </c>
      <c r="K465" s="40" t="n">
        <v>5E-005</v>
      </c>
      <c r="L465" s="39" t="n">
        <v>0.28782</v>
      </c>
      <c r="M465" s="40" t="n">
        <v>0.00061</v>
      </c>
      <c r="N465" s="39" t="n">
        <v>0.33551</v>
      </c>
      <c r="O465" s="40" t="n">
        <v>6E-005</v>
      </c>
      <c r="P465" s="39" t="n">
        <v>0.3279</v>
      </c>
      <c r="Q465" s="40" t="n">
        <v>0.00042</v>
      </c>
      <c r="R465" s="39" t="n">
        <v>0.53118</v>
      </c>
      <c r="S465" s="40" t="n">
        <v>0.0001</v>
      </c>
      <c r="T465" s="39" t="n">
        <v>0.26934</v>
      </c>
      <c r="U465" s="40" t="n">
        <v>0.0003</v>
      </c>
      <c r="V465" s="39" t="n">
        <v>0.55362</v>
      </c>
      <c r="W465" s="40" t="n">
        <v>0.00015</v>
      </c>
      <c r="X465" s="39" t="n">
        <v>0.01824</v>
      </c>
      <c r="Y465" s="40" t="n">
        <v>1E-005</v>
      </c>
    </row>
    <row r="466" customFormat="false" ht="15" hidden="false" customHeight="false" outlineLevel="0" collapsed="false">
      <c r="A466" s="38" t="n">
        <v>521</v>
      </c>
      <c r="B466" s="39" t="n">
        <v>0.01576</v>
      </c>
      <c r="C466" s="40" t="n">
        <v>2E-005</v>
      </c>
      <c r="D466" s="39" t="n">
        <v>-0.04237</v>
      </c>
      <c r="E466" s="40" t="n">
        <v>9E-005</v>
      </c>
      <c r="F466" s="39" t="n">
        <v>0.0654</v>
      </c>
      <c r="G466" s="40" t="n">
        <v>1E-005</v>
      </c>
      <c r="H466" s="39" t="n">
        <v>0.2326</v>
      </c>
      <c r="I466" s="40" t="n">
        <v>9E-005</v>
      </c>
      <c r="J466" s="39" t="n">
        <v>0.3492</v>
      </c>
      <c r="K466" s="40" t="n">
        <v>6E-005</v>
      </c>
      <c r="L466" s="39" t="n">
        <v>0.28049</v>
      </c>
      <c r="M466" s="40" t="n">
        <v>0.00061</v>
      </c>
      <c r="N466" s="39" t="n">
        <v>0.3347</v>
      </c>
      <c r="O466" s="40" t="n">
        <v>6E-005</v>
      </c>
      <c r="P466" s="39" t="n">
        <v>0.32306</v>
      </c>
      <c r="Q466" s="40" t="n">
        <v>0.00043</v>
      </c>
      <c r="R466" s="39" t="n">
        <v>0.53023</v>
      </c>
      <c r="S466" s="40" t="n">
        <v>0.0001</v>
      </c>
      <c r="T466" s="39" t="n">
        <v>0.26583</v>
      </c>
      <c r="U466" s="40" t="n">
        <v>0.0003</v>
      </c>
      <c r="V466" s="39" t="n">
        <v>0.5518</v>
      </c>
      <c r="W466" s="40" t="n">
        <v>0.00016</v>
      </c>
      <c r="X466" s="39" t="n">
        <v>0.0181</v>
      </c>
      <c r="Y466" s="40" t="n">
        <v>1E-005</v>
      </c>
    </row>
    <row r="467" customFormat="false" ht="15" hidden="false" customHeight="false" outlineLevel="0" collapsed="false">
      <c r="A467" s="38" t="n">
        <v>522</v>
      </c>
      <c r="B467" s="39" t="n">
        <v>0.01564</v>
      </c>
      <c r="C467" s="40" t="n">
        <v>2E-005</v>
      </c>
      <c r="D467" s="39" t="n">
        <v>-0.04306</v>
      </c>
      <c r="E467" s="40" t="n">
        <v>0.0001</v>
      </c>
      <c r="F467" s="39" t="n">
        <v>0.0652</v>
      </c>
      <c r="G467" s="40" t="n">
        <v>1E-005</v>
      </c>
      <c r="H467" s="39" t="n">
        <v>0.23152</v>
      </c>
      <c r="I467" s="40" t="n">
        <v>9E-005</v>
      </c>
      <c r="J467" s="39" t="n">
        <v>0.34846</v>
      </c>
      <c r="K467" s="40" t="n">
        <v>6E-005</v>
      </c>
      <c r="L467" s="39" t="n">
        <v>0.27306</v>
      </c>
      <c r="M467" s="40" t="n">
        <v>0.00061</v>
      </c>
      <c r="N467" s="39" t="n">
        <v>0.33402</v>
      </c>
      <c r="O467" s="40" t="n">
        <v>6E-005</v>
      </c>
      <c r="P467" s="39" t="n">
        <v>0.31741</v>
      </c>
      <c r="Q467" s="40" t="n">
        <v>0.00044</v>
      </c>
      <c r="R467" s="39" t="n">
        <v>0.52907</v>
      </c>
      <c r="S467" s="40" t="n">
        <v>0.00011</v>
      </c>
      <c r="T467" s="39" t="n">
        <v>0.26238</v>
      </c>
      <c r="U467" s="40" t="n">
        <v>0.00029</v>
      </c>
      <c r="V467" s="39" t="n">
        <v>0.54982</v>
      </c>
      <c r="W467" s="40" t="n">
        <v>0.00016</v>
      </c>
      <c r="X467" s="39" t="n">
        <v>0.01784</v>
      </c>
      <c r="Y467" s="40" t="n">
        <v>1E-005</v>
      </c>
    </row>
    <row r="468" customFormat="false" ht="15" hidden="false" customHeight="false" outlineLevel="0" collapsed="false">
      <c r="A468" s="38" t="n">
        <v>523</v>
      </c>
      <c r="B468" s="39" t="n">
        <v>0.01554</v>
      </c>
      <c r="C468" s="40" t="n">
        <v>1E-005</v>
      </c>
      <c r="D468" s="39" t="n">
        <v>-0.04469</v>
      </c>
      <c r="E468" s="40" t="n">
        <v>7E-005</v>
      </c>
      <c r="F468" s="39" t="n">
        <v>0.06527</v>
      </c>
      <c r="G468" s="40" t="n">
        <v>2E-005</v>
      </c>
      <c r="H468" s="39" t="n">
        <v>0.23063</v>
      </c>
      <c r="I468" s="40" t="n">
        <v>0.0001</v>
      </c>
      <c r="J468" s="39" t="n">
        <v>0.34779</v>
      </c>
      <c r="K468" s="40" t="n">
        <v>6E-005</v>
      </c>
      <c r="L468" s="39" t="n">
        <v>0.2658</v>
      </c>
      <c r="M468" s="40" t="n">
        <v>0.00062</v>
      </c>
      <c r="N468" s="39" t="n">
        <v>0.33353</v>
      </c>
      <c r="O468" s="40" t="n">
        <v>5E-005</v>
      </c>
      <c r="P468" s="39" t="n">
        <v>0.31243</v>
      </c>
      <c r="Q468" s="40" t="n">
        <v>0.00044</v>
      </c>
      <c r="R468" s="39" t="n">
        <v>0.52752</v>
      </c>
      <c r="S468" s="40" t="n">
        <v>0.0001</v>
      </c>
      <c r="T468" s="39" t="n">
        <v>0.25894</v>
      </c>
      <c r="U468" s="40" t="n">
        <v>0.00029</v>
      </c>
      <c r="V468" s="39" t="n">
        <v>0.548</v>
      </c>
      <c r="W468" s="40" t="n">
        <v>0.00016</v>
      </c>
      <c r="X468" s="39" t="n">
        <v>0.01774</v>
      </c>
      <c r="Y468" s="40" t="n">
        <v>0</v>
      </c>
    </row>
    <row r="469" customFormat="false" ht="15" hidden="false" customHeight="false" outlineLevel="0" collapsed="false">
      <c r="A469" s="38" t="n">
        <v>524</v>
      </c>
      <c r="B469" s="39" t="n">
        <v>0.01519</v>
      </c>
      <c r="C469" s="40" t="n">
        <v>1E-005</v>
      </c>
      <c r="D469" s="39" t="n">
        <v>-0.04587</v>
      </c>
      <c r="E469" s="40" t="n">
        <v>2E-005</v>
      </c>
      <c r="F469" s="39" t="n">
        <v>0.06525</v>
      </c>
      <c r="G469" s="40" t="n">
        <v>2E-005</v>
      </c>
      <c r="H469" s="39" t="n">
        <v>0.22946</v>
      </c>
      <c r="I469" s="40" t="n">
        <v>9E-005</v>
      </c>
      <c r="J469" s="39" t="n">
        <v>0.34711</v>
      </c>
      <c r="K469" s="40" t="n">
        <v>6E-005</v>
      </c>
      <c r="L469" s="39" t="n">
        <v>0.25834</v>
      </c>
      <c r="M469" s="40" t="n">
        <v>0.00062</v>
      </c>
      <c r="N469" s="39" t="n">
        <v>0.33305</v>
      </c>
      <c r="O469" s="40" t="n">
        <v>5E-005</v>
      </c>
      <c r="P469" s="39" t="n">
        <v>0.30712</v>
      </c>
      <c r="Q469" s="40" t="n">
        <v>0.00044</v>
      </c>
      <c r="R469" s="39" t="n">
        <v>0.52618</v>
      </c>
      <c r="S469" s="40" t="n">
        <v>0.00011</v>
      </c>
      <c r="T469" s="39" t="n">
        <v>0.25559</v>
      </c>
      <c r="U469" s="40" t="n">
        <v>0.00029</v>
      </c>
      <c r="V469" s="39" t="n">
        <v>0.54622</v>
      </c>
      <c r="W469" s="40" t="n">
        <v>0.00016</v>
      </c>
      <c r="X469" s="39" t="n">
        <v>0.01766</v>
      </c>
      <c r="Y469" s="40" t="n">
        <v>1E-005</v>
      </c>
    </row>
    <row r="470" customFormat="false" ht="15" hidden="false" customHeight="false" outlineLevel="0" collapsed="false">
      <c r="A470" s="38" t="n">
        <v>525</v>
      </c>
      <c r="B470" s="39" t="n">
        <v>0.01509</v>
      </c>
      <c r="C470" s="40" t="n">
        <v>1E-005</v>
      </c>
      <c r="D470" s="39" t="n">
        <v>-0.0459</v>
      </c>
      <c r="E470" s="40" t="n">
        <v>1E-005</v>
      </c>
      <c r="F470" s="39" t="n">
        <v>0.06481</v>
      </c>
      <c r="G470" s="40" t="n">
        <v>3E-005</v>
      </c>
      <c r="H470" s="39" t="n">
        <v>0.22846</v>
      </c>
      <c r="I470" s="40" t="n">
        <v>8E-005</v>
      </c>
      <c r="J470" s="39" t="n">
        <v>0.34644</v>
      </c>
      <c r="K470" s="40" t="n">
        <v>6E-005</v>
      </c>
      <c r="L470" s="39" t="n">
        <v>0.25091</v>
      </c>
      <c r="M470" s="40" t="n">
        <v>0.00062</v>
      </c>
      <c r="N470" s="39" t="n">
        <v>0.33234</v>
      </c>
      <c r="O470" s="40" t="n">
        <v>5E-005</v>
      </c>
      <c r="P470" s="39" t="n">
        <v>0.30169</v>
      </c>
      <c r="Q470" s="40" t="n">
        <v>0.00044</v>
      </c>
      <c r="R470" s="39" t="n">
        <v>0.52485</v>
      </c>
      <c r="S470" s="40" t="n">
        <v>0.00011</v>
      </c>
      <c r="T470" s="39" t="n">
        <v>0.25211</v>
      </c>
      <c r="U470" s="40" t="n">
        <v>0.00028</v>
      </c>
      <c r="V470" s="39" t="n">
        <v>0.54414</v>
      </c>
      <c r="W470" s="40" t="n">
        <v>0.00016</v>
      </c>
      <c r="X470" s="39" t="n">
        <v>0.01781</v>
      </c>
      <c r="Y470" s="40" t="n">
        <v>1E-005</v>
      </c>
    </row>
    <row r="471" customFormat="false" ht="15" hidden="false" customHeight="false" outlineLevel="0" collapsed="false">
      <c r="A471" s="38" t="n">
        <v>526</v>
      </c>
      <c r="B471" s="39" t="n">
        <v>0.01507</v>
      </c>
      <c r="C471" s="40" t="n">
        <v>0</v>
      </c>
      <c r="D471" s="39" t="n">
        <v>-0.04523</v>
      </c>
      <c r="E471" s="40" t="n">
        <v>2E-005</v>
      </c>
      <c r="F471" s="39" t="n">
        <v>0.06456</v>
      </c>
      <c r="G471" s="40" t="n">
        <v>3E-005</v>
      </c>
      <c r="H471" s="39" t="n">
        <v>0.22733</v>
      </c>
      <c r="I471" s="40" t="n">
        <v>9E-005</v>
      </c>
      <c r="J471" s="39" t="n">
        <v>0.3458</v>
      </c>
      <c r="K471" s="40" t="n">
        <v>6E-005</v>
      </c>
      <c r="L471" s="39" t="n">
        <v>0.24333</v>
      </c>
      <c r="M471" s="40" t="n">
        <v>0.00062</v>
      </c>
      <c r="N471" s="39" t="n">
        <v>0.3316</v>
      </c>
      <c r="O471" s="40" t="n">
        <v>5E-005</v>
      </c>
      <c r="P471" s="39" t="n">
        <v>0.29662</v>
      </c>
      <c r="Q471" s="40" t="n">
        <v>0.00044</v>
      </c>
      <c r="R471" s="39" t="n">
        <v>0.5236</v>
      </c>
      <c r="S471" s="40" t="n">
        <v>0.00011</v>
      </c>
      <c r="T471" s="39" t="n">
        <v>0.24874</v>
      </c>
      <c r="U471" s="40" t="n">
        <v>0.00028</v>
      </c>
      <c r="V471" s="39" t="n">
        <v>0.54215</v>
      </c>
      <c r="W471" s="40" t="n">
        <v>0.00016</v>
      </c>
      <c r="X471" s="39" t="n">
        <v>0.01781</v>
      </c>
      <c r="Y471" s="40" t="n">
        <v>1E-005</v>
      </c>
    </row>
    <row r="472" customFormat="false" ht="15" hidden="false" customHeight="false" outlineLevel="0" collapsed="false">
      <c r="A472" s="38" t="n">
        <v>527</v>
      </c>
      <c r="B472" s="39" t="n">
        <v>0.01541</v>
      </c>
      <c r="C472" s="40" t="n">
        <v>0</v>
      </c>
      <c r="D472" s="39" t="n">
        <v>-0.04506</v>
      </c>
      <c r="E472" s="40" t="n">
        <v>4E-005</v>
      </c>
      <c r="F472" s="39" t="n">
        <v>0.06371</v>
      </c>
      <c r="G472" s="40" t="n">
        <v>3E-005</v>
      </c>
      <c r="H472" s="39" t="n">
        <v>0.22614</v>
      </c>
      <c r="I472" s="40" t="n">
        <v>9E-005</v>
      </c>
      <c r="J472" s="39" t="n">
        <v>0.34502</v>
      </c>
      <c r="K472" s="40" t="n">
        <v>5E-005</v>
      </c>
      <c r="L472" s="39" t="n">
        <v>0.2358</v>
      </c>
      <c r="M472" s="40" t="n">
        <v>0.00062</v>
      </c>
      <c r="N472" s="39" t="n">
        <v>0.33099</v>
      </c>
      <c r="O472" s="40" t="n">
        <v>5E-005</v>
      </c>
      <c r="P472" s="39" t="n">
        <v>0.29122</v>
      </c>
      <c r="Q472" s="40" t="n">
        <v>0.00044</v>
      </c>
      <c r="R472" s="39" t="n">
        <v>0.52253</v>
      </c>
      <c r="S472" s="40" t="n">
        <v>0.0001</v>
      </c>
      <c r="T472" s="39" t="n">
        <v>0.24536</v>
      </c>
      <c r="U472" s="40" t="n">
        <v>0.00028</v>
      </c>
      <c r="V472" s="39" t="n">
        <v>0.54007</v>
      </c>
      <c r="W472" s="40" t="n">
        <v>0.00016</v>
      </c>
      <c r="X472" s="39" t="n">
        <v>0.01758</v>
      </c>
      <c r="Y472" s="40" t="n">
        <v>1E-005</v>
      </c>
    </row>
    <row r="473" customFormat="false" ht="15" hidden="false" customHeight="false" outlineLevel="0" collapsed="false">
      <c r="A473" s="38" t="n">
        <v>528</v>
      </c>
      <c r="B473" s="39" t="n">
        <v>0.01522</v>
      </c>
      <c r="C473" s="40" t="n">
        <v>-1E-005</v>
      </c>
      <c r="D473" s="39" t="n">
        <v>-0.04432</v>
      </c>
      <c r="E473" s="40" t="n">
        <v>3E-005</v>
      </c>
      <c r="F473" s="39" t="n">
        <v>0.06327</v>
      </c>
      <c r="G473" s="40" t="n">
        <v>3E-005</v>
      </c>
      <c r="H473" s="39" t="n">
        <v>0.22539</v>
      </c>
      <c r="I473" s="40" t="n">
        <v>8E-005</v>
      </c>
      <c r="J473" s="39" t="n">
        <v>0.3443</v>
      </c>
      <c r="K473" s="40" t="n">
        <v>5E-005</v>
      </c>
      <c r="L473" s="39" t="n">
        <v>0.22863</v>
      </c>
      <c r="M473" s="40" t="n">
        <v>0.00062</v>
      </c>
      <c r="N473" s="39" t="n">
        <v>0.33026</v>
      </c>
      <c r="O473" s="40" t="n">
        <v>6E-005</v>
      </c>
      <c r="P473" s="39" t="n">
        <v>0.28592</v>
      </c>
      <c r="Q473" s="40" t="n">
        <v>0.00044</v>
      </c>
      <c r="R473" s="39" t="n">
        <v>0.52118</v>
      </c>
      <c r="S473" s="40" t="n">
        <v>0.0001</v>
      </c>
      <c r="T473" s="39" t="n">
        <v>0.24201</v>
      </c>
      <c r="U473" s="40" t="n">
        <v>0.00027</v>
      </c>
      <c r="V473" s="39" t="n">
        <v>0.53833</v>
      </c>
      <c r="W473" s="40" t="n">
        <v>0.00016</v>
      </c>
      <c r="X473" s="39" t="n">
        <v>0.01734</v>
      </c>
      <c r="Y473" s="40" t="n">
        <v>1E-005</v>
      </c>
    </row>
    <row r="474" customFormat="false" ht="15" hidden="false" customHeight="false" outlineLevel="0" collapsed="false">
      <c r="A474" s="38" t="n">
        <v>529</v>
      </c>
      <c r="B474" s="39" t="n">
        <v>0.01518</v>
      </c>
      <c r="C474" s="40" t="n">
        <v>-1E-005</v>
      </c>
      <c r="D474" s="39" t="n">
        <v>-0.04638</v>
      </c>
      <c r="E474" s="40" t="n">
        <v>3E-005</v>
      </c>
      <c r="F474" s="39" t="n">
        <v>0.06309</v>
      </c>
      <c r="G474" s="40" t="n">
        <v>3E-005</v>
      </c>
      <c r="H474" s="39" t="n">
        <v>0.22446</v>
      </c>
      <c r="I474" s="40" t="n">
        <v>8E-005</v>
      </c>
      <c r="J474" s="39" t="n">
        <v>0.3438</v>
      </c>
      <c r="K474" s="40" t="n">
        <v>5E-005</v>
      </c>
      <c r="L474" s="39" t="n">
        <v>0.22127</v>
      </c>
      <c r="M474" s="40" t="n">
        <v>0.00061</v>
      </c>
      <c r="N474" s="39" t="n">
        <v>0.3299</v>
      </c>
      <c r="O474" s="40" t="n">
        <v>6E-005</v>
      </c>
      <c r="P474" s="39" t="n">
        <v>0.28058</v>
      </c>
      <c r="Q474" s="40" t="n">
        <v>0.00044</v>
      </c>
      <c r="R474" s="39" t="n">
        <v>0.52001</v>
      </c>
      <c r="S474" s="40" t="n">
        <v>0.00011</v>
      </c>
      <c r="T474" s="39" t="n">
        <v>0.23906</v>
      </c>
      <c r="U474" s="40" t="n">
        <v>0.00027</v>
      </c>
      <c r="V474" s="39" t="n">
        <v>0.53632</v>
      </c>
      <c r="W474" s="40" t="n">
        <v>0.00016</v>
      </c>
      <c r="X474" s="39" t="n">
        <v>0.0171</v>
      </c>
      <c r="Y474" s="40" t="n">
        <v>1E-005</v>
      </c>
    </row>
    <row r="475" customFormat="false" ht="15" hidden="false" customHeight="false" outlineLevel="0" collapsed="false">
      <c r="A475" s="38" t="n">
        <v>530</v>
      </c>
      <c r="B475" s="39" t="n">
        <v>0.01523</v>
      </c>
      <c r="C475" s="40" t="n">
        <v>0</v>
      </c>
      <c r="D475" s="39" t="n">
        <v>-0.04821</v>
      </c>
      <c r="E475" s="40" t="n">
        <v>3E-005</v>
      </c>
      <c r="F475" s="39" t="n">
        <v>0.06285</v>
      </c>
      <c r="G475" s="40" t="n">
        <v>2E-005</v>
      </c>
      <c r="H475" s="39" t="n">
        <v>0.22327</v>
      </c>
      <c r="I475" s="40" t="n">
        <v>8E-005</v>
      </c>
      <c r="J475" s="39" t="n">
        <v>0.34325</v>
      </c>
      <c r="K475" s="40" t="n">
        <v>5E-005</v>
      </c>
      <c r="L475" s="39" t="n">
        <v>0.2139</v>
      </c>
      <c r="M475" s="40" t="n">
        <v>0.00061</v>
      </c>
      <c r="N475" s="39" t="n">
        <v>0.3292</v>
      </c>
      <c r="O475" s="40" t="n">
        <v>6E-005</v>
      </c>
      <c r="P475" s="39" t="n">
        <v>0.27539</v>
      </c>
      <c r="Q475" s="40" t="n">
        <v>0.00043</v>
      </c>
      <c r="R475" s="39" t="n">
        <v>0.51872</v>
      </c>
      <c r="S475" s="40" t="n">
        <v>0.00011</v>
      </c>
      <c r="T475" s="39" t="n">
        <v>0.23565</v>
      </c>
      <c r="U475" s="40" t="n">
        <v>0.00027</v>
      </c>
      <c r="V475" s="39" t="n">
        <v>0.53452</v>
      </c>
      <c r="W475" s="40" t="n">
        <v>0.00016</v>
      </c>
      <c r="X475" s="39" t="n">
        <v>0.01722</v>
      </c>
      <c r="Y475" s="40" t="n">
        <v>1E-005</v>
      </c>
    </row>
    <row r="476" customFormat="false" ht="15" hidden="false" customHeight="false" outlineLevel="0" collapsed="false">
      <c r="A476" s="38" t="n">
        <v>531</v>
      </c>
      <c r="B476" s="39" t="n">
        <v>0.01541</v>
      </c>
      <c r="C476" s="40" t="n">
        <v>2E-005</v>
      </c>
      <c r="D476" s="39" t="n">
        <v>-0.04844</v>
      </c>
      <c r="E476" s="40" t="n">
        <v>2E-005</v>
      </c>
      <c r="F476" s="39" t="n">
        <v>0.06284</v>
      </c>
      <c r="G476" s="40" t="n">
        <v>1E-005</v>
      </c>
      <c r="H476" s="39" t="n">
        <v>0.22235</v>
      </c>
      <c r="I476" s="40" t="n">
        <v>7E-005</v>
      </c>
      <c r="J476" s="39" t="n">
        <v>0.3425</v>
      </c>
      <c r="K476" s="40" t="n">
        <v>5E-005</v>
      </c>
      <c r="L476" s="39" t="n">
        <v>0.20665</v>
      </c>
      <c r="M476" s="40" t="n">
        <v>0.0006</v>
      </c>
      <c r="N476" s="39" t="n">
        <v>0.32824</v>
      </c>
      <c r="O476" s="40" t="n">
        <v>5E-005</v>
      </c>
      <c r="P476" s="39" t="n">
        <v>0.27018</v>
      </c>
      <c r="Q476" s="40" t="n">
        <v>0.00044</v>
      </c>
      <c r="R476" s="39" t="n">
        <v>0.51723</v>
      </c>
      <c r="S476" s="40" t="n">
        <v>0.00011</v>
      </c>
      <c r="T476" s="39" t="n">
        <v>0.23227</v>
      </c>
      <c r="U476" s="40" t="n">
        <v>0.00027</v>
      </c>
      <c r="V476" s="39" t="n">
        <v>0.53255</v>
      </c>
      <c r="W476" s="40" t="n">
        <v>0.00017</v>
      </c>
      <c r="X476" s="39" t="n">
        <v>0.01725</v>
      </c>
      <c r="Y476" s="40" t="n">
        <v>0</v>
      </c>
    </row>
    <row r="477" customFormat="false" ht="15" hidden="false" customHeight="false" outlineLevel="0" collapsed="false">
      <c r="A477" s="38" t="n">
        <v>532</v>
      </c>
      <c r="B477" s="39" t="n">
        <v>0.01525</v>
      </c>
      <c r="C477" s="40" t="n">
        <v>2E-005</v>
      </c>
      <c r="D477" s="39" t="n">
        <v>-0.04658</v>
      </c>
      <c r="E477" s="40" t="n">
        <v>0</v>
      </c>
      <c r="F477" s="39" t="n">
        <v>0.06244</v>
      </c>
      <c r="G477" s="40" t="n">
        <v>2E-005</v>
      </c>
      <c r="H477" s="39" t="n">
        <v>0.22174</v>
      </c>
      <c r="I477" s="40" t="n">
        <v>7E-005</v>
      </c>
      <c r="J477" s="39" t="n">
        <v>0.34198</v>
      </c>
      <c r="K477" s="40" t="n">
        <v>6E-005</v>
      </c>
      <c r="L477" s="39" t="n">
        <v>0.1994</v>
      </c>
      <c r="M477" s="40" t="n">
        <v>0.0006</v>
      </c>
      <c r="N477" s="39" t="n">
        <v>0.32757</v>
      </c>
      <c r="O477" s="40" t="n">
        <v>5E-005</v>
      </c>
      <c r="P477" s="39" t="n">
        <v>0.26473</v>
      </c>
      <c r="Q477" s="40" t="n">
        <v>0.00046</v>
      </c>
      <c r="R477" s="39" t="n">
        <v>0.51584</v>
      </c>
      <c r="S477" s="40" t="n">
        <v>0.00011</v>
      </c>
      <c r="T477" s="39" t="n">
        <v>0.22931</v>
      </c>
      <c r="U477" s="40" t="n">
        <v>0.00026</v>
      </c>
      <c r="V477" s="39" t="n">
        <v>0.53058</v>
      </c>
      <c r="W477" s="40" t="n">
        <v>0.00017</v>
      </c>
      <c r="X477" s="39" t="n">
        <v>0.01716</v>
      </c>
      <c r="Y477" s="40" t="n">
        <v>0</v>
      </c>
    </row>
    <row r="478" customFormat="false" ht="15" hidden="false" customHeight="false" outlineLevel="0" collapsed="false">
      <c r="A478" s="38" t="n">
        <v>533</v>
      </c>
      <c r="B478" s="39" t="n">
        <v>0.015</v>
      </c>
      <c r="C478" s="40" t="n">
        <v>2E-005</v>
      </c>
      <c r="D478" s="39" t="n">
        <v>-0.04603</v>
      </c>
      <c r="E478" s="40" t="n">
        <v>-4E-005</v>
      </c>
      <c r="F478" s="39" t="n">
        <v>0.06207</v>
      </c>
      <c r="G478" s="40" t="n">
        <v>2E-005</v>
      </c>
      <c r="H478" s="39" t="n">
        <v>0.22084</v>
      </c>
      <c r="I478" s="40" t="n">
        <v>7E-005</v>
      </c>
      <c r="J478" s="39" t="n">
        <v>0.34102</v>
      </c>
      <c r="K478" s="40" t="n">
        <v>6E-005</v>
      </c>
      <c r="L478" s="39" t="n">
        <v>0.19222</v>
      </c>
      <c r="M478" s="40" t="n">
        <v>0.00059</v>
      </c>
      <c r="N478" s="39" t="n">
        <v>0.32709</v>
      </c>
      <c r="O478" s="40" t="n">
        <v>5E-005</v>
      </c>
      <c r="P478" s="39" t="n">
        <v>0.25968</v>
      </c>
      <c r="Q478" s="40" t="n">
        <v>0.00047</v>
      </c>
      <c r="R478" s="39" t="n">
        <v>0.51439</v>
      </c>
      <c r="S478" s="40" t="n">
        <v>0.00011</v>
      </c>
      <c r="T478" s="39" t="n">
        <v>0.22608</v>
      </c>
      <c r="U478" s="40" t="n">
        <v>0.00026</v>
      </c>
      <c r="V478" s="39" t="n">
        <v>0.52841</v>
      </c>
      <c r="W478" s="40" t="n">
        <v>0.00017</v>
      </c>
      <c r="X478" s="39" t="n">
        <v>0.01702</v>
      </c>
      <c r="Y478" s="40" t="n">
        <v>0</v>
      </c>
    </row>
    <row r="479" customFormat="false" ht="15" hidden="false" customHeight="false" outlineLevel="0" collapsed="false">
      <c r="A479" s="38" t="n">
        <v>534</v>
      </c>
      <c r="B479" s="39" t="n">
        <v>0.01414</v>
      </c>
      <c r="C479" s="40" t="n">
        <v>2E-005</v>
      </c>
      <c r="D479" s="39" t="n">
        <v>-0.04639</v>
      </c>
      <c r="E479" s="40" t="n">
        <v>-3E-005</v>
      </c>
      <c r="F479" s="39" t="n">
        <v>0.06188</v>
      </c>
      <c r="G479" s="40" t="n">
        <v>3E-005</v>
      </c>
      <c r="H479" s="39" t="n">
        <v>0.22008</v>
      </c>
      <c r="I479" s="40" t="n">
        <v>6E-005</v>
      </c>
      <c r="J479" s="39" t="n">
        <v>0.34042</v>
      </c>
      <c r="K479" s="40" t="n">
        <v>6E-005</v>
      </c>
      <c r="L479" s="39" t="n">
        <v>0.18496</v>
      </c>
      <c r="M479" s="40" t="n">
        <v>0.00058</v>
      </c>
      <c r="N479" s="39" t="n">
        <v>0.32657</v>
      </c>
      <c r="O479" s="40" t="n">
        <v>5E-005</v>
      </c>
      <c r="P479" s="39" t="n">
        <v>0.25482</v>
      </c>
      <c r="Q479" s="40" t="n">
        <v>0.00047</v>
      </c>
      <c r="R479" s="39" t="n">
        <v>0.51333</v>
      </c>
      <c r="S479" s="40" t="n">
        <v>0.00011</v>
      </c>
      <c r="T479" s="39" t="n">
        <v>0.22288</v>
      </c>
      <c r="U479" s="40" t="n">
        <v>0.00026</v>
      </c>
      <c r="V479" s="39" t="n">
        <v>0.5263</v>
      </c>
      <c r="W479" s="40" t="n">
        <v>0.00017</v>
      </c>
      <c r="X479" s="39" t="n">
        <v>0.01718</v>
      </c>
      <c r="Y479" s="40" t="n">
        <v>0</v>
      </c>
    </row>
    <row r="480" customFormat="false" ht="15" hidden="false" customHeight="false" outlineLevel="0" collapsed="false">
      <c r="A480" s="38" t="n">
        <v>535</v>
      </c>
      <c r="B480" s="39" t="n">
        <v>0.01395</v>
      </c>
      <c r="C480" s="40" t="n">
        <v>2E-005</v>
      </c>
      <c r="D480" s="39" t="n">
        <v>-0.04686</v>
      </c>
      <c r="E480" s="40" t="n">
        <v>3E-005</v>
      </c>
      <c r="F480" s="39" t="n">
        <v>0.06172</v>
      </c>
      <c r="G480" s="40" t="n">
        <v>3E-005</v>
      </c>
      <c r="H480" s="39" t="n">
        <v>0.21955</v>
      </c>
      <c r="I480" s="40" t="n">
        <v>6E-005</v>
      </c>
      <c r="J480" s="39" t="n">
        <v>0.33984</v>
      </c>
      <c r="K480" s="40" t="n">
        <v>5E-005</v>
      </c>
      <c r="L480" s="39" t="n">
        <v>0.1785</v>
      </c>
      <c r="M480" s="40" t="n">
        <v>0.00057</v>
      </c>
      <c r="N480" s="39" t="n">
        <v>0.32617</v>
      </c>
      <c r="O480" s="40" t="n">
        <v>5E-005</v>
      </c>
      <c r="P480" s="39" t="n">
        <v>0.24783</v>
      </c>
      <c r="Q480" s="40" t="n">
        <v>0.00047</v>
      </c>
      <c r="R480" s="39" t="n">
        <v>0.51227</v>
      </c>
      <c r="S480" s="40" t="n">
        <v>0.0001</v>
      </c>
      <c r="T480" s="39" t="n">
        <v>0.21983</v>
      </c>
      <c r="U480" s="40" t="n">
        <v>0.00026</v>
      </c>
      <c r="V480" s="39" t="n">
        <v>0.52416</v>
      </c>
      <c r="W480" s="40" t="n">
        <v>0.00018</v>
      </c>
      <c r="X480" s="39" t="n">
        <v>0.01715</v>
      </c>
      <c r="Y480" s="40" t="n">
        <v>1E-005</v>
      </c>
    </row>
    <row r="481" customFormat="false" ht="15" hidden="false" customHeight="false" outlineLevel="0" collapsed="false">
      <c r="A481" s="38" t="n">
        <v>536</v>
      </c>
      <c r="B481" s="39" t="n">
        <v>0.01396</v>
      </c>
      <c r="C481" s="40" t="n">
        <v>2E-005</v>
      </c>
      <c r="D481" s="39" t="n">
        <v>-0.04667</v>
      </c>
      <c r="E481" s="40" t="n">
        <v>5E-005</v>
      </c>
      <c r="F481" s="39" t="n">
        <v>0.06101</v>
      </c>
      <c r="G481" s="40" t="n">
        <v>3E-005</v>
      </c>
      <c r="H481" s="39" t="n">
        <v>0.21875</v>
      </c>
      <c r="I481" s="40" t="n">
        <v>6E-005</v>
      </c>
      <c r="J481" s="39" t="n">
        <v>0.33915</v>
      </c>
      <c r="K481" s="40" t="n">
        <v>5E-005</v>
      </c>
      <c r="L481" s="39" t="n">
        <v>0.1718</v>
      </c>
      <c r="M481" s="40" t="n">
        <v>0.00056</v>
      </c>
      <c r="N481" s="39" t="n">
        <v>0.32554</v>
      </c>
      <c r="O481" s="40" t="n">
        <v>5E-005</v>
      </c>
      <c r="P481" s="39" t="n">
        <v>0.2415</v>
      </c>
      <c r="Q481" s="40" t="n">
        <v>0.00045</v>
      </c>
      <c r="R481" s="39" t="n">
        <v>0.51087</v>
      </c>
      <c r="S481" s="40" t="n">
        <v>0.00011</v>
      </c>
      <c r="T481" s="39" t="n">
        <v>0.21695</v>
      </c>
      <c r="U481" s="40" t="n">
        <v>0.00026</v>
      </c>
      <c r="V481" s="39" t="n">
        <v>0.52212</v>
      </c>
      <c r="W481" s="40" t="n">
        <v>0.00018</v>
      </c>
      <c r="X481" s="39" t="n">
        <v>0.0168</v>
      </c>
      <c r="Y481" s="40" t="n">
        <v>1E-005</v>
      </c>
    </row>
    <row r="482" customFormat="false" ht="15" hidden="false" customHeight="false" outlineLevel="0" collapsed="false">
      <c r="A482" s="38" t="n">
        <v>537</v>
      </c>
      <c r="B482" s="39" t="n">
        <v>0.01402</v>
      </c>
      <c r="C482" s="40" t="n">
        <v>1E-005</v>
      </c>
      <c r="D482" s="39" t="n">
        <v>-0.04637</v>
      </c>
      <c r="E482" s="40" t="n">
        <v>7E-005</v>
      </c>
      <c r="F482" s="39" t="n">
        <v>0.06065</v>
      </c>
      <c r="G482" s="40" t="n">
        <v>3E-005</v>
      </c>
      <c r="H482" s="39" t="n">
        <v>0.21791</v>
      </c>
      <c r="I482" s="40" t="n">
        <v>6E-005</v>
      </c>
      <c r="J482" s="39" t="n">
        <v>0.33856</v>
      </c>
      <c r="K482" s="40" t="n">
        <v>5E-005</v>
      </c>
      <c r="L482" s="39" t="n">
        <v>0.16495</v>
      </c>
      <c r="M482" s="40" t="n">
        <v>0.00054</v>
      </c>
      <c r="N482" s="39" t="n">
        <v>0.32489</v>
      </c>
      <c r="O482" s="40" t="n">
        <v>5E-005</v>
      </c>
      <c r="P482" s="39" t="n">
        <v>0.23675</v>
      </c>
      <c r="Q482" s="40" t="n">
        <v>0.00043</v>
      </c>
      <c r="R482" s="39" t="n">
        <v>0.50944</v>
      </c>
      <c r="S482" s="40" t="n">
        <v>0.00012</v>
      </c>
      <c r="T482" s="39" t="n">
        <v>0.21352</v>
      </c>
      <c r="U482" s="40" t="n">
        <v>0.00026</v>
      </c>
      <c r="V482" s="39" t="n">
        <v>0.5201</v>
      </c>
      <c r="W482" s="40" t="n">
        <v>0.00017</v>
      </c>
      <c r="X482" s="39" t="n">
        <v>0.01695</v>
      </c>
      <c r="Y482" s="40" t="n">
        <v>1E-005</v>
      </c>
    </row>
    <row r="483" customFormat="false" ht="15" hidden="false" customHeight="false" outlineLevel="0" collapsed="false">
      <c r="A483" s="38" t="n">
        <v>538</v>
      </c>
      <c r="B483" s="39" t="n">
        <v>0.01393</v>
      </c>
      <c r="C483" s="40" t="n">
        <v>0</v>
      </c>
      <c r="D483" s="39" t="n">
        <v>-0.04889</v>
      </c>
      <c r="E483" s="40" t="n">
        <v>6E-005</v>
      </c>
      <c r="F483" s="39" t="n">
        <v>0.06028</v>
      </c>
      <c r="G483" s="40" t="n">
        <v>3E-005</v>
      </c>
      <c r="H483" s="39" t="n">
        <v>0.21744</v>
      </c>
      <c r="I483" s="40" t="n">
        <v>6E-005</v>
      </c>
      <c r="J483" s="39" t="n">
        <v>0.33794</v>
      </c>
      <c r="K483" s="40" t="n">
        <v>6E-005</v>
      </c>
      <c r="L483" s="39" t="n">
        <v>0.15837</v>
      </c>
      <c r="M483" s="40" t="n">
        <v>0.00053</v>
      </c>
      <c r="N483" s="39" t="n">
        <v>0.32421</v>
      </c>
      <c r="O483" s="40" t="n">
        <v>5E-005</v>
      </c>
      <c r="P483" s="39" t="n">
        <v>0.23215</v>
      </c>
      <c r="Q483" s="40" t="n">
        <v>0.0004</v>
      </c>
      <c r="R483" s="39" t="n">
        <v>0.508</v>
      </c>
      <c r="S483" s="40" t="n">
        <v>0.00012</v>
      </c>
      <c r="T483" s="39" t="n">
        <v>0.21036</v>
      </c>
      <c r="U483" s="40" t="n">
        <v>0.00025</v>
      </c>
      <c r="V483" s="39" t="n">
        <v>0.51797</v>
      </c>
      <c r="W483" s="40" t="n">
        <v>0.00017</v>
      </c>
      <c r="X483" s="39" t="n">
        <v>0.01668</v>
      </c>
      <c r="Y483" s="40" t="n">
        <v>1E-005</v>
      </c>
    </row>
    <row r="484" customFormat="false" ht="15" hidden="false" customHeight="false" outlineLevel="0" collapsed="false">
      <c r="A484" s="38" t="n">
        <v>539</v>
      </c>
      <c r="B484" s="39" t="n">
        <v>0.01388</v>
      </c>
      <c r="C484" s="40" t="n">
        <v>0</v>
      </c>
      <c r="D484" s="39" t="n">
        <v>-0.05055</v>
      </c>
      <c r="E484" s="40" t="n">
        <v>4E-005</v>
      </c>
      <c r="F484" s="39" t="n">
        <v>0.05988</v>
      </c>
      <c r="G484" s="40" t="n">
        <v>2E-005</v>
      </c>
      <c r="H484" s="39" t="n">
        <v>0.21664</v>
      </c>
      <c r="I484" s="40" t="n">
        <v>5E-005</v>
      </c>
      <c r="J484" s="39" t="n">
        <v>0.33723</v>
      </c>
      <c r="K484" s="40" t="n">
        <v>6E-005</v>
      </c>
      <c r="L484" s="39" t="n">
        <v>0.1523</v>
      </c>
      <c r="M484" s="40" t="n">
        <v>0.00052</v>
      </c>
      <c r="N484" s="39" t="n">
        <v>0.32354</v>
      </c>
      <c r="O484" s="40" t="n">
        <v>5E-005</v>
      </c>
      <c r="P484" s="39" t="n">
        <v>0.22775</v>
      </c>
      <c r="Q484" s="40" t="n">
        <v>0.00037</v>
      </c>
      <c r="R484" s="39" t="n">
        <v>0.50667</v>
      </c>
      <c r="S484" s="40" t="n">
        <v>0.00012</v>
      </c>
      <c r="T484" s="39" t="n">
        <v>0.20743</v>
      </c>
      <c r="U484" s="40" t="n">
        <v>0.00025</v>
      </c>
      <c r="V484" s="39" t="n">
        <v>0.51587</v>
      </c>
      <c r="W484" s="40" t="n">
        <v>0.00017</v>
      </c>
      <c r="X484" s="39" t="n">
        <v>0.01638</v>
      </c>
      <c r="Y484" s="40" t="n">
        <v>1E-005</v>
      </c>
    </row>
    <row r="485" customFormat="false" ht="15" hidden="false" customHeight="false" outlineLevel="0" collapsed="false">
      <c r="A485" s="38" t="n">
        <v>540</v>
      </c>
      <c r="B485" s="39" t="n">
        <v>0.01347</v>
      </c>
      <c r="C485" s="40" t="n">
        <v>1E-005</v>
      </c>
      <c r="D485" s="39" t="n">
        <v>-0.04871</v>
      </c>
      <c r="E485" s="40" t="n">
        <v>0</v>
      </c>
      <c r="F485" s="39" t="n">
        <v>0.0598</v>
      </c>
      <c r="G485" s="40" t="n">
        <v>2E-005</v>
      </c>
      <c r="H485" s="39" t="n">
        <v>0.21599</v>
      </c>
      <c r="I485" s="40" t="n">
        <v>5E-005</v>
      </c>
      <c r="J485" s="39" t="n">
        <v>0.3366</v>
      </c>
      <c r="K485" s="40" t="n">
        <v>6E-005</v>
      </c>
      <c r="L485" s="39" t="n">
        <v>0.14619</v>
      </c>
      <c r="M485" s="40" t="n">
        <v>0.0005</v>
      </c>
      <c r="N485" s="39" t="n">
        <v>0.32296</v>
      </c>
      <c r="O485" s="40" t="n">
        <v>5E-005</v>
      </c>
      <c r="P485" s="39" t="n">
        <v>0.2233</v>
      </c>
      <c r="Q485" s="40" t="n">
        <v>0.00035</v>
      </c>
      <c r="R485" s="39" t="n">
        <v>0.50486</v>
      </c>
      <c r="S485" s="40" t="n">
        <v>0.00012</v>
      </c>
      <c r="T485" s="39" t="n">
        <v>0.20451</v>
      </c>
      <c r="U485" s="40" t="n">
        <v>0.00025</v>
      </c>
      <c r="V485" s="39" t="n">
        <v>0.51378</v>
      </c>
      <c r="W485" s="40" t="n">
        <v>0.00018</v>
      </c>
      <c r="X485" s="39" t="n">
        <v>0.01637</v>
      </c>
      <c r="Y485" s="40" t="n">
        <v>1E-005</v>
      </c>
    </row>
    <row r="486" customFormat="false" ht="15" hidden="false" customHeight="false" outlineLevel="0" collapsed="false">
      <c r="A486" s="38" t="n">
        <v>541</v>
      </c>
      <c r="B486" s="39" t="n">
        <v>0.01338</v>
      </c>
      <c r="C486" s="40" t="n">
        <v>1E-005</v>
      </c>
      <c r="D486" s="39" t="n">
        <v>-0.0497</v>
      </c>
      <c r="E486" s="40" t="n">
        <v>-2E-005</v>
      </c>
      <c r="F486" s="39" t="n">
        <v>0.05948</v>
      </c>
      <c r="G486" s="40" t="n">
        <v>1E-005</v>
      </c>
      <c r="H486" s="39" t="n">
        <v>0.21537</v>
      </c>
      <c r="I486" s="40" t="n">
        <v>4E-005</v>
      </c>
      <c r="J486" s="39" t="n">
        <v>0.33569</v>
      </c>
      <c r="K486" s="40" t="n">
        <v>6E-005</v>
      </c>
      <c r="L486" s="39" t="n">
        <v>0.13992</v>
      </c>
      <c r="M486" s="40" t="n">
        <v>0.00049</v>
      </c>
      <c r="N486" s="39" t="n">
        <v>0.32244</v>
      </c>
      <c r="O486" s="40" t="n">
        <v>5E-005</v>
      </c>
      <c r="P486" s="39" t="n">
        <v>0.21907</v>
      </c>
      <c r="Q486" s="40" t="n">
        <v>0.00036</v>
      </c>
      <c r="R486" s="39" t="n">
        <v>0.50357</v>
      </c>
      <c r="S486" s="40" t="n">
        <v>0.00011</v>
      </c>
      <c r="T486" s="39" t="n">
        <v>0.20179</v>
      </c>
      <c r="U486" s="40" t="n">
        <v>0.00024</v>
      </c>
      <c r="V486" s="39" t="n">
        <v>0.51182</v>
      </c>
      <c r="W486" s="40" t="n">
        <v>0.00018</v>
      </c>
      <c r="X486" s="39" t="n">
        <v>0.01643</v>
      </c>
      <c r="Y486" s="40" t="n">
        <v>1E-005</v>
      </c>
    </row>
    <row r="487" customFormat="false" ht="15" hidden="false" customHeight="false" outlineLevel="0" collapsed="false">
      <c r="A487" s="38" t="n">
        <v>542</v>
      </c>
      <c r="B487" s="39" t="n">
        <v>0.01373</v>
      </c>
      <c r="C487" s="40" t="n">
        <v>0</v>
      </c>
      <c r="D487" s="39" t="n">
        <v>-0.04967</v>
      </c>
      <c r="E487" s="40" t="n">
        <v>-6E-005</v>
      </c>
      <c r="F487" s="39" t="n">
        <v>0.05927</v>
      </c>
      <c r="G487" s="40" t="n">
        <v>1E-005</v>
      </c>
      <c r="H487" s="39" t="n">
        <v>0.215</v>
      </c>
      <c r="I487" s="40" t="n">
        <v>4E-005</v>
      </c>
      <c r="J487" s="39" t="n">
        <v>0.33483</v>
      </c>
      <c r="K487" s="40" t="n">
        <v>6E-005</v>
      </c>
      <c r="L487" s="39" t="n">
        <v>0.13442</v>
      </c>
      <c r="M487" s="40" t="n">
        <v>0.00047</v>
      </c>
      <c r="N487" s="39" t="n">
        <v>0.3217</v>
      </c>
      <c r="O487" s="40" t="n">
        <v>5E-005</v>
      </c>
      <c r="P487" s="39" t="n">
        <v>0.21477</v>
      </c>
      <c r="Q487" s="40" t="n">
        <v>0.00035</v>
      </c>
      <c r="R487" s="39" t="n">
        <v>0.50231</v>
      </c>
      <c r="S487" s="40" t="n">
        <v>0.00011</v>
      </c>
      <c r="T487" s="39" t="n">
        <v>0.19874</v>
      </c>
      <c r="U487" s="40" t="n">
        <v>0.00023</v>
      </c>
      <c r="V487" s="39" t="n">
        <v>0.50956</v>
      </c>
      <c r="W487" s="40" t="n">
        <v>0.00018</v>
      </c>
      <c r="X487" s="39" t="n">
        <v>0.0161</v>
      </c>
      <c r="Y487" s="40" t="n">
        <v>1E-005</v>
      </c>
    </row>
    <row r="488" customFormat="false" ht="15" hidden="false" customHeight="false" outlineLevel="0" collapsed="false">
      <c r="A488" s="38" t="n">
        <v>543</v>
      </c>
      <c r="B488" s="39" t="n">
        <v>0.01377</v>
      </c>
      <c r="C488" s="40" t="n">
        <v>0</v>
      </c>
      <c r="D488" s="39" t="n">
        <v>-0.04771</v>
      </c>
      <c r="E488" s="40" t="n">
        <v>-5E-005</v>
      </c>
      <c r="F488" s="39" t="n">
        <v>0.05939</v>
      </c>
      <c r="G488" s="40" t="n">
        <v>1E-005</v>
      </c>
      <c r="H488" s="39" t="n">
        <v>0.21452</v>
      </c>
      <c r="I488" s="40" t="n">
        <v>4E-005</v>
      </c>
      <c r="J488" s="39" t="n">
        <v>0.33424</v>
      </c>
      <c r="K488" s="40" t="n">
        <v>6E-005</v>
      </c>
      <c r="L488" s="39" t="n">
        <v>0.12895</v>
      </c>
      <c r="M488" s="40" t="n">
        <v>0.00045</v>
      </c>
      <c r="N488" s="39" t="n">
        <v>0.32129</v>
      </c>
      <c r="O488" s="40" t="n">
        <v>4E-005</v>
      </c>
      <c r="P488" s="39" t="n">
        <v>0.21038</v>
      </c>
      <c r="Q488" s="40" t="n">
        <v>0.00034</v>
      </c>
      <c r="R488" s="39" t="n">
        <v>0.501</v>
      </c>
      <c r="S488" s="40" t="n">
        <v>0.00011</v>
      </c>
      <c r="T488" s="39" t="n">
        <v>0.19606</v>
      </c>
      <c r="U488" s="40" t="n">
        <v>0.00023</v>
      </c>
      <c r="V488" s="39" t="n">
        <v>0.50741</v>
      </c>
      <c r="W488" s="40" t="n">
        <v>0.00018</v>
      </c>
      <c r="X488" s="39" t="n">
        <v>0.0161</v>
      </c>
      <c r="Y488" s="40" t="n">
        <v>0</v>
      </c>
    </row>
    <row r="489" customFormat="false" ht="15" hidden="false" customHeight="false" outlineLevel="0" collapsed="false">
      <c r="A489" s="38" t="n">
        <v>544</v>
      </c>
      <c r="B489" s="39" t="n">
        <v>0.01345</v>
      </c>
      <c r="C489" s="40" t="n">
        <v>0</v>
      </c>
      <c r="D489" s="39" t="n">
        <v>-0.0468</v>
      </c>
      <c r="E489" s="40" t="n">
        <v>0</v>
      </c>
      <c r="F489" s="39" t="n">
        <v>0.05913</v>
      </c>
      <c r="G489" s="40" t="n">
        <v>2E-005</v>
      </c>
      <c r="H489" s="39" t="n">
        <v>0.21417</v>
      </c>
      <c r="I489" s="40" t="n">
        <v>4E-005</v>
      </c>
      <c r="J489" s="39" t="n">
        <v>0.33363</v>
      </c>
      <c r="K489" s="40" t="n">
        <v>5E-005</v>
      </c>
      <c r="L489" s="39" t="n">
        <v>0.12355</v>
      </c>
      <c r="M489" s="40" t="n">
        <v>0.00044</v>
      </c>
      <c r="N489" s="39" t="n">
        <v>0.32075</v>
      </c>
      <c r="O489" s="40" t="n">
        <v>4E-005</v>
      </c>
      <c r="P489" s="39" t="n">
        <v>0.20658</v>
      </c>
      <c r="Q489" s="40" t="n">
        <v>0.00033</v>
      </c>
      <c r="R489" s="39" t="n">
        <v>0.49977</v>
      </c>
      <c r="S489" s="40" t="n">
        <v>0.00011</v>
      </c>
      <c r="T489" s="39" t="n">
        <v>0.1931</v>
      </c>
      <c r="U489" s="40" t="n">
        <v>0.00023</v>
      </c>
      <c r="V489" s="39" t="n">
        <v>0.50528</v>
      </c>
      <c r="W489" s="40" t="n">
        <v>0.00018</v>
      </c>
      <c r="X489" s="39" t="n">
        <v>0.01611</v>
      </c>
      <c r="Y489" s="40" t="n">
        <v>0</v>
      </c>
    </row>
    <row r="490" customFormat="false" ht="15" hidden="false" customHeight="false" outlineLevel="0" collapsed="false">
      <c r="A490" s="38" t="n">
        <v>545</v>
      </c>
      <c r="B490" s="39" t="n">
        <v>0.01332</v>
      </c>
      <c r="C490" s="40" t="n">
        <v>0</v>
      </c>
      <c r="D490" s="39" t="n">
        <v>-0.0474</v>
      </c>
      <c r="E490" s="40" t="n">
        <v>0</v>
      </c>
      <c r="F490" s="39" t="n">
        <v>0.05899</v>
      </c>
      <c r="G490" s="40" t="n">
        <v>1E-005</v>
      </c>
      <c r="H490" s="39" t="n">
        <v>0.21369</v>
      </c>
      <c r="I490" s="40" t="n">
        <v>4E-005</v>
      </c>
      <c r="J490" s="39" t="n">
        <v>0.33303</v>
      </c>
      <c r="K490" s="40" t="n">
        <v>5E-005</v>
      </c>
      <c r="L490" s="39" t="n">
        <v>0.11795</v>
      </c>
      <c r="M490" s="40" t="n">
        <v>0.00043</v>
      </c>
      <c r="N490" s="39" t="n">
        <v>0.31997</v>
      </c>
      <c r="O490" s="40" t="n">
        <v>5E-005</v>
      </c>
      <c r="P490" s="39" t="n">
        <v>0.20258</v>
      </c>
      <c r="Q490" s="40" t="n">
        <v>0.00032</v>
      </c>
      <c r="R490" s="39" t="n">
        <v>0.49848</v>
      </c>
      <c r="S490" s="40" t="n">
        <v>0.00011</v>
      </c>
      <c r="T490" s="39" t="n">
        <v>0.1904</v>
      </c>
      <c r="U490" s="40" t="n">
        <v>0.00024</v>
      </c>
      <c r="V490" s="39" t="n">
        <v>0.50332</v>
      </c>
      <c r="W490" s="40" t="n">
        <v>0.00018</v>
      </c>
      <c r="X490" s="39" t="n">
        <v>0.01615</v>
      </c>
      <c r="Y490" s="40" t="n">
        <v>1E-005</v>
      </c>
    </row>
    <row r="491" customFormat="false" ht="15" hidden="false" customHeight="false" outlineLevel="0" collapsed="false">
      <c r="A491" s="38" t="n">
        <v>546</v>
      </c>
      <c r="B491" s="39" t="n">
        <v>0.01353</v>
      </c>
      <c r="C491" s="40" t="n">
        <v>2E-005</v>
      </c>
      <c r="D491" s="39" t="n">
        <v>-0.04759</v>
      </c>
      <c r="E491" s="40" t="n">
        <v>0</v>
      </c>
      <c r="F491" s="39" t="n">
        <v>0.05891</v>
      </c>
      <c r="G491" s="40" t="n">
        <v>2E-005</v>
      </c>
      <c r="H491" s="39" t="n">
        <v>0.2132</v>
      </c>
      <c r="I491" s="40" t="n">
        <v>4E-005</v>
      </c>
      <c r="J491" s="39" t="n">
        <v>0.33237</v>
      </c>
      <c r="K491" s="40" t="n">
        <v>5E-005</v>
      </c>
      <c r="L491" s="39" t="n">
        <v>0.11333</v>
      </c>
      <c r="M491" s="40" t="n">
        <v>0.00041</v>
      </c>
      <c r="N491" s="39" t="n">
        <v>0.31973</v>
      </c>
      <c r="O491" s="40" t="n">
        <v>5E-005</v>
      </c>
      <c r="P491" s="39" t="n">
        <v>0.19915</v>
      </c>
      <c r="Q491" s="40" t="n">
        <v>0.0003</v>
      </c>
      <c r="R491" s="39" t="n">
        <v>0.49696</v>
      </c>
      <c r="S491" s="40" t="n">
        <v>0.00012</v>
      </c>
      <c r="T491" s="39" t="n">
        <v>0.1876</v>
      </c>
      <c r="U491" s="40" t="n">
        <v>0.00023</v>
      </c>
      <c r="V491" s="39" t="n">
        <v>0.50109</v>
      </c>
      <c r="W491" s="40" t="n">
        <v>0.00018</v>
      </c>
      <c r="X491" s="39" t="n">
        <v>0.01598</v>
      </c>
      <c r="Y491" s="40" t="n">
        <v>0</v>
      </c>
    </row>
    <row r="492" customFormat="false" ht="15" hidden="false" customHeight="false" outlineLevel="0" collapsed="false">
      <c r="A492" s="38" t="n">
        <v>547</v>
      </c>
      <c r="B492" s="39" t="n">
        <v>0.01363</v>
      </c>
      <c r="C492" s="40" t="n">
        <v>2E-005</v>
      </c>
      <c r="D492" s="39" t="n">
        <v>-0.04849</v>
      </c>
      <c r="E492" s="40" t="n">
        <v>2E-005</v>
      </c>
      <c r="F492" s="39" t="n">
        <v>0.05824</v>
      </c>
      <c r="G492" s="40" t="n">
        <v>3E-005</v>
      </c>
      <c r="H492" s="39" t="n">
        <v>0.2126</v>
      </c>
      <c r="I492" s="40" t="n">
        <v>4E-005</v>
      </c>
      <c r="J492" s="39" t="n">
        <v>0.33177</v>
      </c>
      <c r="K492" s="40" t="n">
        <v>5E-005</v>
      </c>
      <c r="L492" s="39" t="n">
        <v>0.10856</v>
      </c>
      <c r="M492" s="40" t="n">
        <v>0.0004</v>
      </c>
      <c r="N492" s="39" t="n">
        <v>0.3192</v>
      </c>
      <c r="O492" s="40" t="n">
        <v>5E-005</v>
      </c>
      <c r="P492" s="39" t="n">
        <v>0.19546</v>
      </c>
      <c r="Q492" s="40" t="n">
        <v>0.00029</v>
      </c>
      <c r="R492" s="39" t="n">
        <v>0.49544</v>
      </c>
      <c r="S492" s="40" t="n">
        <v>0.00012</v>
      </c>
      <c r="T492" s="39" t="n">
        <v>0.18499</v>
      </c>
      <c r="U492" s="40" t="n">
        <v>0.00023</v>
      </c>
      <c r="V492" s="39" t="n">
        <v>0.49892</v>
      </c>
      <c r="W492" s="40" t="n">
        <v>0.00018</v>
      </c>
      <c r="X492" s="39" t="n">
        <v>0.01608</v>
      </c>
      <c r="Y492" s="40" t="n">
        <v>0</v>
      </c>
    </row>
    <row r="493" customFormat="false" ht="15" hidden="false" customHeight="false" outlineLevel="0" collapsed="false">
      <c r="A493" s="38" t="n">
        <v>548</v>
      </c>
      <c r="B493" s="39" t="n">
        <v>0.01289</v>
      </c>
      <c r="C493" s="40" t="n">
        <v>2E-005</v>
      </c>
      <c r="D493" s="39" t="n">
        <v>-0.04981</v>
      </c>
      <c r="E493" s="40" t="n">
        <v>4E-005</v>
      </c>
      <c r="F493" s="39" t="n">
        <v>0.05812</v>
      </c>
      <c r="G493" s="40" t="n">
        <v>2E-005</v>
      </c>
      <c r="H493" s="39" t="n">
        <v>0.21225</v>
      </c>
      <c r="I493" s="40" t="n">
        <v>4E-005</v>
      </c>
      <c r="J493" s="39" t="n">
        <v>0.33116</v>
      </c>
      <c r="K493" s="40" t="n">
        <v>6E-005</v>
      </c>
      <c r="L493" s="39" t="n">
        <v>0.10363</v>
      </c>
      <c r="M493" s="40" t="n">
        <v>0.00038</v>
      </c>
      <c r="N493" s="39" t="n">
        <v>0.31856</v>
      </c>
      <c r="O493" s="40" t="n">
        <v>5E-005</v>
      </c>
      <c r="P493" s="39" t="n">
        <v>0.19219</v>
      </c>
      <c r="Q493" s="40" t="n">
        <v>0.00028</v>
      </c>
      <c r="R493" s="39" t="n">
        <v>0.49394</v>
      </c>
      <c r="S493" s="40" t="n">
        <v>0.00012</v>
      </c>
      <c r="T493" s="39" t="n">
        <v>0.18203</v>
      </c>
      <c r="U493" s="40" t="n">
        <v>0.00022</v>
      </c>
      <c r="V493" s="39" t="n">
        <v>0.49669</v>
      </c>
      <c r="W493" s="40" t="n">
        <v>0.00018</v>
      </c>
      <c r="X493" s="39" t="n">
        <v>0.01592</v>
      </c>
      <c r="Y493" s="40" t="n">
        <v>1E-005</v>
      </c>
    </row>
    <row r="494" customFormat="false" ht="15" hidden="false" customHeight="false" outlineLevel="0" collapsed="false">
      <c r="A494" s="38" t="n">
        <v>549</v>
      </c>
      <c r="B494" s="39" t="n">
        <v>0.01264</v>
      </c>
      <c r="C494" s="40" t="n">
        <v>2E-005</v>
      </c>
      <c r="D494" s="39" t="n">
        <v>-0.04821</v>
      </c>
      <c r="E494" s="40" t="n">
        <v>1E-005</v>
      </c>
      <c r="F494" s="39" t="n">
        <v>0.05803</v>
      </c>
      <c r="G494" s="40" t="n">
        <v>2E-005</v>
      </c>
      <c r="H494" s="39" t="n">
        <v>0.21193</v>
      </c>
      <c r="I494" s="40" t="n">
        <v>3E-005</v>
      </c>
      <c r="J494" s="39" t="n">
        <v>0.3304</v>
      </c>
      <c r="K494" s="40" t="n">
        <v>6E-005</v>
      </c>
      <c r="L494" s="39" t="n">
        <v>0.09893</v>
      </c>
      <c r="M494" s="40" t="n">
        <v>0.00036</v>
      </c>
      <c r="N494" s="39" t="n">
        <v>0.31778</v>
      </c>
      <c r="O494" s="40" t="n">
        <v>4E-005</v>
      </c>
      <c r="P494" s="39" t="n">
        <v>0.18874</v>
      </c>
      <c r="Q494" s="40" t="n">
        <v>0.00026</v>
      </c>
      <c r="R494" s="39" t="n">
        <v>0.49265</v>
      </c>
      <c r="S494" s="40" t="n">
        <v>0.00013</v>
      </c>
      <c r="T494" s="39" t="n">
        <v>0.17928</v>
      </c>
      <c r="U494" s="40" t="n">
        <v>0.00022</v>
      </c>
      <c r="V494" s="39" t="n">
        <v>0.49454</v>
      </c>
      <c r="W494" s="40" t="n">
        <v>0.00018</v>
      </c>
      <c r="X494" s="39" t="n">
        <v>0.0157</v>
      </c>
      <c r="Y494" s="40" t="n">
        <v>1E-005</v>
      </c>
    </row>
    <row r="495" customFormat="false" ht="15" hidden="false" customHeight="false" outlineLevel="0" collapsed="false">
      <c r="A495" s="38" t="n">
        <v>550</v>
      </c>
      <c r="B495" s="39" t="n">
        <v>0.01208</v>
      </c>
      <c r="C495" s="40" t="n">
        <v>2E-005</v>
      </c>
      <c r="D495" s="39" t="n">
        <v>-0.04785</v>
      </c>
      <c r="E495" s="40" t="n">
        <v>-2E-005</v>
      </c>
      <c r="F495" s="39" t="n">
        <v>0.05741</v>
      </c>
      <c r="G495" s="40" t="n">
        <v>3E-005</v>
      </c>
      <c r="H495" s="39" t="n">
        <v>0.21145</v>
      </c>
      <c r="I495" s="40" t="n">
        <v>3E-005</v>
      </c>
      <c r="J495" s="39" t="n">
        <v>0.32966</v>
      </c>
      <c r="K495" s="40" t="n">
        <v>6E-005</v>
      </c>
      <c r="L495" s="39" t="n">
        <v>0.09509</v>
      </c>
      <c r="M495" s="40" t="n">
        <v>0.00035</v>
      </c>
      <c r="N495" s="39" t="n">
        <v>0.31718</v>
      </c>
      <c r="O495" s="40" t="n">
        <v>5E-005</v>
      </c>
      <c r="P495" s="39" t="n">
        <v>0.18562</v>
      </c>
      <c r="Q495" s="40" t="n">
        <v>0.00025</v>
      </c>
      <c r="R495" s="39" t="n">
        <v>0.49117</v>
      </c>
      <c r="S495" s="40" t="n">
        <v>0.00012</v>
      </c>
      <c r="T495" s="39" t="n">
        <v>0.17683</v>
      </c>
      <c r="U495" s="40" t="n">
        <v>0.00022</v>
      </c>
      <c r="V495" s="39" t="n">
        <v>0.49266</v>
      </c>
      <c r="W495" s="40" t="n">
        <v>0.00018</v>
      </c>
      <c r="X495" s="39" t="n">
        <v>0.01563</v>
      </c>
      <c r="Y495" s="40" t="n">
        <v>0</v>
      </c>
    </row>
    <row r="496" customFormat="false" ht="15" hidden="false" customHeight="false" outlineLevel="0" collapsed="false">
      <c r="A496" s="38" t="n">
        <v>551</v>
      </c>
      <c r="B496" s="39" t="n">
        <v>0.01216</v>
      </c>
      <c r="C496" s="40" t="n">
        <v>1E-005</v>
      </c>
      <c r="D496" s="39" t="n">
        <v>-0.04812</v>
      </c>
      <c r="E496" s="40" t="n">
        <v>0</v>
      </c>
      <c r="F496" s="39" t="n">
        <v>0.05707</v>
      </c>
      <c r="G496" s="40" t="n">
        <v>2E-005</v>
      </c>
      <c r="H496" s="39" t="n">
        <v>0.21111</v>
      </c>
      <c r="I496" s="40" t="n">
        <v>3E-005</v>
      </c>
      <c r="J496" s="39" t="n">
        <v>0.32896</v>
      </c>
      <c r="K496" s="40" t="n">
        <v>6E-005</v>
      </c>
      <c r="L496" s="39" t="n">
        <v>0.09109</v>
      </c>
      <c r="M496" s="40" t="n">
        <v>0.00034</v>
      </c>
      <c r="N496" s="39" t="n">
        <v>0.31683</v>
      </c>
      <c r="O496" s="40" t="n">
        <v>5E-005</v>
      </c>
      <c r="P496" s="39" t="n">
        <v>0.18298</v>
      </c>
      <c r="Q496" s="40" t="n">
        <v>0.00024</v>
      </c>
      <c r="R496" s="39" t="n">
        <v>0.4896</v>
      </c>
      <c r="S496" s="40" t="n">
        <v>0.00013</v>
      </c>
      <c r="T496" s="39" t="n">
        <v>0.17429</v>
      </c>
      <c r="U496" s="40" t="n">
        <v>0.00021</v>
      </c>
      <c r="V496" s="39" t="n">
        <v>0.49019</v>
      </c>
      <c r="W496" s="40" t="n">
        <v>0.00018</v>
      </c>
      <c r="X496" s="39" t="n">
        <v>0.01574</v>
      </c>
      <c r="Y496" s="40" t="n">
        <v>1E-005</v>
      </c>
    </row>
    <row r="497" customFormat="false" ht="15" hidden="false" customHeight="false" outlineLevel="0" collapsed="false">
      <c r="A497" s="38" t="n">
        <v>552</v>
      </c>
      <c r="B497" s="39" t="n">
        <v>0.01235</v>
      </c>
      <c r="C497" s="40" t="n">
        <v>0</v>
      </c>
      <c r="D497" s="39" t="n">
        <v>-0.05012</v>
      </c>
      <c r="E497" s="40" t="n">
        <v>5E-005</v>
      </c>
      <c r="F497" s="39" t="n">
        <v>0.05715</v>
      </c>
      <c r="G497" s="40" t="n">
        <v>3E-005</v>
      </c>
      <c r="H497" s="39" t="n">
        <v>0.21057</v>
      </c>
      <c r="I497" s="40" t="n">
        <v>3E-005</v>
      </c>
      <c r="J497" s="39" t="n">
        <v>0.32824</v>
      </c>
      <c r="K497" s="40" t="n">
        <v>6E-005</v>
      </c>
      <c r="L497" s="39" t="n">
        <v>0.08726</v>
      </c>
      <c r="M497" s="40" t="n">
        <v>0.00032</v>
      </c>
      <c r="N497" s="39" t="n">
        <v>0.31645</v>
      </c>
      <c r="O497" s="40" t="n">
        <v>5E-005</v>
      </c>
      <c r="P497" s="39" t="n">
        <v>0.18011</v>
      </c>
      <c r="Q497" s="40" t="n">
        <v>0.00023</v>
      </c>
      <c r="R497" s="39" t="n">
        <v>0.48809</v>
      </c>
      <c r="S497" s="40" t="n">
        <v>0.00012</v>
      </c>
      <c r="T497" s="39" t="n">
        <v>0.17179</v>
      </c>
      <c r="U497" s="40" t="n">
        <v>0.00021</v>
      </c>
      <c r="V497" s="39" t="n">
        <v>0.48795</v>
      </c>
      <c r="W497" s="40" t="n">
        <v>0.00018</v>
      </c>
      <c r="X497" s="39" t="n">
        <v>0.01549</v>
      </c>
      <c r="Y497" s="40" t="n">
        <v>0</v>
      </c>
    </row>
    <row r="498" customFormat="false" ht="15" hidden="false" customHeight="false" outlineLevel="0" collapsed="false">
      <c r="A498" s="38" t="n">
        <v>553</v>
      </c>
      <c r="B498" s="39" t="n">
        <v>0.01232</v>
      </c>
      <c r="C498" s="40" t="n">
        <v>0</v>
      </c>
      <c r="D498" s="39" t="n">
        <v>-0.04874</v>
      </c>
      <c r="E498" s="40" t="n">
        <v>6E-005</v>
      </c>
      <c r="F498" s="39" t="n">
        <v>0.05674</v>
      </c>
      <c r="G498" s="40" t="n">
        <v>3E-005</v>
      </c>
      <c r="H498" s="39" t="n">
        <v>0.21048</v>
      </c>
      <c r="I498" s="40" t="n">
        <v>3E-005</v>
      </c>
      <c r="J498" s="39" t="n">
        <v>0.32757</v>
      </c>
      <c r="K498" s="40" t="n">
        <v>6E-005</v>
      </c>
      <c r="L498" s="39" t="n">
        <v>0.08331</v>
      </c>
      <c r="M498" s="40" t="n">
        <v>0.0003</v>
      </c>
      <c r="N498" s="39" t="n">
        <v>0.31578</v>
      </c>
      <c r="O498" s="40" t="n">
        <v>5E-005</v>
      </c>
      <c r="P498" s="39" t="n">
        <v>0.17758</v>
      </c>
      <c r="Q498" s="40" t="n">
        <v>0.00022</v>
      </c>
      <c r="R498" s="39" t="n">
        <v>0.48644</v>
      </c>
      <c r="S498" s="40" t="n">
        <v>0.00012</v>
      </c>
      <c r="T498" s="39" t="n">
        <v>0.16914</v>
      </c>
      <c r="U498" s="40" t="n">
        <v>0.00021</v>
      </c>
      <c r="V498" s="39" t="n">
        <v>0.48591</v>
      </c>
      <c r="W498" s="40" t="n">
        <v>0.00019</v>
      </c>
      <c r="X498" s="39" t="n">
        <v>0.01553</v>
      </c>
      <c r="Y498" s="40" t="n">
        <v>0</v>
      </c>
    </row>
    <row r="499" customFormat="false" ht="15" hidden="false" customHeight="false" outlineLevel="0" collapsed="false">
      <c r="A499" s="38" t="n">
        <v>554</v>
      </c>
      <c r="B499" s="39" t="n">
        <v>0.0124</v>
      </c>
      <c r="C499" s="40" t="n">
        <v>-1E-005</v>
      </c>
      <c r="D499" s="39" t="n">
        <v>-0.04803</v>
      </c>
      <c r="E499" s="40" t="n">
        <v>1E-005</v>
      </c>
      <c r="F499" s="39" t="n">
        <v>0.056</v>
      </c>
      <c r="G499" s="40" t="n">
        <v>2E-005</v>
      </c>
      <c r="H499" s="39" t="n">
        <v>0.21011</v>
      </c>
      <c r="I499" s="40" t="n">
        <v>3E-005</v>
      </c>
      <c r="J499" s="39" t="n">
        <v>0.32687</v>
      </c>
      <c r="K499" s="40" t="n">
        <v>6E-005</v>
      </c>
      <c r="L499" s="39" t="n">
        <v>0.07949</v>
      </c>
      <c r="M499" s="40" t="n">
        <v>0.0003</v>
      </c>
      <c r="N499" s="39" t="n">
        <v>0.31498</v>
      </c>
      <c r="O499" s="40" t="n">
        <v>5E-005</v>
      </c>
      <c r="P499" s="39" t="n">
        <v>0.1748</v>
      </c>
      <c r="Q499" s="40" t="n">
        <v>0.00022</v>
      </c>
      <c r="R499" s="39" t="n">
        <v>0.48504</v>
      </c>
      <c r="S499" s="40" t="n">
        <v>0.00012</v>
      </c>
      <c r="T499" s="39" t="n">
        <v>0.16677</v>
      </c>
      <c r="U499" s="40" t="n">
        <v>0.00021</v>
      </c>
      <c r="V499" s="39" t="n">
        <v>0.48369</v>
      </c>
      <c r="W499" s="40" t="n">
        <v>0.00019</v>
      </c>
      <c r="X499" s="39" t="n">
        <v>0.01568</v>
      </c>
      <c r="Y499" s="40" t="n">
        <v>0</v>
      </c>
    </row>
    <row r="500" customFormat="false" ht="15" hidden="false" customHeight="false" outlineLevel="0" collapsed="false">
      <c r="A500" s="38" t="n">
        <v>555</v>
      </c>
      <c r="B500" s="39" t="n">
        <v>0.01238</v>
      </c>
      <c r="C500" s="40" t="n">
        <v>1E-005</v>
      </c>
      <c r="D500" s="39" t="n">
        <v>-0.0508</v>
      </c>
      <c r="E500" s="40" t="n">
        <v>-5E-005</v>
      </c>
      <c r="F500" s="39" t="n">
        <v>0.0561</v>
      </c>
      <c r="G500" s="40" t="n">
        <v>1E-005</v>
      </c>
      <c r="H500" s="39" t="n">
        <v>0.20983</v>
      </c>
      <c r="I500" s="40" t="n">
        <v>3E-005</v>
      </c>
      <c r="J500" s="39" t="n">
        <v>0.32609</v>
      </c>
      <c r="K500" s="40" t="n">
        <v>6E-005</v>
      </c>
      <c r="L500" s="39" t="n">
        <v>0.07604</v>
      </c>
      <c r="M500" s="40" t="n">
        <v>0.00029</v>
      </c>
      <c r="N500" s="39" t="n">
        <v>0.31441</v>
      </c>
      <c r="O500" s="40" t="n">
        <v>5E-005</v>
      </c>
      <c r="P500" s="39" t="n">
        <v>0.17203</v>
      </c>
      <c r="Q500" s="40" t="n">
        <v>0.00021</v>
      </c>
      <c r="R500" s="39" t="n">
        <v>0.48357</v>
      </c>
      <c r="S500" s="40" t="n">
        <v>0.00012</v>
      </c>
      <c r="T500" s="39" t="n">
        <v>0.16432</v>
      </c>
      <c r="U500" s="40" t="n">
        <v>0.00021</v>
      </c>
      <c r="V500" s="39" t="n">
        <v>0.48146</v>
      </c>
      <c r="W500" s="40" t="n">
        <v>0.00018</v>
      </c>
      <c r="X500" s="39" t="n">
        <v>0.01547</v>
      </c>
      <c r="Y500" s="40" t="n">
        <v>1E-005</v>
      </c>
    </row>
    <row r="501" customFormat="false" ht="15" hidden="false" customHeight="false" outlineLevel="0" collapsed="false">
      <c r="A501" s="38" t="n">
        <v>556</v>
      </c>
      <c r="B501" s="39" t="n">
        <v>0.01229</v>
      </c>
      <c r="C501" s="40" t="n">
        <v>2E-005</v>
      </c>
      <c r="D501" s="39" t="n">
        <v>-0.05255</v>
      </c>
      <c r="E501" s="40" t="n">
        <v>-5E-005</v>
      </c>
      <c r="F501" s="39" t="n">
        <v>0.0558</v>
      </c>
      <c r="G501" s="40" t="n">
        <v>2E-005</v>
      </c>
      <c r="H501" s="39" t="n">
        <v>0.20936</v>
      </c>
      <c r="I501" s="40" t="n">
        <v>3E-005</v>
      </c>
      <c r="J501" s="39" t="n">
        <v>0.32551</v>
      </c>
      <c r="K501" s="40" t="n">
        <v>6E-005</v>
      </c>
      <c r="L501" s="39" t="n">
        <v>0.07294</v>
      </c>
      <c r="M501" s="40" t="n">
        <v>0.00028</v>
      </c>
      <c r="N501" s="39" t="n">
        <v>0.31387</v>
      </c>
      <c r="O501" s="40" t="n">
        <v>5E-005</v>
      </c>
      <c r="P501" s="39" t="n">
        <v>0.16956</v>
      </c>
      <c r="Q501" s="40" t="n">
        <v>0.00021</v>
      </c>
      <c r="R501" s="39" t="n">
        <v>0.4823</v>
      </c>
      <c r="S501" s="40" t="n">
        <v>0.00012</v>
      </c>
      <c r="T501" s="39" t="n">
        <v>0.1616</v>
      </c>
      <c r="U501" s="40" t="n">
        <v>0.0002</v>
      </c>
      <c r="V501" s="39" t="n">
        <v>0.47915</v>
      </c>
      <c r="W501" s="40" t="n">
        <v>0.00018</v>
      </c>
      <c r="X501" s="39" t="n">
        <v>0.0154</v>
      </c>
      <c r="Y501" s="40" t="n">
        <v>1E-005</v>
      </c>
    </row>
    <row r="502" customFormat="false" ht="15" hidden="false" customHeight="false" outlineLevel="0" collapsed="false">
      <c r="A502" s="38" t="n">
        <v>557</v>
      </c>
      <c r="B502" s="39" t="n">
        <v>0.01211</v>
      </c>
      <c r="C502" s="40" t="n">
        <v>1E-005</v>
      </c>
      <c r="D502" s="39" t="n">
        <v>-0.04863</v>
      </c>
      <c r="E502" s="40" t="n">
        <v>-2E-005</v>
      </c>
      <c r="F502" s="39" t="n">
        <v>0.05552</v>
      </c>
      <c r="G502" s="40" t="n">
        <v>1E-005</v>
      </c>
      <c r="H502" s="39" t="n">
        <v>0.20904</v>
      </c>
      <c r="I502" s="40" t="n">
        <v>3E-005</v>
      </c>
      <c r="J502" s="39" t="n">
        <v>0.32476</v>
      </c>
      <c r="K502" s="40" t="n">
        <v>6E-005</v>
      </c>
      <c r="L502" s="39" t="n">
        <v>0.06952</v>
      </c>
      <c r="M502" s="40" t="n">
        <v>0.00026</v>
      </c>
      <c r="N502" s="39" t="n">
        <v>0.31307</v>
      </c>
      <c r="O502" s="40" t="n">
        <v>5E-005</v>
      </c>
      <c r="P502" s="39" t="n">
        <v>0.16721</v>
      </c>
      <c r="Q502" s="40" t="n">
        <v>0.0002</v>
      </c>
      <c r="R502" s="39" t="n">
        <v>0.48096</v>
      </c>
      <c r="S502" s="40" t="n">
        <v>0.00011</v>
      </c>
      <c r="T502" s="39" t="n">
        <v>0.15926</v>
      </c>
      <c r="U502" s="40" t="n">
        <v>0.00019</v>
      </c>
      <c r="V502" s="39" t="n">
        <v>0.47686</v>
      </c>
      <c r="W502" s="40" t="n">
        <v>0.00019</v>
      </c>
      <c r="X502" s="39" t="n">
        <v>0.01548</v>
      </c>
      <c r="Y502" s="40" t="n">
        <v>1E-005</v>
      </c>
    </row>
    <row r="503" customFormat="false" ht="15" hidden="false" customHeight="false" outlineLevel="0" collapsed="false">
      <c r="A503" s="38" t="n">
        <v>558</v>
      </c>
      <c r="B503" s="39" t="n">
        <v>0.01189</v>
      </c>
      <c r="C503" s="40" t="n">
        <v>1E-005</v>
      </c>
      <c r="D503" s="39" t="n">
        <v>-0.04591</v>
      </c>
      <c r="E503" s="40" t="n">
        <v>0</v>
      </c>
      <c r="F503" s="39" t="n">
        <v>0.05565</v>
      </c>
      <c r="G503" s="40" t="n">
        <v>1E-005</v>
      </c>
      <c r="H503" s="39" t="n">
        <v>0.20891</v>
      </c>
      <c r="I503" s="40" t="n">
        <v>2E-005</v>
      </c>
      <c r="J503" s="39" t="n">
        <v>0.32391</v>
      </c>
      <c r="K503" s="40" t="n">
        <v>6E-005</v>
      </c>
      <c r="L503" s="39" t="n">
        <v>0.06637</v>
      </c>
      <c r="M503" s="40" t="n">
        <v>0.00025</v>
      </c>
      <c r="N503" s="39" t="n">
        <v>0.31255</v>
      </c>
      <c r="O503" s="40" t="n">
        <v>5E-005</v>
      </c>
      <c r="P503" s="39" t="n">
        <v>0.16505</v>
      </c>
      <c r="Q503" s="40" t="n">
        <v>0.00019</v>
      </c>
      <c r="R503" s="39" t="n">
        <v>0.47916</v>
      </c>
      <c r="S503" s="40" t="n">
        <v>0.00012</v>
      </c>
      <c r="T503" s="39" t="n">
        <v>0.15707</v>
      </c>
      <c r="U503" s="40" t="n">
        <v>0.00019</v>
      </c>
      <c r="V503" s="39" t="n">
        <v>0.47483</v>
      </c>
      <c r="W503" s="40" t="n">
        <v>0.00018</v>
      </c>
      <c r="X503" s="39" t="n">
        <v>0.01521</v>
      </c>
      <c r="Y503" s="40" t="n">
        <v>2E-005</v>
      </c>
    </row>
    <row r="504" customFormat="false" ht="15" hidden="false" customHeight="false" outlineLevel="0" collapsed="false">
      <c r="A504" s="38" t="n">
        <v>559</v>
      </c>
      <c r="B504" s="39" t="n">
        <v>0.01146</v>
      </c>
      <c r="C504" s="40" t="n">
        <v>1E-005</v>
      </c>
      <c r="D504" s="39" t="n">
        <v>-0.04625</v>
      </c>
      <c r="E504" s="40" t="n">
        <v>-2E-005</v>
      </c>
      <c r="F504" s="39" t="n">
        <v>0.0557</v>
      </c>
      <c r="G504" s="40" t="n">
        <v>2E-005</v>
      </c>
      <c r="H504" s="39" t="n">
        <v>0.20855</v>
      </c>
      <c r="I504" s="40" t="n">
        <v>2E-005</v>
      </c>
      <c r="J504" s="39" t="n">
        <v>0.32335</v>
      </c>
      <c r="K504" s="40" t="n">
        <v>5E-005</v>
      </c>
      <c r="L504" s="39" t="n">
        <v>0.06341</v>
      </c>
      <c r="M504" s="40" t="n">
        <v>0.00024</v>
      </c>
      <c r="N504" s="39" t="n">
        <v>0.31244</v>
      </c>
      <c r="O504" s="40" t="n">
        <v>6E-005</v>
      </c>
      <c r="P504" s="39" t="n">
        <v>0.16285</v>
      </c>
      <c r="Q504" s="40" t="n">
        <v>0.00017</v>
      </c>
      <c r="R504" s="39" t="n">
        <v>0.47794</v>
      </c>
      <c r="S504" s="40" t="n">
        <v>0.00012</v>
      </c>
      <c r="T504" s="39" t="n">
        <v>0.1547</v>
      </c>
      <c r="U504" s="40" t="n">
        <v>0.00019</v>
      </c>
      <c r="V504" s="39" t="n">
        <v>0.47269</v>
      </c>
      <c r="W504" s="40" t="n">
        <v>0.00019</v>
      </c>
      <c r="X504" s="39" t="n">
        <v>0.01491</v>
      </c>
      <c r="Y504" s="40" t="n">
        <v>1E-005</v>
      </c>
    </row>
    <row r="505" customFormat="false" ht="15" hidden="false" customHeight="false" outlineLevel="0" collapsed="false">
      <c r="A505" s="38" t="n">
        <v>560</v>
      </c>
      <c r="B505" s="39" t="n">
        <v>0.01139</v>
      </c>
      <c r="C505" s="40" t="n">
        <v>1E-005</v>
      </c>
      <c r="D505" s="39" t="n">
        <v>-0.04933</v>
      </c>
      <c r="E505" s="40" t="n">
        <v>0</v>
      </c>
      <c r="F505" s="39" t="n">
        <v>0.05488</v>
      </c>
      <c r="G505" s="40" t="n">
        <v>2E-005</v>
      </c>
      <c r="H505" s="39" t="n">
        <v>0.20811</v>
      </c>
      <c r="I505" s="40" t="n">
        <v>2E-005</v>
      </c>
      <c r="J505" s="39" t="n">
        <v>0.32288</v>
      </c>
      <c r="K505" s="40" t="n">
        <v>6E-005</v>
      </c>
      <c r="L505" s="39" t="n">
        <v>0.06071</v>
      </c>
      <c r="M505" s="40" t="n">
        <v>0.00023</v>
      </c>
      <c r="N505" s="39" t="n">
        <v>0.31151</v>
      </c>
      <c r="O505" s="40" t="n">
        <v>5E-005</v>
      </c>
      <c r="P505" s="39" t="n">
        <v>0.16051</v>
      </c>
      <c r="Q505" s="40" t="n">
        <v>0.00019</v>
      </c>
      <c r="R505" s="39" t="n">
        <v>0.47666</v>
      </c>
      <c r="S505" s="40" t="n">
        <v>0.00013</v>
      </c>
      <c r="T505" s="39" t="n">
        <v>0.15283</v>
      </c>
      <c r="U505" s="40" t="n">
        <v>0.00018</v>
      </c>
      <c r="V505" s="39" t="n">
        <v>0.47039</v>
      </c>
      <c r="W505" s="40" t="n">
        <v>0.00019</v>
      </c>
      <c r="X505" s="39" t="n">
        <v>0.01465</v>
      </c>
      <c r="Y505" s="40" t="n">
        <v>1E-005</v>
      </c>
    </row>
    <row r="506" customFormat="false" ht="15" hidden="false" customHeight="false" outlineLevel="0" collapsed="false">
      <c r="A506" s="38" t="n">
        <v>561</v>
      </c>
      <c r="B506" s="39" t="n">
        <v>0.01205</v>
      </c>
      <c r="C506" s="40" t="n">
        <v>0</v>
      </c>
      <c r="D506" s="39" t="n">
        <v>-0.05022</v>
      </c>
      <c r="E506" s="40" t="n">
        <v>5E-005</v>
      </c>
      <c r="F506" s="39" t="n">
        <v>0.05477</v>
      </c>
      <c r="G506" s="40" t="n">
        <v>3E-005</v>
      </c>
      <c r="H506" s="39" t="n">
        <v>0.20802</v>
      </c>
      <c r="I506" s="40" t="n">
        <v>2E-005</v>
      </c>
      <c r="J506" s="39" t="n">
        <v>0.32203</v>
      </c>
      <c r="K506" s="40" t="n">
        <v>6E-005</v>
      </c>
      <c r="L506" s="39" t="n">
        <v>0.05801</v>
      </c>
      <c r="M506" s="40" t="n">
        <v>0.00022</v>
      </c>
      <c r="N506" s="39" t="n">
        <v>0.31074</v>
      </c>
      <c r="O506" s="40" t="n">
        <v>4E-005</v>
      </c>
      <c r="P506" s="39" t="n">
        <v>0.1583</v>
      </c>
      <c r="Q506" s="40" t="n">
        <v>0.00019</v>
      </c>
      <c r="R506" s="39" t="n">
        <v>0.47505</v>
      </c>
      <c r="S506" s="40" t="n">
        <v>0.00013</v>
      </c>
      <c r="T506" s="39" t="n">
        <v>0.15042</v>
      </c>
      <c r="U506" s="40" t="n">
        <v>0.00018</v>
      </c>
      <c r="V506" s="39" t="n">
        <v>0.46804</v>
      </c>
      <c r="W506" s="40" t="n">
        <v>0.00019</v>
      </c>
      <c r="X506" s="39" t="n">
        <v>0.01458</v>
      </c>
      <c r="Y506" s="40" t="n">
        <v>1E-005</v>
      </c>
    </row>
    <row r="507" customFormat="false" ht="15" hidden="false" customHeight="false" outlineLevel="0" collapsed="false">
      <c r="A507" s="38" t="n">
        <v>562</v>
      </c>
      <c r="B507" s="39" t="n">
        <v>0.01183</v>
      </c>
      <c r="C507" s="40" t="n">
        <v>0</v>
      </c>
      <c r="D507" s="39" t="n">
        <v>-0.04979</v>
      </c>
      <c r="E507" s="40" t="n">
        <v>7E-005</v>
      </c>
      <c r="F507" s="39" t="n">
        <v>0.05475</v>
      </c>
      <c r="G507" s="40" t="n">
        <v>3E-005</v>
      </c>
      <c r="H507" s="39" t="n">
        <v>0.2079</v>
      </c>
      <c r="I507" s="40" t="n">
        <v>2E-005</v>
      </c>
      <c r="J507" s="39" t="n">
        <v>0.32133</v>
      </c>
      <c r="K507" s="40" t="n">
        <v>6E-005</v>
      </c>
      <c r="L507" s="39" t="n">
        <v>0.05523</v>
      </c>
      <c r="M507" s="40" t="n">
        <v>0.00022</v>
      </c>
      <c r="N507" s="39" t="n">
        <v>0.30994</v>
      </c>
      <c r="O507" s="40" t="n">
        <v>4E-005</v>
      </c>
      <c r="P507" s="39" t="n">
        <v>0.15664</v>
      </c>
      <c r="Q507" s="40" t="n">
        <v>0.00018</v>
      </c>
      <c r="R507" s="39" t="n">
        <v>0.47334</v>
      </c>
      <c r="S507" s="40" t="n">
        <v>0.00013</v>
      </c>
      <c r="T507" s="39" t="n">
        <v>0.14814</v>
      </c>
      <c r="U507" s="40" t="n">
        <v>0.00018</v>
      </c>
      <c r="V507" s="39" t="n">
        <v>0.46575</v>
      </c>
      <c r="W507" s="40" t="n">
        <v>0.00019</v>
      </c>
      <c r="X507" s="39" t="n">
        <v>0.01449</v>
      </c>
      <c r="Y507" s="40" t="n">
        <v>1E-005</v>
      </c>
    </row>
    <row r="508" customFormat="false" ht="15" hidden="false" customHeight="false" outlineLevel="0" collapsed="false">
      <c r="A508" s="38" t="n">
        <v>563</v>
      </c>
      <c r="B508" s="39" t="n">
        <v>0.01138</v>
      </c>
      <c r="C508" s="40" t="n">
        <v>0</v>
      </c>
      <c r="D508" s="39" t="n">
        <v>-0.04932</v>
      </c>
      <c r="E508" s="40" t="n">
        <v>0</v>
      </c>
      <c r="F508" s="39" t="n">
        <v>0.05403</v>
      </c>
      <c r="G508" s="40" t="n">
        <v>2E-005</v>
      </c>
      <c r="H508" s="39" t="n">
        <v>0.20749</v>
      </c>
      <c r="I508" s="40" t="n">
        <v>1E-005</v>
      </c>
      <c r="J508" s="39" t="n">
        <v>0.32073</v>
      </c>
      <c r="K508" s="40" t="n">
        <v>6E-005</v>
      </c>
      <c r="L508" s="39" t="n">
        <v>0.05264</v>
      </c>
      <c r="M508" s="40" t="n">
        <v>0.00021</v>
      </c>
      <c r="N508" s="39" t="n">
        <v>0.30943</v>
      </c>
      <c r="O508" s="40" t="n">
        <v>4E-005</v>
      </c>
      <c r="P508" s="39" t="n">
        <v>0.15495</v>
      </c>
      <c r="Q508" s="40" t="n">
        <v>0.00017</v>
      </c>
      <c r="R508" s="39" t="n">
        <v>0.4716</v>
      </c>
      <c r="S508" s="40" t="n">
        <v>0.00013</v>
      </c>
      <c r="T508" s="39" t="n">
        <v>0.14587</v>
      </c>
      <c r="U508" s="40" t="n">
        <v>0.00018</v>
      </c>
      <c r="V508" s="39" t="n">
        <v>0.46337</v>
      </c>
      <c r="W508" s="40" t="n">
        <v>0.00019</v>
      </c>
      <c r="X508" s="39" t="n">
        <v>0.01437</v>
      </c>
      <c r="Y508" s="40" t="n">
        <v>1E-005</v>
      </c>
    </row>
    <row r="509" customFormat="false" ht="15" hidden="false" customHeight="false" outlineLevel="0" collapsed="false">
      <c r="A509" s="38" t="n">
        <v>564</v>
      </c>
      <c r="B509" s="39" t="n">
        <v>0.01114</v>
      </c>
      <c r="C509" s="40" t="n">
        <v>1E-005</v>
      </c>
      <c r="D509" s="39" t="n">
        <v>-0.04938</v>
      </c>
      <c r="E509" s="40" t="n">
        <v>-4E-005</v>
      </c>
      <c r="F509" s="39" t="n">
        <v>0.05405</v>
      </c>
      <c r="G509" s="40" t="n">
        <v>2E-005</v>
      </c>
      <c r="H509" s="39" t="n">
        <v>0.20717</v>
      </c>
      <c r="I509" s="40" t="n">
        <v>2E-005</v>
      </c>
      <c r="J509" s="39" t="n">
        <v>0.31987</v>
      </c>
      <c r="K509" s="40" t="n">
        <v>6E-005</v>
      </c>
      <c r="L509" s="39" t="n">
        <v>0.05029</v>
      </c>
      <c r="M509" s="40" t="n">
        <v>0.00021</v>
      </c>
      <c r="N509" s="39" t="n">
        <v>0.30961</v>
      </c>
      <c r="O509" s="40" t="n">
        <v>3E-005</v>
      </c>
      <c r="P509" s="39" t="n">
        <v>0.15085</v>
      </c>
      <c r="Q509" s="40" t="n">
        <v>0.00016</v>
      </c>
      <c r="R509" s="39" t="n">
        <v>0.47018</v>
      </c>
      <c r="S509" s="40" t="n">
        <v>0.00013</v>
      </c>
      <c r="T509" s="39" t="n">
        <v>0.14388</v>
      </c>
      <c r="U509" s="40" t="n">
        <v>0.00018</v>
      </c>
      <c r="V509" s="39" t="n">
        <v>0.4612</v>
      </c>
      <c r="W509" s="40" t="n">
        <v>0.00019</v>
      </c>
      <c r="X509" s="39" t="n">
        <v>0.01427</v>
      </c>
      <c r="Y509" s="40" t="n">
        <v>1E-005</v>
      </c>
    </row>
    <row r="510" customFormat="false" ht="15" hidden="false" customHeight="false" outlineLevel="0" collapsed="false">
      <c r="A510" s="38" t="n">
        <v>565</v>
      </c>
      <c r="B510" s="39" t="n">
        <v>0.01147</v>
      </c>
      <c r="C510" s="40" t="n">
        <v>3E-005</v>
      </c>
      <c r="D510" s="39" t="n">
        <v>-0.04864</v>
      </c>
      <c r="E510" s="40" t="n">
        <v>-7E-005</v>
      </c>
      <c r="F510" s="39" t="n">
        <v>0.05352</v>
      </c>
      <c r="G510" s="40" t="n">
        <v>2E-005</v>
      </c>
      <c r="H510" s="39" t="n">
        <v>0.20713</v>
      </c>
      <c r="I510" s="40" t="n">
        <v>2E-005</v>
      </c>
      <c r="J510" s="39" t="n">
        <v>0.31914</v>
      </c>
      <c r="K510" s="40" t="n">
        <v>6E-005</v>
      </c>
      <c r="L510" s="39" t="n">
        <v>0.04765</v>
      </c>
      <c r="M510" s="40" t="n">
        <v>0.00019</v>
      </c>
      <c r="N510" s="39" t="n">
        <v>0.30938</v>
      </c>
      <c r="O510" s="40" t="n">
        <v>3E-005</v>
      </c>
      <c r="P510" s="39" t="n">
        <v>0.14969</v>
      </c>
      <c r="Q510" s="40" t="n">
        <v>0.00015</v>
      </c>
      <c r="R510" s="39" t="n">
        <v>0.46866</v>
      </c>
      <c r="S510" s="40" t="n">
        <v>0.00013</v>
      </c>
      <c r="T510" s="39" t="n">
        <v>0.14166</v>
      </c>
      <c r="U510" s="40" t="n">
        <v>0.00017</v>
      </c>
      <c r="V510" s="39" t="n">
        <v>0.45896</v>
      </c>
      <c r="W510" s="40" t="n">
        <v>0.00018</v>
      </c>
      <c r="X510" s="39" t="n">
        <v>0.01417</v>
      </c>
      <c r="Y510" s="40" t="n">
        <v>1E-005</v>
      </c>
    </row>
    <row r="511" customFormat="false" ht="15" hidden="false" customHeight="false" outlineLevel="0" collapsed="false">
      <c r="A511" s="38" t="n">
        <v>566</v>
      </c>
      <c r="B511" s="39" t="n">
        <v>0.01151</v>
      </c>
      <c r="C511" s="40" t="n">
        <v>1E-005</v>
      </c>
      <c r="D511" s="39" t="n">
        <v>-0.0497</v>
      </c>
      <c r="E511" s="40" t="n">
        <v>-5E-005</v>
      </c>
      <c r="F511" s="39" t="n">
        <v>0.05359</v>
      </c>
      <c r="G511" s="40" t="n">
        <v>2E-005</v>
      </c>
      <c r="H511" s="39" t="n">
        <v>0.20718</v>
      </c>
      <c r="I511" s="40" t="n">
        <v>2E-005</v>
      </c>
      <c r="J511" s="39" t="n">
        <v>0.31839</v>
      </c>
      <c r="K511" s="40" t="n">
        <v>6E-005</v>
      </c>
      <c r="L511" s="39" t="n">
        <v>0.04511</v>
      </c>
      <c r="M511" s="40" t="n">
        <v>0.00018</v>
      </c>
      <c r="N511" s="39" t="n">
        <v>0.30844</v>
      </c>
      <c r="O511" s="40" t="n">
        <v>3E-005</v>
      </c>
      <c r="P511" s="39" t="n">
        <v>0.14918</v>
      </c>
      <c r="Q511" s="40" t="n">
        <v>0.00014</v>
      </c>
      <c r="R511" s="39" t="n">
        <v>0.46717</v>
      </c>
      <c r="S511" s="40" t="n">
        <v>0.00013</v>
      </c>
      <c r="T511" s="39" t="n">
        <v>0.13963</v>
      </c>
      <c r="U511" s="40" t="n">
        <v>0.00017</v>
      </c>
      <c r="V511" s="39" t="n">
        <v>0.45669</v>
      </c>
      <c r="W511" s="40" t="n">
        <v>0.00019</v>
      </c>
      <c r="X511" s="39" t="n">
        <v>0.01395</v>
      </c>
      <c r="Y511" s="40" t="n">
        <v>1E-005</v>
      </c>
    </row>
    <row r="512" customFormat="false" ht="15" hidden="false" customHeight="false" outlineLevel="0" collapsed="false">
      <c r="A512" s="38" t="n">
        <v>567</v>
      </c>
      <c r="B512" s="39" t="n">
        <v>0.01099</v>
      </c>
      <c r="C512" s="40" t="n">
        <v>0</v>
      </c>
      <c r="D512" s="39" t="n">
        <v>-0.04727</v>
      </c>
      <c r="E512" s="40" t="n">
        <v>-1E-005</v>
      </c>
      <c r="F512" s="39" t="n">
        <v>0.05344</v>
      </c>
      <c r="G512" s="40" t="n">
        <v>2E-005</v>
      </c>
      <c r="H512" s="39" t="n">
        <v>0.20685</v>
      </c>
      <c r="I512" s="40" t="n">
        <v>2E-005</v>
      </c>
      <c r="J512" s="39" t="n">
        <v>0.31772</v>
      </c>
      <c r="K512" s="40" t="n">
        <v>6E-005</v>
      </c>
      <c r="L512" s="39" t="n">
        <v>0.0433</v>
      </c>
      <c r="M512" s="40" t="n">
        <v>0.00017</v>
      </c>
      <c r="N512" s="39" t="n">
        <v>0.3081</v>
      </c>
      <c r="O512" s="40" t="n">
        <v>4E-005</v>
      </c>
      <c r="P512" s="39" t="n">
        <v>0.14719</v>
      </c>
      <c r="Q512" s="40" t="n">
        <v>0.00013</v>
      </c>
      <c r="R512" s="39" t="n">
        <v>0.46561</v>
      </c>
      <c r="S512" s="40" t="n">
        <v>0.00013</v>
      </c>
      <c r="T512" s="39" t="n">
        <v>0.13778</v>
      </c>
      <c r="U512" s="40" t="n">
        <v>0.00016</v>
      </c>
      <c r="V512" s="39" t="n">
        <v>0.45448</v>
      </c>
      <c r="W512" s="40" t="n">
        <v>0.00019</v>
      </c>
      <c r="X512" s="39" t="n">
        <v>0.01389</v>
      </c>
      <c r="Y512" s="40" t="n">
        <v>0</v>
      </c>
    </row>
    <row r="513" customFormat="false" ht="15" hidden="false" customHeight="false" outlineLevel="0" collapsed="false">
      <c r="A513" s="38" t="n">
        <v>568</v>
      </c>
      <c r="B513" s="39" t="n">
        <v>0.01062</v>
      </c>
      <c r="C513" s="40" t="n">
        <v>0</v>
      </c>
      <c r="D513" s="39" t="n">
        <v>-0.04736</v>
      </c>
      <c r="E513" s="40" t="n">
        <v>1E-005</v>
      </c>
      <c r="F513" s="39" t="n">
        <v>0.0529</v>
      </c>
      <c r="G513" s="40" t="n">
        <v>2E-005</v>
      </c>
      <c r="H513" s="39" t="n">
        <v>0.20637</v>
      </c>
      <c r="I513" s="40" t="n">
        <v>2E-005</v>
      </c>
      <c r="J513" s="39" t="n">
        <v>0.31714</v>
      </c>
      <c r="K513" s="40" t="n">
        <v>6E-005</v>
      </c>
      <c r="L513" s="39" t="n">
        <v>0.04136</v>
      </c>
      <c r="M513" s="40" t="n">
        <v>0.00017</v>
      </c>
      <c r="N513" s="39" t="n">
        <v>0.30761</v>
      </c>
      <c r="O513" s="40" t="n">
        <v>5E-005</v>
      </c>
      <c r="P513" s="39" t="n">
        <v>0.14552</v>
      </c>
      <c r="Q513" s="40" t="n">
        <v>0.00011</v>
      </c>
      <c r="R513" s="39" t="n">
        <v>0.46401</v>
      </c>
      <c r="S513" s="40" t="n">
        <v>0.00014</v>
      </c>
      <c r="T513" s="39" t="n">
        <v>0.13573</v>
      </c>
      <c r="U513" s="40" t="n">
        <v>0.00016</v>
      </c>
      <c r="V513" s="39" t="n">
        <v>0.45218</v>
      </c>
      <c r="W513" s="40" t="n">
        <v>0.00019</v>
      </c>
      <c r="X513" s="39" t="n">
        <v>0.01383</v>
      </c>
      <c r="Y513" s="40" t="n">
        <v>0</v>
      </c>
    </row>
    <row r="514" customFormat="false" ht="15" hidden="false" customHeight="false" outlineLevel="0" collapsed="false">
      <c r="A514" s="38" t="n">
        <v>569</v>
      </c>
      <c r="B514" s="39" t="n">
        <v>0.01051</v>
      </c>
      <c r="C514" s="40" t="n">
        <v>1E-005</v>
      </c>
      <c r="D514" s="39" t="n">
        <v>-0.04668</v>
      </c>
      <c r="E514" s="40" t="n">
        <v>3E-005</v>
      </c>
      <c r="F514" s="39" t="n">
        <v>0.05272</v>
      </c>
      <c r="G514" s="40" t="n">
        <v>2E-005</v>
      </c>
      <c r="H514" s="39" t="n">
        <v>0.2063</v>
      </c>
      <c r="I514" s="40" t="n">
        <v>2E-005</v>
      </c>
      <c r="J514" s="39" t="n">
        <v>0.31647</v>
      </c>
      <c r="K514" s="40" t="n">
        <v>6E-005</v>
      </c>
      <c r="L514" s="39" t="n">
        <v>0.03968</v>
      </c>
      <c r="M514" s="40" t="n">
        <v>0.00016</v>
      </c>
      <c r="N514" s="39" t="n">
        <v>0.30692</v>
      </c>
      <c r="O514" s="40" t="n">
        <v>5E-005</v>
      </c>
      <c r="P514" s="39" t="n">
        <v>0.14407</v>
      </c>
      <c r="Q514" s="40" t="n">
        <v>0.00013</v>
      </c>
      <c r="R514" s="39" t="n">
        <v>0.46245</v>
      </c>
      <c r="S514" s="40" t="n">
        <v>0.00013</v>
      </c>
      <c r="T514" s="39" t="n">
        <v>0.13372</v>
      </c>
      <c r="U514" s="40" t="n">
        <v>0.00016</v>
      </c>
      <c r="V514" s="39" t="n">
        <v>0.45005</v>
      </c>
      <c r="W514" s="40" t="n">
        <v>0.00019</v>
      </c>
      <c r="X514" s="39" t="n">
        <v>0.01399</v>
      </c>
      <c r="Y514" s="40" t="n">
        <v>1E-005</v>
      </c>
    </row>
    <row r="515" customFormat="false" ht="15" hidden="false" customHeight="false" outlineLevel="0" collapsed="false">
      <c r="A515" s="38" t="n">
        <v>570</v>
      </c>
      <c r="B515" s="39" t="n">
        <v>0.01145</v>
      </c>
      <c r="C515" s="40" t="n">
        <v>1E-005</v>
      </c>
      <c r="D515" s="39" t="n">
        <v>-0.04821</v>
      </c>
      <c r="E515" s="40" t="n">
        <v>5E-005</v>
      </c>
      <c r="F515" s="39" t="n">
        <v>0.05243</v>
      </c>
      <c r="G515" s="40" t="n">
        <v>2E-005</v>
      </c>
      <c r="H515" s="39" t="n">
        <v>0.20629</v>
      </c>
      <c r="I515" s="40" t="n">
        <v>2E-005</v>
      </c>
      <c r="J515" s="39" t="n">
        <v>0.31584</v>
      </c>
      <c r="K515" s="40" t="n">
        <v>6E-005</v>
      </c>
      <c r="L515" s="39" t="n">
        <v>0.0375</v>
      </c>
      <c r="M515" s="40" t="n">
        <v>0.00016</v>
      </c>
      <c r="N515" s="39" t="n">
        <v>0.30651</v>
      </c>
      <c r="O515" s="40" t="n">
        <v>5E-005</v>
      </c>
      <c r="P515" s="39" t="n">
        <v>0.14259</v>
      </c>
      <c r="Q515" s="40" t="n">
        <v>0.00014</v>
      </c>
      <c r="R515" s="39" t="n">
        <v>0.46067</v>
      </c>
      <c r="S515" s="40" t="n">
        <v>0.00013</v>
      </c>
      <c r="T515" s="39" t="n">
        <v>0.13202</v>
      </c>
      <c r="U515" s="40" t="n">
        <v>0.00016</v>
      </c>
      <c r="V515" s="39" t="n">
        <v>0.44749</v>
      </c>
      <c r="W515" s="40" t="n">
        <v>0.0002</v>
      </c>
      <c r="X515" s="39" t="n">
        <v>0.014</v>
      </c>
      <c r="Y515" s="40" t="n">
        <v>1E-005</v>
      </c>
    </row>
    <row r="516" customFormat="false" ht="15" hidden="false" customHeight="false" outlineLevel="0" collapsed="false">
      <c r="A516" s="38" t="n">
        <v>571</v>
      </c>
      <c r="B516" s="39" t="n">
        <v>0.01157</v>
      </c>
      <c r="C516" s="40" t="n">
        <v>0</v>
      </c>
      <c r="D516" s="39" t="n">
        <v>-0.05054</v>
      </c>
      <c r="E516" s="40" t="n">
        <v>8E-005</v>
      </c>
      <c r="F516" s="39" t="n">
        <v>0.05229</v>
      </c>
      <c r="G516" s="40" t="n">
        <v>2E-005</v>
      </c>
      <c r="H516" s="39" t="n">
        <v>0.20575</v>
      </c>
      <c r="I516" s="40" t="n">
        <v>2E-005</v>
      </c>
      <c r="J516" s="39" t="n">
        <v>0.31493</v>
      </c>
      <c r="K516" s="40" t="n">
        <v>6E-005</v>
      </c>
      <c r="L516" s="39" t="n">
        <v>0.03556</v>
      </c>
      <c r="M516" s="40" t="n">
        <v>0.00016</v>
      </c>
      <c r="N516" s="39" t="n">
        <v>0.30605</v>
      </c>
      <c r="O516" s="40" t="n">
        <v>4E-005</v>
      </c>
      <c r="P516" s="39" t="n">
        <v>0.14089</v>
      </c>
      <c r="Q516" s="40" t="n">
        <v>0.00013</v>
      </c>
      <c r="R516" s="39" t="n">
        <v>0.45919</v>
      </c>
      <c r="S516" s="40" t="n">
        <v>0.00013</v>
      </c>
      <c r="T516" s="39" t="n">
        <v>0.13008</v>
      </c>
      <c r="U516" s="40" t="n">
        <v>0.00016</v>
      </c>
      <c r="V516" s="39" t="n">
        <v>0.44504</v>
      </c>
      <c r="W516" s="40" t="n">
        <v>0.00019</v>
      </c>
      <c r="X516" s="39" t="n">
        <v>0.01365</v>
      </c>
      <c r="Y516" s="40" t="n">
        <v>1E-005</v>
      </c>
    </row>
    <row r="517" customFormat="false" ht="15" hidden="false" customHeight="false" outlineLevel="0" collapsed="false">
      <c r="A517" s="38" t="n">
        <v>572</v>
      </c>
      <c r="B517" s="39" t="n">
        <v>0.01073</v>
      </c>
      <c r="C517" s="40" t="n">
        <v>1E-005</v>
      </c>
      <c r="D517" s="39" t="n">
        <v>-0.05084</v>
      </c>
      <c r="E517" s="40" t="n">
        <v>6E-005</v>
      </c>
      <c r="F517" s="39" t="n">
        <v>0.05214</v>
      </c>
      <c r="G517" s="40" t="n">
        <v>2E-005</v>
      </c>
      <c r="H517" s="39" t="n">
        <v>0.20548</v>
      </c>
      <c r="I517" s="40" t="n">
        <v>2E-005</v>
      </c>
      <c r="J517" s="39" t="n">
        <v>0.3142</v>
      </c>
      <c r="K517" s="40" t="n">
        <v>7E-005</v>
      </c>
      <c r="L517" s="39" t="n">
        <v>0.03354</v>
      </c>
      <c r="M517" s="40" t="n">
        <v>0.00015</v>
      </c>
      <c r="N517" s="39" t="n">
        <v>0.30522</v>
      </c>
      <c r="O517" s="40" t="n">
        <v>4E-005</v>
      </c>
      <c r="P517" s="39" t="n">
        <v>0.1392</v>
      </c>
      <c r="Q517" s="40" t="n">
        <v>0.00013</v>
      </c>
      <c r="R517" s="39" t="n">
        <v>0.45752</v>
      </c>
      <c r="S517" s="40" t="n">
        <v>0.00013</v>
      </c>
      <c r="T517" s="39" t="n">
        <v>0.12794</v>
      </c>
      <c r="U517" s="40" t="n">
        <v>0.00015</v>
      </c>
      <c r="V517" s="39" t="n">
        <v>0.44288</v>
      </c>
      <c r="W517" s="40" t="n">
        <v>0.00019</v>
      </c>
      <c r="X517" s="39" t="n">
        <v>0.01358</v>
      </c>
      <c r="Y517" s="40" t="n">
        <v>1E-005</v>
      </c>
    </row>
    <row r="518" customFormat="false" ht="15" hidden="false" customHeight="false" outlineLevel="0" collapsed="false">
      <c r="A518" s="38" t="n">
        <v>573</v>
      </c>
      <c r="B518" s="39" t="n">
        <v>0.01033</v>
      </c>
      <c r="C518" s="40" t="n">
        <v>1E-005</v>
      </c>
      <c r="D518" s="39" t="n">
        <v>-0.05042</v>
      </c>
      <c r="E518" s="40" t="n">
        <v>3E-005</v>
      </c>
      <c r="F518" s="39" t="n">
        <v>0.05199</v>
      </c>
      <c r="G518" s="40" t="n">
        <v>3E-005</v>
      </c>
      <c r="H518" s="39" t="n">
        <v>0.20543</v>
      </c>
      <c r="I518" s="40" t="n">
        <v>2E-005</v>
      </c>
      <c r="J518" s="39" t="n">
        <v>0.31323</v>
      </c>
      <c r="K518" s="40" t="n">
        <v>7E-005</v>
      </c>
      <c r="L518" s="39" t="n">
        <v>0.03172</v>
      </c>
      <c r="M518" s="40" t="n">
        <v>0.00015</v>
      </c>
      <c r="N518" s="39" t="n">
        <v>0.30467</v>
      </c>
      <c r="O518" s="40" t="n">
        <v>4E-005</v>
      </c>
      <c r="P518" s="39" t="n">
        <v>0.13786</v>
      </c>
      <c r="Q518" s="40" t="n">
        <v>0.00013</v>
      </c>
      <c r="R518" s="39" t="n">
        <v>0.45622</v>
      </c>
      <c r="S518" s="40" t="n">
        <v>0.00013</v>
      </c>
      <c r="T518" s="39" t="n">
        <v>0.12618</v>
      </c>
      <c r="U518" s="40" t="n">
        <v>0.00015</v>
      </c>
      <c r="V518" s="39" t="n">
        <v>0.44058</v>
      </c>
      <c r="W518" s="40" t="n">
        <v>0.0002</v>
      </c>
      <c r="X518" s="39" t="n">
        <v>0.01314</v>
      </c>
      <c r="Y518" s="40" t="n">
        <v>1E-005</v>
      </c>
    </row>
    <row r="519" customFormat="false" ht="15" hidden="false" customHeight="false" outlineLevel="0" collapsed="false">
      <c r="A519" s="38" t="n">
        <v>574</v>
      </c>
      <c r="B519" s="39" t="n">
        <v>0.01049</v>
      </c>
      <c r="C519" s="40" t="n">
        <v>2E-005</v>
      </c>
      <c r="D519" s="39" t="n">
        <v>-0.05135</v>
      </c>
      <c r="E519" s="40" t="n">
        <v>1E-005</v>
      </c>
      <c r="F519" s="39" t="n">
        <v>0.05153</v>
      </c>
      <c r="G519" s="40" t="n">
        <v>4E-005</v>
      </c>
      <c r="H519" s="39" t="n">
        <v>0.20534</v>
      </c>
      <c r="I519" s="40" t="n">
        <v>2E-005</v>
      </c>
      <c r="J519" s="39" t="n">
        <v>0.31256</v>
      </c>
      <c r="K519" s="40" t="n">
        <v>7E-005</v>
      </c>
      <c r="L519" s="39" t="n">
        <v>0.03024</v>
      </c>
      <c r="M519" s="40" t="n">
        <v>0.00014</v>
      </c>
      <c r="N519" s="39" t="n">
        <v>0.30445</v>
      </c>
      <c r="O519" s="40" t="n">
        <v>4E-005</v>
      </c>
      <c r="P519" s="39" t="n">
        <v>0.13632</v>
      </c>
      <c r="Q519" s="40" t="n">
        <v>0.00012</v>
      </c>
      <c r="R519" s="39" t="n">
        <v>0.45483</v>
      </c>
      <c r="S519" s="40" t="n">
        <v>0.00013</v>
      </c>
      <c r="T519" s="39" t="n">
        <v>0.1244</v>
      </c>
      <c r="U519" s="40" t="n">
        <v>0.00015</v>
      </c>
      <c r="V519" s="39" t="n">
        <v>0.43812</v>
      </c>
      <c r="W519" s="40" t="n">
        <v>0.00019</v>
      </c>
      <c r="X519" s="39" t="n">
        <v>0.01312</v>
      </c>
      <c r="Y519" s="40" t="n">
        <v>1E-005</v>
      </c>
    </row>
    <row r="520" customFormat="false" ht="15" hidden="false" customHeight="false" outlineLevel="0" collapsed="false">
      <c r="A520" s="38" t="n">
        <v>575</v>
      </c>
      <c r="B520" s="39" t="n">
        <v>0.01044</v>
      </c>
      <c r="C520" s="40" t="n">
        <v>1E-005</v>
      </c>
      <c r="D520" s="39" t="n">
        <v>-0.05098</v>
      </c>
      <c r="E520" s="40" t="n">
        <v>-2E-005</v>
      </c>
      <c r="F520" s="39" t="n">
        <v>0.05076</v>
      </c>
      <c r="G520" s="40" t="n">
        <v>4E-005</v>
      </c>
      <c r="H520" s="39" t="n">
        <v>0.2051</v>
      </c>
      <c r="I520" s="40" t="n">
        <v>1E-005</v>
      </c>
      <c r="J520" s="39" t="n">
        <v>0.31196</v>
      </c>
      <c r="K520" s="40" t="n">
        <v>7E-005</v>
      </c>
      <c r="L520" s="39" t="n">
        <v>0.02873</v>
      </c>
      <c r="M520" s="40" t="n">
        <v>0.00013</v>
      </c>
      <c r="N520" s="39" t="n">
        <v>0.30424</v>
      </c>
      <c r="O520" s="40" t="n">
        <v>4E-005</v>
      </c>
      <c r="P520" s="39" t="n">
        <v>0.13473</v>
      </c>
      <c r="Q520" s="40" t="n">
        <v>0.00012</v>
      </c>
      <c r="R520" s="39" t="n">
        <v>0.45311</v>
      </c>
      <c r="S520" s="40" t="n">
        <v>0.00013</v>
      </c>
      <c r="T520" s="39" t="n">
        <v>0.12301</v>
      </c>
      <c r="U520" s="40" t="n">
        <v>0.00014</v>
      </c>
      <c r="V520" s="39" t="n">
        <v>0.43597</v>
      </c>
      <c r="W520" s="40" t="n">
        <v>0.00019</v>
      </c>
      <c r="X520" s="39" t="n">
        <v>0.01332</v>
      </c>
      <c r="Y520" s="40" t="n">
        <v>1E-005</v>
      </c>
    </row>
    <row r="521" customFormat="false" ht="15" hidden="false" customHeight="false" outlineLevel="0" collapsed="false">
      <c r="A521" s="38" t="n">
        <v>576</v>
      </c>
      <c r="B521" s="39" t="n">
        <v>0.01031</v>
      </c>
      <c r="C521" s="40" t="n">
        <v>0</v>
      </c>
      <c r="D521" s="39" t="n">
        <v>-0.05056</v>
      </c>
      <c r="E521" s="40" t="n">
        <v>-1E-005</v>
      </c>
      <c r="F521" s="39" t="n">
        <v>0.05035</v>
      </c>
      <c r="G521" s="40" t="n">
        <v>3E-005</v>
      </c>
      <c r="H521" s="39" t="n">
        <v>0.20482</v>
      </c>
      <c r="I521" s="40" t="n">
        <v>1E-005</v>
      </c>
      <c r="J521" s="39" t="n">
        <v>0.31087</v>
      </c>
      <c r="K521" s="40" t="n">
        <v>7E-005</v>
      </c>
      <c r="L521" s="39" t="n">
        <v>0.02701</v>
      </c>
      <c r="M521" s="40" t="n">
        <v>0.00013</v>
      </c>
      <c r="N521" s="39" t="n">
        <v>0.30348</v>
      </c>
      <c r="O521" s="40" t="n">
        <v>4E-005</v>
      </c>
      <c r="P521" s="39" t="n">
        <v>0.13322</v>
      </c>
      <c r="Q521" s="40" t="n">
        <v>0.00012</v>
      </c>
      <c r="R521" s="39" t="n">
        <v>0.45147</v>
      </c>
      <c r="S521" s="40" t="n">
        <v>0.00014</v>
      </c>
      <c r="T521" s="39" t="n">
        <v>0.12119</v>
      </c>
      <c r="U521" s="40" t="n">
        <v>0.00014</v>
      </c>
      <c r="V521" s="39" t="n">
        <v>0.43359</v>
      </c>
      <c r="W521" s="40" t="n">
        <v>0.0002</v>
      </c>
      <c r="X521" s="39" t="n">
        <v>0.0133</v>
      </c>
      <c r="Y521" s="40" t="n">
        <v>1E-005</v>
      </c>
    </row>
    <row r="522" customFormat="false" ht="15" hidden="false" customHeight="false" outlineLevel="0" collapsed="false">
      <c r="A522" s="38" t="n">
        <v>577</v>
      </c>
      <c r="B522" s="39" t="n">
        <v>0.01018</v>
      </c>
      <c r="C522" s="40" t="n">
        <v>0</v>
      </c>
      <c r="D522" s="39" t="n">
        <v>-0.04992</v>
      </c>
      <c r="E522" s="40" t="n">
        <v>1E-005</v>
      </c>
      <c r="F522" s="39" t="n">
        <v>0.04991</v>
      </c>
      <c r="G522" s="40" t="n">
        <v>3E-005</v>
      </c>
      <c r="H522" s="39" t="n">
        <v>0.20464</v>
      </c>
      <c r="I522" s="40" t="n">
        <v>1E-005</v>
      </c>
      <c r="J522" s="39" t="n">
        <v>0.31</v>
      </c>
      <c r="K522" s="40" t="n">
        <v>7E-005</v>
      </c>
      <c r="L522" s="39" t="n">
        <v>0.02541</v>
      </c>
      <c r="M522" s="40" t="n">
        <v>0.00012</v>
      </c>
      <c r="N522" s="39" t="n">
        <v>0.30275</v>
      </c>
      <c r="O522" s="40" t="n">
        <v>4E-005</v>
      </c>
      <c r="P522" s="39" t="n">
        <v>0.13204</v>
      </c>
      <c r="Q522" s="40" t="n">
        <v>0.00012</v>
      </c>
      <c r="R522" s="39" t="n">
        <v>0.44978</v>
      </c>
      <c r="S522" s="40" t="n">
        <v>0.00014</v>
      </c>
      <c r="T522" s="39" t="n">
        <v>0.11955</v>
      </c>
      <c r="U522" s="40" t="n">
        <v>0.00014</v>
      </c>
      <c r="V522" s="39" t="n">
        <v>0.43107</v>
      </c>
      <c r="W522" s="40" t="n">
        <v>0.0002</v>
      </c>
      <c r="X522" s="39" t="n">
        <v>0.0132</v>
      </c>
      <c r="Y522" s="40" t="n">
        <v>1E-005</v>
      </c>
    </row>
    <row r="523" customFormat="false" ht="15" hidden="false" customHeight="false" outlineLevel="0" collapsed="false">
      <c r="A523" s="38" t="n">
        <v>578</v>
      </c>
      <c r="B523" s="39" t="n">
        <v>0.01042</v>
      </c>
      <c r="C523" s="40" t="n">
        <v>0</v>
      </c>
      <c r="D523" s="39" t="n">
        <v>-0.05074</v>
      </c>
      <c r="E523" s="40" t="n">
        <v>-1E-005</v>
      </c>
      <c r="F523" s="39" t="n">
        <v>0.04974</v>
      </c>
      <c r="G523" s="40" t="n">
        <v>2E-005</v>
      </c>
      <c r="H523" s="39" t="n">
        <v>0.20457</v>
      </c>
      <c r="I523" s="40" t="n">
        <v>1E-005</v>
      </c>
      <c r="J523" s="39" t="n">
        <v>0.30928</v>
      </c>
      <c r="K523" s="40" t="n">
        <v>7E-005</v>
      </c>
      <c r="L523" s="39" t="n">
        <v>0.02384</v>
      </c>
      <c r="M523" s="40" t="n">
        <v>0.00012</v>
      </c>
      <c r="N523" s="39" t="n">
        <v>0.30236</v>
      </c>
      <c r="O523" s="40" t="n">
        <v>5E-005</v>
      </c>
      <c r="P523" s="39" t="n">
        <v>0.13102</v>
      </c>
      <c r="Q523" s="40" t="n">
        <v>0.00011</v>
      </c>
      <c r="R523" s="39" t="n">
        <v>0.44802</v>
      </c>
      <c r="S523" s="40" t="n">
        <v>0.00014</v>
      </c>
      <c r="T523" s="39" t="n">
        <v>0.11791</v>
      </c>
      <c r="U523" s="40" t="n">
        <v>0.00013</v>
      </c>
      <c r="V523" s="39" t="n">
        <v>0.42886</v>
      </c>
      <c r="W523" s="40" t="n">
        <v>0.00019</v>
      </c>
      <c r="X523" s="39" t="n">
        <v>0.01265</v>
      </c>
      <c r="Y523" s="40" t="n">
        <v>1E-005</v>
      </c>
    </row>
    <row r="524" customFormat="false" ht="15" hidden="false" customHeight="false" outlineLevel="0" collapsed="false">
      <c r="A524" s="38" t="n">
        <v>579</v>
      </c>
      <c r="B524" s="39" t="n">
        <v>0.01038</v>
      </c>
      <c r="C524" s="40" t="n">
        <v>1E-005</v>
      </c>
      <c r="D524" s="39" t="n">
        <v>-0.05056</v>
      </c>
      <c r="E524" s="40" t="n">
        <v>-4E-005</v>
      </c>
      <c r="F524" s="39" t="n">
        <v>0.0497</v>
      </c>
      <c r="G524" s="40" t="n">
        <v>2E-005</v>
      </c>
      <c r="H524" s="39" t="n">
        <v>0.20455</v>
      </c>
      <c r="I524" s="40" t="n">
        <v>1E-005</v>
      </c>
      <c r="J524" s="39" t="n">
        <v>0.30851</v>
      </c>
      <c r="K524" s="40" t="n">
        <v>7E-005</v>
      </c>
      <c r="L524" s="39" t="n">
        <v>0.0225</v>
      </c>
      <c r="M524" s="40" t="n">
        <v>0.00012</v>
      </c>
      <c r="N524" s="39" t="n">
        <v>0.30198</v>
      </c>
      <c r="O524" s="40" t="n">
        <v>6E-005</v>
      </c>
      <c r="P524" s="39" t="n">
        <v>0.12929</v>
      </c>
      <c r="Q524" s="40" t="n">
        <v>0.00011</v>
      </c>
      <c r="R524" s="39" t="n">
        <v>0.44657</v>
      </c>
      <c r="S524" s="40" t="n">
        <v>0.00014</v>
      </c>
      <c r="T524" s="39" t="n">
        <v>0.11625</v>
      </c>
      <c r="U524" s="40" t="n">
        <v>0.00013</v>
      </c>
      <c r="V524" s="39" t="n">
        <v>0.42657</v>
      </c>
      <c r="W524" s="40" t="n">
        <v>0.0002</v>
      </c>
      <c r="X524" s="39" t="n">
        <v>0.0125</v>
      </c>
      <c r="Y524" s="40" t="n">
        <v>1E-005</v>
      </c>
    </row>
    <row r="525" customFormat="false" ht="15" hidden="false" customHeight="false" outlineLevel="0" collapsed="false">
      <c r="A525" s="38" t="n">
        <v>580</v>
      </c>
      <c r="B525" s="39" t="n">
        <v>0.00998</v>
      </c>
      <c r="C525" s="40" t="n">
        <v>1E-005</v>
      </c>
      <c r="D525" s="39" t="n">
        <v>-0.05022</v>
      </c>
      <c r="E525" s="40" t="n">
        <v>-5E-005</v>
      </c>
      <c r="F525" s="39" t="n">
        <v>0.04937</v>
      </c>
      <c r="G525" s="40" t="n">
        <v>2E-005</v>
      </c>
      <c r="H525" s="39" t="n">
        <v>0.20426</v>
      </c>
      <c r="I525" s="40" t="n">
        <v>1E-005</v>
      </c>
      <c r="J525" s="39" t="n">
        <v>0.30743</v>
      </c>
      <c r="K525" s="40" t="n">
        <v>7E-005</v>
      </c>
      <c r="L525" s="39" t="n">
        <v>0.0212</v>
      </c>
      <c r="M525" s="40" t="n">
        <v>0.00012</v>
      </c>
      <c r="N525" s="39" t="n">
        <v>0.30109</v>
      </c>
      <c r="O525" s="40" t="n">
        <v>5E-005</v>
      </c>
      <c r="P525" s="39" t="n">
        <v>0.12783</v>
      </c>
      <c r="Q525" s="40" t="n">
        <v>0.00011</v>
      </c>
      <c r="R525" s="39" t="n">
        <v>0.44487</v>
      </c>
      <c r="S525" s="40" t="n">
        <v>0.00013</v>
      </c>
      <c r="T525" s="39" t="n">
        <v>0.11472</v>
      </c>
      <c r="U525" s="40" t="n">
        <v>0.00013</v>
      </c>
      <c r="V525" s="39" t="n">
        <v>0.42414</v>
      </c>
      <c r="W525" s="40" t="n">
        <v>0.0002</v>
      </c>
      <c r="X525" s="39" t="n">
        <v>0.01268</v>
      </c>
      <c r="Y525" s="40" t="n">
        <v>1E-005</v>
      </c>
    </row>
    <row r="526" customFormat="false" ht="15" hidden="false" customHeight="false" outlineLevel="0" collapsed="false">
      <c r="A526" s="38" t="n">
        <v>581</v>
      </c>
      <c r="B526" s="39" t="n">
        <v>0.01002</v>
      </c>
      <c r="C526" s="40" t="n">
        <v>1E-005</v>
      </c>
      <c r="D526" s="39" t="n">
        <v>-0.05072</v>
      </c>
      <c r="E526" s="40" t="n">
        <v>-5E-005</v>
      </c>
      <c r="F526" s="39" t="n">
        <v>0.04904</v>
      </c>
      <c r="G526" s="40" t="n">
        <v>3E-005</v>
      </c>
      <c r="H526" s="39" t="n">
        <v>0.2041</v>
      </c>
      <c r="I526" s="40" t="n">
        <v>2E-005</v>
      </c>
      <c r="J526" s="39" t="n">
        <v>0.3065</v>
      </c>
      <c r="K526" s="40" t="n">
        <v>7E-005</v>
      </c>
      <c r="L526" s="39" t="n">
        <v>0.01974</v>
      </c>
      <c r="M526" s="40" t="n">
        <v>0.00011</v>
      </c>
      <c r="N526" s="39" t="n">
        <v>0.30048</v>
      </c>
      <c r="O526" s="40" t="n">
        <v>5E-005</v>
      </c>
      <c r="P526" s="39" t="n">
        <v>0.12671</v>
      </c>
      <c r="Q526" s="40" t="n">
        <v>0.00011</v>
      </c>
      <c r="R526" s="39" t="n">
        <v>0.44327</v>
      </c>
      <c r="S526" s="40" t="n">
        <v>0.00013</v>
      </c>
      <c r="T526" s="39" t="n">
        <v>0.11317</v>
      </c>
      <c r="U526" s="40" t="n">
        <v>0.00013</v>
      </c>
      <c r="V526" s="39" t="n">
        <v>0.42184</v>
      </c>
      <c r="W526" s="40" t="n">
        <v>0.0002</v>
      </c>
      <c r="X526" s="39" t="n">
        <v>0.0127</v>
      </c>
      <c r="Y526" s="40" t="n">
        <v>1E-005</v>
      </c>
    </row>
    <row r="527" customFormat="false" ht="15" hidden="false" customHeight="false" outlineLevel="0" collapsed="false">
      <c r="A527" s="38" t="n">
        <v>582</v>
      </c>
      <c r="B527" s="39" t="n">
        <v>0.00985</v>
      </c>
      <c r="C527" s="40" t="n">
        <v>2E-005</v>
      </c>
      <c r="D527" s="39" t="n">
        <v>-0.04858</v>
      </c>
      <c r="E527" s="40" t="n">
        <v>-4E-005</v>
      </c>
      <c r="F527" s="39" t="n">
        <v>0.04861</v>
      </c>
      <c r="G527" s="40" t="n">
        <v>3E-005</v>
      </c>
      <c r="H527" s="39" t="n">
        <v>0.20397</v>
      </c>
      <c r="I527" s="40" t="n">
        <v>2E-005</v>
      </c>
      <c r="J527" s="39" t="n">
        <v>0.30586</v>
      </c>
      <c r="K527" s="40" t="n">
        <v>7E-005</v>
      </c>
      <c r="L527" s="39" t="n">
        <v>0.01831</v>
      </c>
      <c r="M527" s="40" t="n">
        <v>0.00011</v>
      </c>
      <c r="N527" s="39" t="n">
        <v>0.29987</v>
      </c>
      <c r="O527" s="40" t="n">
        <v>4E-005</v>
      </c>
      <c r="P527" s="39" t="n">
        <v>0.12547</v>
      </c>
      <c r="Q527" s="40" t="n">
        <v>0.0001</v>
      </c>
      <c r="R527" s="39" t="n">
        <v>0.44173</v>
      </c>
      <c r="S527" s="40" t="n">
        <v>0.00013</v>
      </c>
      <c r="T527" s="39" t="n">
        <v>0.11179</v>
      </c>
      <c r="U527" s="40" t="n">
        <v>0.00013</v>
      </c>
      <c r="V527" s="39" t="n">
        <v>0.41953</v>
      </c>
      <c r="W527" s="40" t="n">
        <v>0.0002</v>
      </c>
      <c r="X527" s="39" t="n">
        <v>0.01244</v>
      </c>
      <c r="Y527" s="40" t="n">
        <v>0</v>
      </c>
    </row>
    <row r="528" customFormat="false" ht="15" hidden="false" customHeight="false" outlineLevel="0" collapsed="false">
      <c r="A528" s="38" t="n">
        <v>583</v>
      </c>
      <c r="B528" s="39" t="n">
        <v>0.00968</v>
      </c>
      <c r="C528" s="40" t="n">
        <v>1E-005</v>
      </c>
      <c r="D528" s="39" t="n">
        <v>-0.0464</v>
      </c>
      <c r="E528" s="40" t="n">
        <v>-5E-005</v>
      </c>
      <c r="F528" s="39" t="n">
        <v>0.04822</v>
      </c>
      <c r="G528" s="40" t="n">
        <v>4E-005</v>
      </c>
      <c r="H528" s="39" t="n">
        <v>0.2038</v>
      </c>
      <c r="I528" s="40" t="n">
        <v>2E-005</v>
      </c>
      <c r="J528" s="39" t="n">
        <v>0.30506</v>
      </c>
      <c r="K528" s="40" t="n">
        <v>7E-005</v>
      </c>
      <c r="L528" s="39" t="n">
        <v>0.01698</v>
      </c>
      <c r="M528" s="40" t="n">
        <v>0.00011</v>
      </c>
      <c r="N528" s="39" t="n">
        <v>0.299</v>
      </c>
      <c r="O528" s="40" t="n">
        <v>5E-005</v>
      </c>
      <c r="P528" s="39" t="n">
        <v>0.12434</v>
      </c>
      <c r="Q528" s="40" t="n">
        <v>9E-005</v>
      </c>
      <c r="R528" s="39" t="n">
        <v>0.44024</v>
      </c>
      <c r="S528" s="40" t="n">
        <v>0.00013</v>
      </c>
      <c r="T528" s="39" t="n">
        <v>0.1103</v>
      </c>
      <c r="U528" s="40" t="n">
        <v>0.00012</v>
      </c>
      <c r="V528" s="39" t="n">
        <v>0.41704</v>
      </c>
      <c r="W528" s="40" t="n">
        <v>0.0002</v>
      </c>
      <c r="X528" s="39" t="n">
        <v>0.01226</v>
      </c>
      <c r="Y528" s="40" t="n">
        <v>1E-005</v>
      </c>
    </row>
    <row r="529" customFormat="false" ht="15" hidden="false" customHeight="false" outlineLevel="0" collapsed="false">
      <c r="A529" s="38" t="n">
        <v>584</v>
      </c>
      <c r="B529" s="39" t="n">
        <v>0.00942</v>
      </c>
      <c r="C529" s="40" t="n">
        <v>1E-005</v>
      </c>
      <c r="D529" s="39" t="n">
        <v>-0.04702</v>
      </c>
      <c r="E529" s="40" t="n">
        <v>-3E-005</v>
      </c>
      <c r="F529" s="39" t="n">
        <v>0.04787</v>
      </c>
      <c r="G529" s="40" t="n">
        <v>3E-005</v>
      </c>
      <c r="H529" s="39" t="n">
        <v>0.2033</v>
      </c>
      <c r="I529" s="40" t="n">
        <v>2E-005</v>
      </c>
      <c r="J529" s="39" t="n">
        <v>0.30422</v>
      </c>
      <c r="K529" s="40" t="n">
        <v>7E-005</v>
      </c>
      <c r="L529" s="39" t="n">
        <v>0.01575</v>
      </c>
      <c r="M529" s="40" t="n">
        <v>0.00011</v>
      </c>
      <c r="N529" s="39" t="n">
        <v>0.29882</v>
      </c>
      <c r="O529" s="40" t="n">
        <v>4E-005</v>
      </c>
      <c r="P529" s="39" t="n">
        <v>0.1233</v>
      </c>
      <c r="Q529" s="40" t="n">
        <v>9E-005</v>
      </c>
      <c r="R529" s="39" t="n">
        <v>0.43875</v>
      </c>
      <c r="S529" s="40" t="n">
        <v>0.00013</v>
      </c>
      <c r="T529" s="39" t="n">
        <v>0.10876</v>
      </c>
      <c r="U529" s="40" t="n">
        <v>0.00012</v>
      </c>
      <c r="V529" s="39" t="n">
        <v>0.41452</v>
      </c>
      <c r="W529" s="40" t="n">
        <v>0.0002</v>
      </c>
      <c r="X529" s="39" t="n">
        <v>0.0121</v>
      </c>
      <c r="Y529" s="40" t="n">
        <v>1E-005</v>
      </c>
    </row>
    <row r="530" customFormat="false" ht="15" hidden="false" customHeight="false" outlineLevel="0" collapsed="false">
      <c r="A530" s="38" t="n">
        <v>585</v>
      </c>
      <c r="B530" s="39" t="n">
        <v>0.00925</v>
      </c>
      <c r="C530" s="40" t="n">
        <v>1E-005</v>
      </c>
      <c r="D530" s="39" t="n">
        <v>-0.04801</v>
      </c>
      <c r="E530" s="40" t="n">
        <v>2E-005</v>
      </c>
      <c r="F530" s="39" t="n">
        <v>0.04738</v>
      </c>
      <c r="G530" s="40" t="n">
        <v>3E-005</v>
      </c>
      <c r="H530" s="39" t="n">
        <v>0.20284</v>
      </c>
      <c r="I530" s="40" t="n">
        <v>2E-005</v>
      </c>
      <c r="J530" s="39" t="n">
        <v>0.30344</v>
      </c>
      <c r="K530" s="40" t="n">
        <v>7E-005</v>
      </c>
      <c r="L530" s="39" t="n">
        <v>0.01461</v>
      </c>
      <c r="M530" s="40" t="n">
        <v>0.0001</v>
      </c>
      <c r="N530" s="39" t="n">
        <v>0.29872</v>
      </c>
      <c r="O530" s="40" t="n">
        <v>4E-005</v>
      </c>
      <c r="P530" s="39" t="n">
        <v>0.12206</v>
      </c>
      <c r="Q530" s="40" t="n">
        <v>0.0001</v>
      </c>
      <c r="R530" s="39" t="n">
        <v>0.43711</v>
      </c>
      <c r="S530" s="40" t="n">
        <v>0.00013</v>
      </c>
      <c r="T530" s="39" t="n">
        <v>0.10721</v>
      </c>
      <c r="U530" s="40" t="n">
        <v>0.00012</v>
      </c>
      <c r="V530" s="39" t="n">
        <v>0.41235</v>
      </c>
      <c r="W530" s="40" t="n">
        <v>0.0002</v>
      </c>
      <c r="X530" s="39" t="n">
        <v>0.01216</v>
      </c>
      <c r="Y530" s="40" t="n">
        <v>1E-005</v>
      </c>
    </row>
    <row r="531" customFormat="false" ht="15" hidden="false" customHeight="false" outlineLevel="0" collapsed="false">
      <c r="A531" s="38" t="n">
        <v>586</v>
      </c>
      <c r="B531" s="39" t="n">
        <v>0.00918</v>
      </c>
      <c r="C531" s="40" t="n">
        <v>1E-005</v>
      </c>
      <c r="D531" s="39" t="n">
        <v>-0.04887</v>
      </c>
      <c r="E531" s="40" t="n">
        <v>5E-005</v>
      </c>
      <c r="F531" s="39" t="n">
        <v>0.04714</v>
      </c>
      <c r="G531" s="40" t="n">
        <v>2E-005</v>
      </c>
      <c r="H531" s="39" t="n">
        <v>0.20295</v>
      </c>
      <c r="I531" s="40" t="n">
        <v>1E-005</v>
      </c>
      <c r="J531" s="39" t="n">
        <v>0.30257</v>
      </c>
      <c r="K531" s="40" t="n">
        <v>7E-005</v>
      </c>
      <c r="L531" s="39" t="n">
        <v>0.01358</v>
      </c>
      <c r="M531" s="40" t="n">
        <v>9E-005</v>
      </c>
      <c r="N531" s="39" t="n">
        <v>0.29817</v>
      </c>
      <c r="O531" s="40" t="n">
        <v>4E-005</v>
      </c>
      <c r="P531" s="39" t="n">
        <v>0.12085</v>
      </c>
      <c r="Q531" s="40" t="n">
        <v>0.0001</v>
      </c>
      <c r="R531" s="39" t="n">
        <v>0.43538</v>
      </c>
      <c r="S531" s="40" t="n">
        <v>0.00013</v>
      </c>
      <c r="T531" s="39" t="n">
        <v>0.10583</v>
      </c>
      <c r="U531" s="40" t="n">
        <v>0.00012</v>
      </c>
      <c r="V531" s="39" t="n">
        <v>0.41003</v>
      </c>
      <c r="W531" s="40" t="n">
        <v>0.0002</v>
      </c>
      <c r="X531" s="39" t="n">
        <v>0.01194</v>
      </c>
      <c r="Y531" s="40" t="n">
        <v>1E-005</v>
      </c>
    </row>
    <row r="532" customFormat="false" ht="15" hidden="false" customHeight="false" outlineLevel="0" collapsed="false">
      <c r="A532" s="38" t="n">
        <v>587</v>
      </c>
      <c r="B532" s="39" t="n">
        <v>0.0096</v>
      </c>
      <c r="C532" s="40" t="n">
        <v>1E-005</v>
      </c>
      <c r="D532" s="39" t="n">
        <v>-0.0476</v>
      </c>
      <c r="E532" s="40" t="n">
        <v>3E-005</v>
      </c>
      <c r="F532" s="39" t="n">
        <v>0.04669</v>
      </c>
      <c r="G532" s="40" t="n">
        <v>2E-005</v>
      </c>
      <c r="H532" s="39" t="n">
        <v>0.20283</v>
      </c>
      <c r="I532" s="40" t="n">
        <v>2E-005</v>
      </c>
      <c r="J532" s="39" t="n">
        <v>0.30163</v>
      </c>
      <c r="K532" s="40" t="n">
        <v>7E-005</v>
      </c>
      <c r="L532" s="39" t="n">
        <v>0.01217</v>
      </c>
      <c r="M532" s="40" t="n">
        <v>9E-005</v>
      </c>
      <c r="N532" s="39" t="n">
        <v>0.29692</v>
      </c>
      <c r="O532" s="40" t="n">
        <v>4E-005</v>
      </c>
      <c r="P532" s="39" t="n">
        <v>0.11979</v>
      </c>
      <c r="Q532" s="40" t="n">
        <v>0.0001</v>
      </c>
      <c r="R532" s="39" t="n">
        <v>0.43387</v>
      </c>
      <c r="S532" s="40" t="n">
        <v>0.00013</v>
      </c>
      <c r="T532" s="39" t="n">
        <v>0.10446</v>
      </c>
      <c r="U532" s="40" t="n">
        <v>0.00012</v>
      </c>
      <c r="V532" s="39" t="n">
        <v>0.40747</v>
      </c>
      <c r="W532" s="40" t="n">
        <v>0.00019</v>
      </c>
      <c r="X532" s="39" t="n">
        <v>0.01174</v>
      </c>
      <c r="Y532" s="40" t="n">
        <v>1E-005</v>
      </c>
    </row>
    <row r="533" customFormat="false" ht="15" hidden="false" customHeight="false" outlineLevel="0" collapsed="false">
      <c r="A533" s="38" t="n">
        <v>588</v>
      </c>
      <c r="B533" s="39" t="n">
        <v>0.00915</v>
      </c>
      <c r="C533" s="40" t="n">
        <v>2E-005</v>
      </c>
      <c r="D533" s="39" t="n">
        <v>-0.04847</v>
      </c>
      <c r="E533" s="40" t="n">
        <v>0</v>
      </c>
      <c r="F533" s="39" t="n">
        <v>0.0467</v>
      </c>
      <c r="G533" s="40" t="n">
        <v>2E-005</v>
      </c>
      <c r="H533" s="39" t="n">
        <v>0.20279</v>
      </c>
      <c r="I533" s="40" t="n">
        <v>2E-005</v>
      </c>
      <c r="J533" s="39" t="n">
        <v>0.30074</v>
      </c>
      <c r="K533" s="40" t="n">
        <v>7E-005</v>
      </c>
      <c r="L533" s="39" t="n">
        <v>0.01121</v>
      </c>
      <c r="M533" s="40" t="n">
        <v>9E-005</v>
      </c>
      <c r="N533" s="39" t="n">
        <v>0.29673</v>
      </c>
      <c r="O533" s="40" t="n">
        <v>5E-005</v>
      </c>
      <c r="P533" s="39" t="n">
        <v>0.11852</v>
      </c>
      <c r="Q533" s="40" t="n">
        <v>0.0001</v>
      </c>
      <c r="R533" s="39" t="n">
        <v>0.43229</v>
      </c>
      <c r="S533" s="40" t="n">
        <v>0.00013</v>
      </c>
      <c r="T533" s="39" t="n">
        <v>0.1031</v>
      </c>
      <c r="U533" s="40" t="n">
        <v>0.00011</v>
      </c>
      <c r="V533" s="39" t="n">
        <v>0.4052</v>
      </c>
      <c r="W533" s="40" t="n">
        <v>0.00019</v>
      </c>
      <c r="X533" s="39" t="n">
        <v>0.01171</v>
      </c>
      <c r="Y533" s="40" t="n">
        <v>1E-005</v>
      </c>
    </row>
    <row r="534" customFormat="false" ht="15" hidden="false" customHeight="false" outlineLevel="0" collapsed="false">
      <c r="A534" s="38" t="n">
        <v>589</v>
      </c>
      <c r="B534" s="39" t="n">
        <v>0.00894</v>
      </c>
      <c r="C534" s="40" t="n">
        <v>2E-005</v>
      </c>
      <c r="D534" s="39" t="n">
        <v>-0.05059</v>
      </c>
      <c r="E534" s="40" t="n">
        <v>0</v>
      </c>
      <c r="F534" s="39" t="n">
        <v>0.04656</v>
      </c>
      <c r="G534" s="40" t="n">
        <v>1E-005</v>
      </c>
      <c r="H534" s="39" t="n">
        <v>0.20255</v>
      </c>
      <c r="I534" s="40" t="n">
        <v>1E-005</v>
      </c>
      <c r="J534" s="39" t="n">
        <v>0.30007</v>
      </c>
      <c r="K534" s="40" t="n">
        <v>8E-005</v>
      </c>
      <c r="L534" s="39" t="n">
        <v>0.01042</v>
      </c>
      <c r="M534" s="40" t="n">
        <v>9E-005</v>
      </c>
      <c r="N534" s="39" t="n">
        <v>0.29661</v>
      </c>
      <c r="O534" s="40" t="n">
        <v>5E-005</v>
      </c>
      <c r="P534" s="39" t="n">
        <v>0.11733</v>
      </c>
      <c r="Q534" s="40" t="n">
        <v>0.0001</v>
      </c>
      <c r="R534" s="39" t="n">
        <v>0.43059</v>
      </c>
      <c r="S534" s="40" t="n">
        <v>0.00013</v>
      </c>
      <c r="T534" s="39" t="n">
        <v>0.10166</v>
      </c>
      <c r="U534" s="40" t="n">
        <v>0.00011</v>
      </c>
      <c r="V534" s="39" t="n">
        <v>0.40287</v>
      </c>
      <c r="W534" s="40" t="n">
        <v>0.00019</v>
      </c>
      <c r="X534" s="39" t="n">
        <v>0.01164</v>
      </c>
      <c r="Y534" s="40" t="n">
        <v>1E-005</v>
      </c>
    </row>
    <row r="535" customFormat="false" ht="15" hidden="false" customHeight="false" outlineLevel="0" collapsed="false">
      <c r="A535" s="38" t="n">
        <v>590</v>
      </c>
      <c r="B535" s="39" t="n">
        <v>0.00864</v>
      </c>
      <c r="C535" s="40" t="n">
        <v>3E-005</v>
      </c>
      <c r="D535" s="39" t="n">
        <v>-0.04865</v>
      </c>
      <c r="E535" s="40" t="n">
        <v>-2E-005</v>
      </c>
      <c r="F535" s="39" t="n">
        <v>0.04613</v>
      </c>
      <c r="G535" s="40" t="n">
        <v>1E-005</v>
      </c>
      <c r="H535" s="39" t="n">
        <v>0.2023</v>
      </c>
      <c r="I535" s="40" t="n">
        <v>2E-005</v>
      </c>
      <c r="J535" s="39" t="n">
        <v>0.299</v>
      </c>
      <c r="K535" s="40" t="n">
        <v>8E-005</v>
      </c>
      <c r="L535" s="39" t="n">
        <v>0.0094</v>
      </c>
      <c r="M535" s="40" t="n">
        <v>8E-005</v>
      </c>
      <c r="N535" s="39" t="n">
        <v>0.29554</v>
      </c>
      <c r="O535" s="40" t="n">
        <v>4E-005</v>
      </c>
      <c r="P535" s="39" t="n">
        <v>0.11619</v>
      </c>
      <c r="Q535" s="40" t="n">
        <v>0.0001</v>
      </c>
      <c r="R535" s="39" t="n">
        <v>0.42907</v>
      </c>
      <c r="S535" s="40" t="n">
        <v>0.00014</v>
      </c>
      <c r="T535" s="39" t="n">
        <v>0.10019</v>
      </c>
      <c r="U535" s="40" t="n">
        <v>0.00011</v>
      </c>
      <c r="V535" s="39" t="n">
        <v>0.40068</v>
      </c>
      <c r="W535" s="40" t="n">
        <v>0.00019</v>
      </c>
      <c r="X535" s="39" t="n">
        <v>0.01141</v>
      </c>
      <c r="Y535" s="40" t="n">
        <v>1E-005</v>
      </c>
    </row>
    <row r="536" customFormat="false" ht="15" hidden="false" customHeight="false" outlineLevel="0" collapsed="false">
      <c r="A536" s="38" t="n">
        <v>591</v>
      </c>
      <c r="B536" s="39" t="n">
        <v>0.0079</v>
      </c>
      <c r="C536" s="40" t="n">
        <v>3E-005</v>
      </c>
      <c r="D536" s="39" t="n">
        <v>-0.04716</v>
      </c>
      <c r="E536" s="40" t="n">
        <v>1E-005</v>
      </c>
      <c r="F536" s="39" t="n">
        <v>0.04578</v>
      </c>
      <c r="G536" s="40" t="n">
        <v>1E-005</v>
      </c>
      <c r="H536" s="39" t="n">
        <v>0.20181</v>
      </c>
      <c r="I536" s="40" t="n">
        <v>2E-005</v>
      </c>
      <c r="J536" s="39" t="n">
        <v>0.29782</v>
      </c>
      <c r="K536" s="40" t="n">
        <v>8E-005</v>
      </c>
      <c r="L536" s="39" t="n">
        <v>0.00814</v>
      </c>
      <c r="M536" s="40" t="n">
        <v>7E-005</v>
      </c>
      <c r="N536" s="39" t="n">
        <v>0.29506</v>
      </c>
      <c r="O536" s="40" t="n">
        <v>4E-005</v>
      </c>
      <c r="P536" s="39" t="n">
        <v>0.11484</v>
      </c>
      <c r="Q536" s="40" t="n">
        <v>0.0001</v>
      </c>
      <c r="R536" s="39" t="n">
        <v>0.42748</v>
      </c>
      <c r="S536" s="40" t="n">
        <v>0.00014</v>
      </c>
      <c r="T536" s="39" t="n">
        <v>0.09904</v>
      </c>
      <c r="U536" s="40" t="n">
        <v>0.00011</v>
      </c>
      <c r="V536" s="39" t="n">
        <v>0.39841</v>
      </c>
      <c r="W536" s="40" t="n">
        <v>0.00019</v>
      </c>
      <c r="X536" s="39" t="n">
        <v>0.01123</v>
      </c>
      <c r="Y536" s="40" t="n">
        <v>1E-005</v>
      </c>
    </row>
    <row r="537" customFormat="false" ht="15" hidden="false" customHeight="false" outlineLevel="0" collapsed="false">
      <c r="A537" s="38" t="n">
        <v>592</v>
      </c>
      <c r="B537" s="39" t="n">
        <v>0.00771</v>
      </c>
      <c r="C537" s="40" t="n">
        <v>1E-005</v>
      </c>
      <c r="D537" s="39" t="n">
        <v>-0.04799</v>
      </c>
      <c r="E537" s="40" t="n">
        <v>0</v>
      </c>
      <c r="F537" s="39" t="n">
        <v>0.04567</v>
      </c>
      <c r="G537" s="40" t="n">
        <v>3E-005</v>
      </c>
      <c r="H537" s="39" t="n">
        <v>0.20166</v>
      </c>
      <c r="I537" s="40" t="n">
        <v>2E-005</v>
      </c>
      <c r="J537" s="39" t="n">
        <v>0.29703</v>
      </c>
      <c r="K537" s="40" t="n">
        <v>8E-005</v>
      </c>
      <c r="L537" s="39" t="n">
        <v>0.00741</v>
      </c>
      <c r="M537" s="40" t="n">
        <v>8E-005</v>
      </c>
      <c r="N537" s="39" t="n">
        <v>0.29488</v>
      </c>
      <c r="O537" s="40" t="n">
        <v>5E-005</v>
      </c>
      <c r="P537" s="39" t="n">
        <v>0.1138</v>
      </c>
      <c r="Q537" s="40" t="n">
        <v>9E-005</v>
      </c>
      <c r="R537" s="39" t="n">
        <v>0.42576</v>
      </c>
      <c r="S537" s="40" t="n">
        <v>0.00014</v>
      </c>
      <c r="T537" s="39" t="n">
        <v>0.09779</v>
      </c>
      <c r="U537" s="40" t="n">
        <v>0.00011</v>
      </c>
      <c r="V537" s="39" t="n">
        <v>0.39596</v>
      </c>
      <c r="W537" s="40" t="n">
        <v>0.0002</v>
      </c>
      <c r="X537" s="39" t="n">
        <v>0.01117</v>
      </c>
      <c r="Y537" s="40" t="n">
        <v>1E-005</v>
      </c>
    </row>
    <row r="538" customFormat="false" ht="15" hidden="false" customHeight="false" outlineLevel="0" collapsed="false">
      <c r="A538" s="38" t="n">
        <v>593</v>
      </c>
      <c r="B538" s="39" t="n">
        <v>0.00781</v>
      </c>
      <c r="C538" s="40" t="n">
        <v>1E-005</v>
      </c>
      <c r="D538" s="39" t="n">
        <v>-0.04936</v>
      </c>
      <c r="E538" s="40" t="n">
        <v>-3E-005</v>
      </c>
      <c r="F538" s="39" t="n">
        <v>0.04582</v>
      </c>
      <c r="G538" s="40" t="n">
        <v>4E-005</v>
      </c>
      <c r="H538" s="39" t="n">
        <v>0.20191</v>
      </c>
      <c r="I538" s="40" t="n">
        <v>1E-005</v>
      </c>
      <c r="J538" s="39" t="n">
        <v>0.29591</v>
      </c>
      <c r="K538" s="40" t="n">
        <v>9E-005</v>
      </c>
      <c r="L538" s="39" t="n">
        <v>0.00638</v>
      </c>
      <c r="M538" s="40" t="n">
        <v>8E-005</v>
      </c>
      <c r="N538" s="39" t="n">
        <v>0.2945</v>
      </c>
      <c r="O538" s="40" t="n">
        <v>5E-005</v>
      </c>
      <c r="P538" s="39" t="n">
        <v>0.11282</v>
      </c>
      <c r="Q538" s="40" t="n">
        <v>9E-005</v>
      </c>
      <c r="R538" s="39" t="n">
        <v>0.42404</v>
      </c>
      <c r="S538" s="40" t="n">
        <v>0.00014</v>
      </c>
      <c r="T538" s="39" t="n">
        <v>0.09632</v>
      </c>
      <c r="U538" s="40" t="n">
        <v>0.00011</v>
      </c>
      <c r="V538" s="39" t="n">
        <v>0.39372</v>
      </c>
      <c r="W538" s="40" t="n">
        <v>0.0002</v>
      </c>
      <c r="X538" s="39" t="n">
        <v>0.01121</v>
      </c>
      <c r="Y538" s="40" t="n">
        <v>1E-005</v>
      </c>
    </row>
    <row r="539" customFormat="false" ht="15" hidden="false" customHeight="false" outlineLevel="0" collapsed="false">
      <c r="A539" s="38" t="n">
        <v>594</v>
      </c>
      <c r="B539" s="39" t="n">
        <v>0.00789</v>
      </c>
      <c r="C539" s="40" t="n">
        <v>0</v>
      </c>
      <c r="D539" s="39" t="n">
        <v>-0.04794</v>
      </c>
      <c r="E539" s="40" t="n">
        <v>2E-005</v>
      </c>
      <c r="F539" s="39" t="n">
        <v>0.04553</v>
      </c>
      <c r="G539" s="40" t="n">
        <v>3E-005</v>
      </c>
      <c r="H539" s="39" t="n">
        <v>0.20155</v>
      </c>
      <c r="I539" s="40" t="n">
        <v>1E-005</v>
      </c>
      <c r="J539" s="39" t="n">
        <v>0.29514</v>
      </c>
      <c r="K539" s="40" t="n">
        <v>8E-005</v>
      </c>
      <c r="L539" s="39" t="n">
        <v>0.0059</v>
      </c>
      <c r="M539" s="40" t="n">
        <v>7E-005</v>
      </c>
      <c r="N539" s="39" t="n">
        <v>0.29353</v>
      </c>
      <c r="O539" s="40" t="n">
        <v>4E-005</v>
      </c>
      <c r="P539" s="39" t="n">
        <v>0.11172</v>
      </c>
      <c r="Q539" s="40" t="n">
        <v>9E-005</v>
      </c>
      <c r="R539" s="39" t="n">
        <v>0.4223</v>
      </c>
      <c r="S539" s="40" t="n">
        <v>0.00014</v>
      </c>
      <c r="T539" s="39" t="n">
        <v>0.09514</v>
      </c>
      <c r="U539" s="40" t="n">
        <v>0.00011</v>
      </c>
      <c r="V539" s="39" t="n">
        <v>0.39132</v>
      </c>
      <c r="W539" s="40" t="n">
        <v>0.0002</v>
      </c>
      <c r="X539" s="39" t="n">
        <v>0.01091</v>
      </c>
      <c r="Y539" s="40" t="n">
        <v>1E-005</v>
      </c>
    </row>
    <row r="540" customFormat="false" ht="15" hidden="false" customHeight="false" outlineLevel="0" collapsed="false">
      <c r="A540" s="38" t="n">
        <v>595</v>
      </c>
      <c r="B540" s="39" t="n">
        <v>0.0079</v>
      </c>
      <c r="C540" s="40" t="n">
        <v>0</v>
      </c>
      <c r="D540" s="39" t="n">
        <v>-0.04946</v>
      </c>
      <c r="E540" s="40" t="n">
        <v>3E-005</v>
      </c>
      <c r="F540" s="39" t="n">
        <v>0.04469</v>
      </c>
      <c r="G540" s="40" t="n">
        <v>4E-005</v>
      </c>
      <c r="H540" s="39" t="n">
        <v>0.20142</v>
      </c>
      <c r="I540" s="40" t="n">
        <v>1E-005</v>
      </c>
      <c r="J540" s="39" t="n">
        <v>0.29425</v>
      </c>
      <c r="K540" s="40" t="n">
        <v>7E-005</v>
      </c>
      <c r="L540" s="39" t="n">
        <v>0.00507</v>
      </c>
      <c r="M540" s="40" t="n">
        <v>6E-005</v>
      </c>
      <c r="N540" s="39" t="n">
        <v>0.29305</v>
      </c>
      <c r="O540" s="40" t="n">
        <v>5E-005</v>
      </c>
      <c r="P540" s="39" t="n">
        <v>0.11062</v>
      </c>
      <c r="Q540" s="40" t="n">
        <v>9E-005</v>
      </c>
      <c r="R540" s="39" t="n">
        <v>0.4206</v>
      </c>
      <c r="S540" s="40" t="n">
        <v>0.00014</v>
      </c>
      <c r="T540" s="39" t="n">
        <v>0.09383</v>
      </c>
      <c r="U540" s="40" t="n">
        <v>0.00011</v>
      </c>
      <c r="V540" s="39" t="n">
        <v>0.38873</v>
      </c>
      <c r="W540" s="40" t="n">
        <v>0.0002</v>
      </c>
      <c r="X540" s="39" t="n">
        <v>0.01089</v>
      </c>
      <c r="Y540" s="40" t="n">
        <v>1E-005</v>
      </c>
    </row>
    <row r="541" customFormat="false" ht="15" hidden="false" customHeight="false" outlineLevel="0" collapsed="false">
      <c r="A541" s="38" t="n">
        <v>596</v>
      </c>
      <c r="B541" s="39" t="n">
        <v>0.00813</v>
      </c>
      <c r="C541" s="40" t="n">
        <v>0</v>
      </c>
      <c r="D541" s="39" t="n">
        <v>-0.04834</v>
      </c>
      <c r="E541" s="40" t="n">
        <v>-4E-005</v>
      </c>
      <c r="F541" s="39" t="n">
        <v>0.04374</v>
      </c>
      <c r="G541" s="40" t="n">
        <v>4E-005</v>
      </c>
      <c r="H541" s="39" t="n">
        <v>0.20115</v>
      </c>
      <c r="I541" s="40" t="n">
        <v>2E-005</v>
      </c>
      <c r="J541" s="39" t="n">
        <v>0.29285</v>
      </c>
      <c r="K541" s="40" t="n">
        <v>8E-005</v>
      </c>
      <c r="L541" s="39" t="n">
        <v>0.00386</v>
      </c>
      <c r="M541" s="40" t="n">
        <v>7E-005</v>
      </c>
      <c r="N541" s="39" t="n">
        <v>0.29227</v>
      </c>
      <c r="O541" s="40" t="n">
        <v>5E-005</v>
      </c>
      <c r="P541" s="39" t="n">
        <v>0.10946</v>
      </c>
      <c r="Q541" s="40" t="n">
        <v>9E-005</v>
      </c>
      <c r="R541" s="39" t="n">
        <v>0.41905</v>
      </c>
      <c r="S541" s="40" t="n">
        <v>0.00014</v>
      </c>
      <c r="T541" s="39" t="n">
        <v>0.09257</v>
      </c>
      <c r="U541" s="40" t="n">
        <v>0.0001</v>
      </c>
      <c r="V541" s="39" t="n">
        <v>0.38627</v>
      </c>
      <c r="W541" s="40" t="n">
        <v>0.0002</v>
      </c>
      <c r="X541" s="39" t="n">
        <v>0.01084</v>
      </c>
      <c r="Y541" s="40" t="n">
        <v>1E-005</v>
      </c>
    </row>
    <row r="542" customFormat="false" ht="15" hidden="false" customHeight="false" outlineLevel="0" collapsed="false">
      <c r="A542" s="38" t="n">
        <v>597</v>
      </c>
      <c r="B542" s="39" t="n">
        <v>0.00779</v>
      </c>
      <c r="C542" s="40" t="n">
        <v>0</v>
      </c>
      <c r="D542" s="39" t="n">
        <v>-0.04716</v>
      </c>
      <c r="E542" s="40" t="n">
        <v>-7E-005</v>
      </c>
      <c r="F542" s="39" t="n">
        <v>0.04321</v>
      </c>
      <c r="G542" s="40" t="n">
        <v>4E-005</v>
      </c>
      <c r="H542" s="39" t="n">
        <v>0.20086</v>
      </c>
      <c r="I542" s="40" t="n">
        <v>3E-005</v>
      </c>
      <c r="J542" s="39" t="n">
        <v>0.29218</v>
      </c>
      <c r="K542" s="40" t="n">
        <v>8E-005</v>
      </c>
      <c r="L542" s="39" t="n">
        <v>0.00323</v>
      </c>
      <c r="M542" s="40" t="n">
        <v>7E-005</v>
      </c>
      <c r="N542" s="39" t="n">
        <v>0.2919</v>
      </c>
      <c r="O542" s="40" t="n">
        <v>6E-005</v>
      </c>
      <c r="P542" s="39" t="n">
        <v>0.10843</v>
      </c>
      <c r="Q542" s="40" t="n">
        <v>9E-005</v>
      </c>
      <c r="R542" s="39" t="n">
        <v>0.41745</v>
      </c>
      <c r="S542" s="40" t="n">
        <v>0.00014</v>
      </c>
      <c r="T542" s="39" t="n">
        <v>0.09122</v>
      </c>
      <c r="U542" s="40" t="n">
        <v>0.0001</v>
      </c>
      <c r="V542" s="39" t="n">
        <v>0.3839</v>
      </c>
      <c r="W542" s="40" t="n">
        <v>0.0002</v>
      </c>
      <c r="X542" s="39" t="n">
        <v>0.01077</v>
      </c>
      <c r="Y542" s="40" t="n">
        <v>1E-005</v>
      </c>
    </row>
    <row r="543" customFormat="false" ht="15" hidden="false" customHeight="false" outlineLevel="0" collapsed="false">
      <c r="A543" s="38" t="n">
        <v>598</v>
      </c>
      <c r="B543" s="39" t="n">
        <v>0.00767</v>
      </c>
      <c r="C543" s="40" t="n">
        <v>0</v>
      </c>
      <c r="D543" s="39" t="n">
        <v>-0.04869</v>
      </c>
      <c r="E543" s="40" t="n">
        <v>-5E-005</v>
      </c>
      <c r="F543" s="39" t="n">
        <v>0.04342</v>
      </c>
      <c r="G543" s="40" t="n">
        <v>4E-005</v>
      </c>
      <c r="H543" s="39" t="n">
        <v>0.20061</v>
      </c>
      <c r="I543" s="40" t="n">
        <v>2E-005</v>
      </c>
      <c r="J543" s="39" t="n">
        <v>0.29146</v>
      </c>
      <c r="K543" s="40" t="n">
        <v>8E-005</v>
      </c>
      <c r="L543" s="39" t="n">
        <v>0.00278</v>
      </c>
      <c r="M543" s="40" t="n">
        <v>6E-005</v>
      </c>
      <c r="N543" s="39" t="n">
        <v>0.29133</v>
      </c>
      <c r="O543" s="40" t="n">
        <v>5E-005</v>
      </c>
      <c r="P543" s="39" t="n">
        <v>0.10728</v>
      </c>
      <c r="Q543" s="40" t="n">
        <v>9E-005</v>
      </c>
      <c r="R543" s="39" t="n">
        <v>0.41545</v>
      </c>
      <c r="S543" s="40" t="n">
        <v>0.00014</v>
      </c>
      <c r="T543" s="39" t="n">
        <v>0.09024</v>
      </c>
      <c r="U543" s="40" t="n">
        <v>0.0001</v>
      </c>
      <c r="V543" s="39" t="n">
        <v>0.38147</v>
      </c>
      <c r="W543" s="40" t="n">
        <v>0.0002</v>
      </c>
      <c r="X543" s="39" t="n">
        <v>0.01063</v>
      </c>
      <c r="Y543" s="40" t="n">
        <v>1E-005</v>
      </c>
    </row>
    <row r="544" customFormat="false" ht="15" hidden="false" customHeight="false" outlineLevel="0" collapsed="false">
      <c r="A544" s="38" t="n">
        <v>599</v>
      </c>
      <c r="B544" s="39" t="n">
        <v>0.00758</v>
      </c>
      <c r="C544" s="40" t="n">
        <v>0</v>
      </c>
      <c r="D544" s="39" t="n">
        <v>-0.04798</v>
      </c>
      <c r="E544" s="40" t="n">
        <v>-4E-005</v>
      </c>
      <c r="F544" s="39" t="n">
        <v>0.04294</v>
      </c>
      <c r="G544" s="40" t="n">
        <v>3E-005</v>
      </c>
      <c r="H544" s="39" t="n">
        <v>0.20051</v>
      </c>
      <c r="I544" s="40" t="n">
        <v>2E-005</v>
      </c>
      <c r="J544" s="39" t="n">
        <v>0.29059</v>
      </c>
      <c r="K544" s="40" t="n">
        <v>8E-005</v>
      </c>
      <c r="L544" s="39" t="n">
        <v>0.00191</v>
      </c>
      <c r="M544" s="40" t="n">
        <v>6E-005</v>
      </c>
      <c r="N544" s="39" t="n">
        <v>0.29059</v>
      </c>
      <c r="O544" s="40" t="n">
        <v>5E-005</v>
      </c>
      <c r="P544" s="39" t="n">
        <v>0.10606</v>
      </c>
      <c r="Q544" s="40" t="n">
        <v>9E-005</v>
      </c>
      <c r="R544" s="39" t="n">
        <v>0.41388</v>
      </c>
      <c r="S544" s="40" t="n">
        <v>0.00014</v>
      </c>
      <c r="T544" s="39" t="n">
        <v>0.08903</v>
      </c>
      <c r="U544" s="40" t="n">
        <v>0.0001</v>
      </c>
      <c r="V544" s="39" t="n">
        <v>0.37902</v>
      </c>
      <c r="W544" s="40" t="n">
        <v>0.0002</v>
      </c>
      <c r="X544" s="39" t="n">
        <v>0.01043</v>
      </c>
      <c r="Y544" s="40" t="n">
        <v>1E-005</v>
      </c>
    </row>
    <row r="545" customFormat="false" ht="15" hidden="false" customHeight="false" outlineLevel="0" collapsed="false">
      <c r="A545" s="38" t="n">
        <v>600</v>
      </c>
      <c r="B545" s="39" t="n">
        <v>0.0075</v>
      </c>
      <c r="C545" s="40" t="n">
        <v>0</v>
      </c>
      <c r="D545" s="39" t="n">
        <v>-0.04435</v>
      </c>
      <c r="E545" s="40" t="n">
        <v>1E-005</v>
      </c>
      <c r="F545" s="39" t="n">
        <v>0.04237</v>
      </c>
      <c r="G545" s="40" t="n">
        <v>3E-005</v>
      </c>
      <c r="H545" s="39" t="n">
        <v>0.19998</v>
      </c>
      <c r="I545" s="40" t="n">
        <v>1E-005</v>
      </c>
      <c r="J545" s="39" t="n">
        <v>0.28937</v>
      </c>
      <c r="K545" s="40" t="n">
        <v>8E-005</v>
      </c>
      <c r="L545" s="39" t="n">
        <v>0.00102</v>
      </c>
      <c r="M545" s="40" t="n">
        <v>5E-005</v>
      </c>
      <c r="N545" s="39" t="n">
        <v>0.28994</v>
      </c>
      <c r="O545" s="40" t="n">
        <v>5E-005</v>
      </c>
      <c r="P545" s="39" t="n">
        <v>0.10521</v>
      </c>
      <c r="Q545" s="40" t="n">
        <v>9E-005</v>
      </c>
      <c r="R545" s="39" t="n">
        <v>0.412</v>
      </c>
      <c r="S545" s="40" t="n">
        <v>0.00014</v>
      </c>
      <c r="T545" s="39" t="n">
        <v>0.08792</v>
      </c>
      <c r="U545" s="40" t="n">
        <v>0.0001</v>
      </c>
      <c r="V545" s="39" t="n">
        <v>0.37664</v>
      </c>
      <c r="W545" s="40" t="n">
        <v>0.0002</v>
      </c>
      <c r="X545" s="39" t="n">
        <v>0.01011</v>
      </c>
      <c r="Y545" s="40" t="n">
        <v>1E-005</v>
      </c>
    </row>
    <row r="546" customFormat="false" ht="15" hidden="false" customHeight="false" outlineLevel="0" collapsed="false">
      <c r="A546" s="38" t="n">
        <v>601</v>
      </c>
      <c r="B546" s="39" t="n">
        <v>0.00793</v>
      </c>
      <c r="C546" s="40" t="n">
        <v>0</v>
      </c>
      <c r="D546" s="39" t="n">
        <v>-0.0452</v>
      </c>
      <c r="E546" s="40" t="n">
        <v>3E-005</v>
      </c>
      <c r="F546" s="39" t="n">
        <v>0.04203</v>
      </c>
      <c r="G546" s="40" t="n">
        <v>2E-005</v>
      </c>
      <c r="H546" s="39" t="n">
        <v>0.19979</v>
      </c>
      <c r="I546" s="40" t="n">
        <v>1E-005</v>
      </c>
      <c r="J546" s="39" t="n">
        <v>0.28836</v>
      </c>
      <c r="K546" s="40" t="n">
        <v>9E-005</v>
      </c>
      <c r="L546" s="39" t="n">
        <v>0.00046</v>
      </c>
      <c r="M546" s="40" t="n">
        <v>5E-005</v>
      </c>
      <c r="N546" s="39" t="n">
        <v>0.28915</v>
      </c>
      <c r="O546" s="40" t="n">
        <v>5E-005</v>
      </c>
      <c r="P546" s="39" t="n">
        <v>0.10417</v>
      </c>
      <c r="Q546" s="40" t="n">
        <v>8E-005</v>
      </c>
      <c r="R546" s="39" t="n">
        <v>0.41036</v>
      </c>
      <c r="S546" s="40" t="n">
        <v>0.00014</v>
      </c>
      <c r="T546" s="39" t="n">
        <v>0.08664</v>
      </c>
      <c r="U546" s="40" t="n">
        <v>0.0001</v>
      </c>
      <c r="V546" s="39" t="n">
        <v>0.37417</v>
      </c>
      <c r="W546" s="40" t="n">
        <v>0.0002</v>
      </c>
      <c r="X546" s="39" t="n">
        <v>0.01024</v>
      </c>
      <c r="Y546" s="40" t="n">
        <v>1E-005</v>
      </c>
    </row>
    <row r="547" customFormat="false" ht="15" hidden="false" customHeight="false" outlineLevel="0" collapsed="false">
      <c r="A547" s="38" t="n">
        <v>602</v>
      </c>
      <c r="B547" s="39" t="n">
        <v>0.0083</v>
      </c>
      <c r="C547" s="40" t="n">
        <v>0</v>
      </c>
      <c r="D547" s="39" t="n">
        <v>-0.04708</v>
      </c>
      <c r="E547" s="40" t="n">
        <v>1E-005</v>
      </c>
      <c r="F547" s="39" t="n">
        <v>0.04138</v>
      </c>
      <c r="G547" s="40" t="n">
        <v>3E-005</v>
      </c>
      <c r="H547" s="39" t="n">
        <v>0.20004</v>
      </c>
      <c r="I547" s="40" t="n">
        <v>1E-005</v>
      </c>
      <c r="J547" s="39" t="n">
        <v>0.28719</v>
      </c>
      <c r="K547" s="40" t="n">
        <v>0.0001</v>
      </c>
      <c r="L547" s="39" t="n">
        <v>0.00016</v>
      </c>
      <c r="M547" s="40" t="n">
        <v>4E-005</v>
      </c>
      <c r="N547" s="39" t="n">
        <v>0.28868</v>
      </c>
      <c r="O547" s="40" t="n">
        <v>5E-005</v>
      </c>
      <c r="P547" s="39" t="n">
        <v>0.10321</v>
      </c>
      <c r="Q547" s="40" t="n">
        <v>8E-005</v>
      </c>
      <c r="R547" s="39" t="n">
        <v>0.40892</v>
      </c>
      <c r="S547" s="40" t="n">
        <v>0.00014</v>
      </c>
      <c r="T547" s="39" t="n">
        <v>0.08543</v>
      </c>
      <c r="U547" s="40" t="n">
        <v>0.0001</v>
      </c>
      <c r="V547" s="39" t="n">
        <v>0.37174</v>
      </c>
      <c r="W547" s="40" t="n">
        <v>0.0002</v>
      </c>
      <c r="X547" s="39" t="n">
        <v>0.01023</v>
      </c>
      <c r="Y547" s="40" t="n">
        <v>1E-005</v>
      </c>
    </row>
    <row r="548" customFormat="false" ht="15" hidden="false" customHeight="false" outlineLevel="0" collapsed="false">
      <c r="A548" s="38" t="n">
        <v>603</v>
      </c>
      <c r="B548" s="39" t="n">
        <v>0.00779</v>
      </c>
      <c r="C548" s="40" t="n">
        <v>1E-005</v>
      </c>
      <c r="D548" s="39" t="n">
        <v>-0.04789</v>
      </c>
      <c r="E548" s="40" t="n">
        <v>2E-005</v>
      </c>
      <c r="F548" s="39" t="n">
        <v>0.04136</v>
      </c>
      <c r="G548" s="40" t="n">
        <v>4E-005</v>
      </c>
      <c r="H548" s="39" t="n">
        <v>0.19989</v>
      </c>
      <c r="I548" s="40" t="n">
        <v>1E-005</v>
      </c>
      <c r="J548" s="39" t="n">
        <v>0.28624</v>
      </c>
      <c r="K548" s="40" t="n">
        <v>0.0001</v>
      </c>
      <c r="L548" s="39" t="n">
        <v>-0.00039</v>
      </c>
      <c r="M548" s="40" t="n">
        <v>4E-005</v>
      </c>
      <c r="N548" s="39" t="n">
        <v>0.28837</v>
      </c>
      <c r="O548" s="40" t="n">
        <v>5E-005</v>
      </c>
      <c r="P548" s="39" t="n">
        <v>0.10224</v>
      </c>
      <c r="Q548" s="40" t="n">
        <v>8E-005</v>
      </c>
      <c r="R548" s="39" t="n">
        <v>0.40713</v>
      </c>
      <c r="S548" s="40" t="n">
        <v>0.00014</v>
      </c>
      <c r="T548" s="39" t="n">
        <v>0.08412</v>
      </c>
      <c r="U548" s="40" t="n">
        <v>0.0001</v>
      </c>
      <c r="V548" s="39" t="n">
        <v>0.36935</v>
      </c>
      <c r="W548" s="40" t="n">
        <v>0.0002</v>
      </c>
      <c r="X548" s="39" t="n">
        <v>0.00995</v>
      </c>
      <c r="Y548" s="40" t="n">
        <v>1E-005</v>
      </c>
    </row>
    <row r="549" customFormat="false" ht="15" hidden="false" customHeight="false" outlineLevel="0" collapsed="false">
      <c r="A549" s="38" t="n">
        <v>604</v>
      </c>
      <c r="B549" s="39" t="n">
        <v>0.00781</v>
      </c>
      <c r="C549" s="40" t="n">
        <v>1E-005</v>
      </c>
      <c r="D549" s="39" t="n">
        <v>-0.0492</v>
      </c>
      <c r="E549" s="40" t="n">
        <v>5E-005</v>
      </c>
      <c r="F549" s="39" t="n">
        <v>0.04102</v>
      </c>
      <c r="G549" s="40" t="n">
        <v>4E-005</v>
      </c>
      <c r="H549" s="39" t="n">
        <v>0.19966</v>
      </c>
      <c r="I549" s="40" t="n">
        <v>2E-005</v>
      </c>
      <c r="J549" s="39" t="n">
        <v>0.28493</v>
      </c>
      <c r="K549" s="40" t="n">
        <v>9E-005</v>
      </c>
      <c r="L549" s="39" t="n">
        <v>-0.00081</v>
      </c>
      <c r="M549" s="40" t="n">
        <v>3E-005</v>
      </c>
      <c r="N549" s="39" t="n">
        <v>0.28758</v>
      </c>
      <c r="O549" s="40" t="n">
        <v>5E-005</v>
      </c>
      <c r="P549" s="39" t="n">
        <v>0.10117</v>
      </c>
      <c r="Q549" s="40" t="n">
        <v>8E-005</v>
      </c>
      <c r="R549" s="39" t="n">
        <v>0.40538</v>
      </c>
      <c r="S549" s="40" t="n">
        <v>0.00014</v>
      </c>
      <c r="T549" s="39" t="n">
        <v>0.08281</v>
      </c>
      <c r="U549" s="40" t="n">
        <v>0.0001</v>
      </c>
      <c r="V549" s="39" t="n">
        <v>0.3668</v>
      </c>
      <c r="W549" s="40" t="n">
        <v>0.0002</v>
      </c>
      <c r="X549" s="39" t="n">
        <v>0.00968</v>
      </c>
      <c r="Y549" s="40" t="n">
        <v>1E-005</v>
      </c>
    </row>
    <row r="550" customFormat="false" ht="15" hidden="false" customHeight="false" outlineLevel="0" collapsed="false">
      <c r="A550" s="38" t="n">
        <v>605</v>
      </c>
      <c r="B550" s="39" t="n">
        <v>0.00753</v>
      </c>
      <c r="C550" s="40" t="n">
        <v>2E-005</v>
      </c>
      <c r="D550" s="39" t="n">
        <v>-0.04786</v>
      </c>
      <c r="E550" s="40" t="n">
        <v>0</v>
      </c>
      <c r="F550" s="39" t="n">
        <v>0.04101</v>
      </c>
      <c r="G550" s="40" t="n">
        <v>4E-005</v>
      </c>
      <c r="H550" s="39" t="n">
        <v>0.19965</v>
      </c>
      <c r="I550" s="40" t="n">
        <v>2E-005</v>
      </c>
      <c r="J550" s="39" t="n">
        <v>0.28357</v>
      </c>
      <c r="K550" s="40" t="n">
        <v>9E-005</v>
      </c>
      <c r="L550" s="39" t="n">
        <v>-0.00112</v>
      </c>
      <c r="M550" s="40" t="n">
        <v>3E-005</v>
      </c>
      <c r="N550" s="39" t="n">
        <v>0.28693</v>
      </c>
      <c r="O550" s="40" t="n">
        <v>5E-005</v>
      </c>
      <c r="P550" s="39" t="n">
        <v>0.10036</v>
      </c>
      <c r="Q550" s="40" t="n">
        <v>8E-005</v>
      </c>
      <c r="R550" s="39" t="n">
        <v>0.40379</v>
      </c>
      <c r="S550" s="40" t="n">
        <v>0.00014</v>
      </c>
      <c r="T550" s="39" t="n">
        <v>0.08179</v>
      </c>
      <c r="U550" s="40" t="n">
        <v>0.0001</v>
      </c>
      <c r="V550" s="39" t="n">
        <v>0.36446</v>
      </c>
      <c r="W550" s="40" t="n">
        <v>0.0002</v>
      </c>
      <c r="X550" s="39" t="n">
        <v>0.00965</v>
      </c>
      <c r="Y550" s="40" t="n">
        <v>1E-005</v>
      </c>
    </row>
    <row r="551" customFormat="false" ht="15" hidden="false" customHeight="false" outlineLevel="0" collapsed="false">
      <c r="A551" s="38" t="n">
        <v>606</v>
      </c>
      <c r="B551" s="39" t="n">
        <v>0.00721</v>
      </c>
      <c r="C551" s="40" t="n">
        <v>2E-005</v>
      </c>
      <c r="D551" s="39" t="n">
        <v>-0.04679</v>
      </c>
      <c r="E551" s="40" t="n">
        <v>-1E-005</v>
      </c>
      <c r="F551" s="39" t="n">
        <v>0.03999</v>
      </c>
      <c r="G551" s="40" t="n">
        <v>3E-005</v>
      </c>
      <c r="H551" s="39" t="n">
        <v>0.19918</v>
      </c>
      <c r="I551" s="40" t="n">
        <v>3E-005</v>
      </c>
      <c r="J551" s="39" t="n">
        <v>0.28268</v>
      </c>
      <c r="K551" s="40" t="n">
        <v>9E-005</v>
      </c>
      <c r="L551" s="39" t="n">
        <v>-0.00132</v>
      </c>
      <c r="M551" s="40" t="n">
        <v>2E-005</v>
      </c>
      <c r="N551" s="39" t="n">
        <v>0.28653</v>
      </c>
      <c r="O551" s="40" t="n">
        <v>5E-005</v>
      </c>
      <c r="P551" s="39" t="n">
        <v>0.09937</v>
      </c>
      <c r="Q551" s="40" t="n">
        <v>8E-005</v>
      </c>
      <c r="R551" s="39" t="n">
        <v>0.40193</v>
      </c>
      <c r="S551" s="40" t="n">
        <v>0.00015</v>
      </c>
      <c r="T551" s="39" t="n">
        <v>0.08062</v>
      </c>
      <c r="U551" s="40" t="n">
        <v>0.0001</v>
      </c>
      <c r="V551" s="39" t="n">
        <v>0.36207</v>
      </c>
      <c r="W551" s="40" t="n">
        <v>0.0002</v>
      </c>
      <c r="X551" s="39" t="n">
        <v>0.00939</v>
      </c>
      <c r="Y551" s="40" t="n">
        <v>1E-005</v>
      </c>
    </row>
    <row r="552" customFormat="false" ht="15" hidden="false" customHeight="false" outlineLevel="0" collapsed="false">
      <c r="A552" s="38" t="n">
        <v>607</v>
      </c>
      <c r="B552" s="39" t="n">
        <v>0.00708</v>
      </c>
      <c r="C552" s="40" t="n">
        <v>1E-005</v>
      </c>
      <c r="D552" s="39" t="n">
        <v>-0.04691</v>
      </c>
      <c r="E552" s="40" t="n">
        <v>1E-005</v>
      </c>
      <c r="F552" s="39" t="n">
        <v>0.03927</v>
      </c>
      <c r="G552" s="40" t="n">
        <v>3E-005</v>
      </c>
      <c r="H552" s="39" t="n">
        <v>0.1986</v>
      </c>
      <c r="I552" s="40" t="n">
        <v>3E-005</v>
      </c>
      <c r="J552" s="39" t="n">
        <v>0.28183</v>
      </c>
      <c r="K552" s="40" t="n">
        <v>9E-005</v>
      </c>
      <c r="L552" s="39" t="n">
        <v>-0.00179</v>
      </c>
      <c r="M552" s="40" t="n">
        <v>2E-005</v>
      </c>
      <c r="N552" s="39" t="n">
        <v>0.2857</v>
      </c>
      <c r="O552" s="40" t="n">
        <v>6E-005</v>
      </c>
      <c r="P552" s="39" t="n">
        <v>0.09846</v>
      </c>
      <c r="Q552" s="40" t="n">
        <v>8E-005</v>
      </c>
      <c r="R552" s="39" t="n">
        <v>0.40024</v>
      </c>
      <c r="S552" s="40" t="n">
        <v>0.00014</v>
      </c>
      <c r="T552" s="39" t="n">
        <v>0.07952</v>
      </c>
      <c r="U552" s="40" t="n">
        <v>9E-005</v>
      </c>
      <c r="V552" s="39" t="n">
        <v>0.35971</v>
      </c>
      <c r="W552" s="40" t="n">
        <v>0.0002</v>
      </c>
      <c r="X552" s="39" t="n">
        <v>0.00925</v>
      </c>
      <c r="Y552" s="40" t="n">
        <v>1E-005</v>
      </c>
    </row>
    <row r="553" customFormat="false" ht="15" hidden="false" customHeight="false" outlineLevel="0" collapsed="false">
      <c r="A553" s="38" t="n">
        <v>608</v>
      </c>
      <c r="B553" s="39" t="n">
        <v>0.00676</v>
      </c>
      <c r="C553" s="40" t="n">
        <v>1E-005</v>
      </c>
      <c r="D553" s="39" t="n">
        <v>-0.04816</v>
      </c>
      <c r="E553" s="40" t="n">
        <v>0</v>
      </c>
      <c r="F553" s="39" t="n">
        <v>0.03903</v>
      </c>
      <c r="G553" s="40" t="n">
        <v>2E-005</v>
      </c>
      <c r="H553" s="39" t="n">
        <v>0.19833</v>
      </c>
      <c r="I553" s="40" t="n">
        <v>2E-005</v>
      </c>
      <c r="J553" s="39" t="n">
        <v>0.28071</v>
      </c>
      <c r="K553" s="40" t="n">
        <v>9E-005</v>
      </c>
      <c r="L553" s="39" t="n">
        <v>-0.00196</v>
      </c>
      <c r="M553" s="40" t="n">
        <v>2E-005</v>
      </c>
      <c r="N553" s="39" t="n">
        <v>0.28507</v>
      </c>
      <c r="O553" s="40" t="n">
        <v>5E-005</v>
      </c>
      <c r="P553" s="39" t="n">
        <v>0.09735</v>
      </c>
      <c r="Q553" s="40" t="n">
        <v>8E-005</v>
      </c>
      <c r="R553" s="39" t="n">
        <v>0.39847</v>
      </c>
      <c r="S553" s="40" t="n">
        <v>0.00014</v>
      </c>
      <c r="T553" s="39" t="n">
        <v>0.07835</v>
      </c>
      <c r="U553" s="40" t="n">
        <v>9E-005</v>
      </c>
      <c r="V553" s="39" t="n">
        <v>0.35721</v>
      </c>
      <c r="W553" s="40" t="n">
        <v>0.0002</v>
      </c>
      <c r="X553" s="39" t="n">
        <v>0.00911</v>
      </c>
      <c r="Y553" s="40" t="n">
        <v>1E-005</v>
      </c>
    </row>
    <row r="554" customFormat="false" ht="15" hidden="false" customHeight="false" outlineLevel="0" collapsed="false">
      <c r="A554" s="38" t="n">
        <v>609</v>
      </c>
      <c r="B554" s="39" t="n">
        <v>0.00678</v>
      </c>
      <c r="C554" s="40" t="n">
        <v>0</v>
      </c>
      <c r="D554" s="39" t="n">
        <v>-0.04763</v>
      </c>
      <c r="E554" s="40" t="n">
        <v>1E-005</v>
      </c>
      <c r="F554" s="39" t="n">
        <v>0.03918</v>
      </c>
      <c r="G554" s="40" t="n">
        <v>2E-005</v>
      </c>
      <c r="H554" s="39" t="n">
        <v>0.19823</v>
      </c>
      <c r="I554" s="40" t="n">
        <v>3E-005</v>
      </c>
      <c r="J554" s="39" t="n">
        <v>0.27975</v>
      </c>
      <c r="K554" s="40" t="n">
        <v>9E-005</v>
      </c>
      <c r="L554" s="39" t="n">
        <v>-0.00189</v>
      </c>
      <c r="M554" s="40" t="n">
        <v>1E-005</v>
      </c>
      <c r="N554" s="39" t="n">
        <v>0.28431</v>
      </c>
      <c r="O554" s="40" t="n">
        <v>5E-005</v>
      </c>
      <c r="P554" s="39" t="n">
        <v>0.09637</v>
      </c>
      <c r="Q554" s="40" t="n">
        <v>8E-005</v>
      </c>
      <c r="R554" s="39" t="n">
        <v>0.39681</v>
      </c>
      <c r="S554" s="40" t="n">
        <v>0.00014</v>
      </c>
      <c r="T554" s="39" t="n">
        <v>0.07722</v>
      </c>
      <c r="U554" s="40" t="n">
        <v>9E-005</v>
      </c>
      <c r="V554" s="39" t="n">
        <v>0.35487</v>
      </c>
      <c r="W554" s="40" t="n">
        <v>0.0002</v>
      </c>
      <c r="X554" s="39" t="n">
        <v>0.00907</v>
      </c>
      <c r="Y554" s="40" t="n">
        <v>1E-005</v>
      </c>
    </row>
    <row r="555" customFormat="false" ht="15" hidden="false" customHeight="false" outlineLevel="0" collapsed="false">
      <c r="A555" s="38" t="n">
        <v>610</v>
      </c>
      <c r="B555" s="39" t="n">
        <v>0.00713</v>
      </c>
      <c r="C555" s="40" t="n">
        <v>0</v>
      </c>
      <c r="D555" s="39" t="n">
        <v>-0.04896</v>
      </c>
      <c r="E555" s="40" t="n">
        <v>4E-005</v>
      </c>
      <c r="F555" s="39" t="n">
        <v>0.03913</v>
      </c>
      <c r="G555" s="40" t="n">
        <v>2E-005</v>
      </c>
      <c r="H555" s="39" t="n">
        <v>0.19815</v>
      </c>
      <c r="I555" s="40" t="n">
        <v>2E-005</v>
      </c>
      <c r="J555" s="39" t="n">
        <v>0.27846</v>
      </c>
      <c r="K555" s="40" t="n">
        <v>0.0001</v>
      </c>
      <c r="L555" s="39" t="n">
        <v>-0.00208</v>
      </c>
      <c r="M555" s="40" t="n">
        <v>1E-005</v>
      </c>
      <c r="N555" s="39" t="n">
        <v>0.28378</v>
      </c>
      <c r="O555" s="40" t="n">
        <v>6E-005</v>
      </c>
      <c r="P555" s="39" t="n">
        <v>0.09532</v>
      </c>
      <c r="Q555" s="40" t="n">
        <v>8E-005</v>
      </c>
      <c r="R555" s="39" t="n">
        <v>0.39513</v>
      </c>
      <c r="S555" s="40" t="n">
        <v>0.00014</v>
      </c>
      <c r="T555" s="39" t="n">
        <v>0.07607</v>
      </c>
      <c r="U555" s="40" t="n">
        <v>9E-005</v>
      </c>
      <c r="V555" s="39" t="n">
        <v>0.35252</v>
      </c>
      <c r="W555" s="40" t="n">
        <v>0.0002</v>
      </c>
      <c r="X555" s="39" t="n">
        <v>0.00883</v>
      </c>
      <c r="Y555" s="40" t="n">
        <v>1E-005</v>
      </c>
    </row>
    <row r="556" customFormat="false" ht="15" hidden="false" customHeight="false" outlineLevel="0" collapsed="false">
      <c r="A556" s="38" t="n">
        <v>611</v>
      </c>
      <c r="B556" s="39" t="n">
        <v>0.007</v>
      </c>
      <c r="C556" s="40" t="n">
        <v>-1E-005</v>
      </c>
      <c r="D556" s="39" t="n">
        <v>-0.04919</v>
      </c>
      <c r="E556" s="40" t="n">
        <v>4E-005</v>
      </c>
      <c r="F556" s="39" t="n">
        <v>0.03904</v>
      </c>
      <c r="G556" s="40" t="n">
        <v>3E-005</v>
      </c>
      <c r="H556" s="39" t="n">
        <v>0.19771</v>
      </c>
      <c r="I556" s="40" t="n">
        <v>2E-005</v>
      </c>
      <c r="J556" s="39" t="n">
        <v>0.27733</v>
      </c>
      <c r="K556" s="40" t="n">
        <v>0.0001</v>
      </c>
      <c r="L556" s="39" t="n">
        <v>-0.00232</v>
      </c>
      <c r="M556" s="40" t="n">
        <v>1E-005</v>
      </c>
      <c r="N556" s="39" t="n">
        <v>0.28313</v>
      </c>
      <c r="O556" s="40" t="n">
        <v>6E-005</v>
      </c>
      <c r="P556" s="39" t="n">
        <v>0.09452</v>
      </c>
      <c r="Q556" s="40" t="n">
        <v>8E-005</v>
      </c>
      <c r="R556" s="39" t="n">
        <v>0.39365</v>
      </c>
      <c r="S556" s="40" t="n">
        <v>0.00014</v>
      </c>
      <c r="T556" s="39" t="n">
        <v>0.07507</v>
      </c>
      <c r="U556" s="40" t="n">
        <v>9E-005</v>
      </c>
      <c r="V556" s="39" t="n">
        <v>0.35</v>
      </c>
      <c r="W556" s="40" t="n">
        <v>0.0002</v>
      </c>
      <c r="X556" s="39" t="n">
        <v>0.0086</v>
      </c>
      <c r="Y556" s="40" t="n">
        <v>1E-005</v>
      </c>
    </row>
    <row r="557" customFormat="false" ht="15" hidden="false" customHeight="false" outlineLevel="0" collapsed="false">
      <c r="A557" s="38" t="n">
        <v>612</v>
      </c>
      <c r="B557" s="39" t="n">
        <v>0.00703</v>
      </c>
      <c r="C557" s="40" t="n">
        <v>-1E-005</v>
      </c>
      <c r="D557" s="39" t="n">
        <v>-0.04786</v>
      </c>
      <c r="E557" s="40" t="n">
        <v>2E-005</v>
      </c>
      <c r="F557" s="39" t="n">
        <v>0.03812</v>
      </c>
      <c r="G557" s="40" t="n">
        <v>4E-005</v>
      </c>
      <c r="H557" s="39" t="n">
        <v>0.19748</v>
      </c>
      <c r="I557" s="40" t="n">
        <v>2E-005</v>
      </c>
      <c r="J557" s="39" t="n">
        <v>0.2762</v>
      </c>
      <c r="K557" s="40" t="n">
        <v>0.0001</v>
      </c>
      <c r="L557" s="39" t="n">
        <v>-0.0026</v>
      </c>
      <c r="M557" s="40" t="n">
        <v>1E-005</v>
      </c>
      <c r="N557" s="39" t="n">
        <v>0.28253</v>
      </c>
      <c r="O557" s="40" t="n">
        <v>6E-005</v>
      </c>
      <c r="P557" s="39" t="n">
        <v>0.09357</v>
      </c>
      <c r="Q557" s="40" t="n">
        <v>8E-005</v>
      </c>
      <c r="R557" s="39" t="n">
        <v>0.39186</v>
      </c>
      <c r="S557" s="40" t="n">
        <v>0.00014</v>
      </c>
      <c r="T557" s="39" t="n">
        <v>0.07415</v>
      </c>
      <c r="U557" s="40" t="n">
        <v>9E-005</v>
      </c>
      <c r="V557" s="39" t="n">
        <v>0.34772</v>
      </c>
      <c r="W557" s="40" t="n">
        <v>0.0002</v>
      </c>
      <c r="X557" s="39" t="n">
        <v>0.00863</v>
      </c>
      <c r="Y557" s="40" t="n">
        <v>1E-005</v>
      </c>
    </row>
    <row r="558" customFormat="false" ht="15" hidden="false" customHeight="false" outlineLevel="0" collapsed="false">
      <c r="A558" s="38" t="n">
        <v>613</v>
      </c>
      <c r="B558" s="39" t="n">
        <v>0.00723</v>
      </c>
      <c r="C558" s="40" t="n">
        <v>-1E-005</v>
      </c>
      <c r="D558" s="39" t="n">
        <v>-0.04789</v>
      </c>
      <c r="E558" s="40" t="n">
        <v>1E-005</v>
      </c>
      <c r="F558" s="39" t="n">
        <v>0.03763</v>
      </c>
      <c r="G558" s="40" t="n">
        <v>4E-005</v>
      </c>
      <c r="H558" s="39" t="n">
        <v>0.19706</v>
      </c>
      <c r="I558" s="40" t="n">
        <v>2E-005</v>
      </c>
      <c r="J558" s="39" t="n">
        <v>0.2748</v>
      </c>
      <c r="K558" s="40" t="n">
        <v>0.0001</v>
      </c>
      <c r="L558" s="39" t="n">
        <v>-0.00257</v>
      </c>
      <c r="M558" s="40" t="n">
        <v>1E-005</v>
      </c>
      <c r="N558" s="39" t="n">
        <v>0.28157</v>
      </c>
      <c r="O558" s="40" t="n">
        <v>6E-005</v>
      </c>
      <c r="P558" s="39" t="n">
        <v>0.09261</v>
      </c>
      <c r="Q558" s="40" t="n">
        <v>8E-005</v>
      </c>
      <c r="R558" s="39" t="n">
        <v>0.38993</v>
      </c>
      <c r="S558" s="40" t="n">
        <v>0.00014</v>
      </c>
      <c r="T558" s="39" t="n">
        <v>0.0729</v>
      </c>
      <c r="U558" s="40" t="n">
        <v>8E-005</v>
      </c>
      <c r="V558" s="39" t="n">
        <v>0.34541</v>
      </c>
      <c r="W558" s="40" t="n">
        <v>0.0002</v>
      </c>
      <c r="X558" s="39" t="n">
        <v>0.00847</v>
      </c>
      <c r="Y558" s="40" t="n">
        <v>1E-005</v>
      </c>
    </row>
    <row r="559" customFormat="false" ht="15" hidden="false" customHeight="false" outlineLevel="0" collapsed="false">
      <c r="A559" s="38" t="n">
        <v>614</v>
      </c>
      <c r="B559" s="39" t="n">
        <v>0.00712</v>
      </c>
      <c r="C559" s="40" t="n">
        <v>0</v>
      </c>
      <c r="D559" s="39" t="n">
        <v>-0.04987</v>
      </c>
      <c r="E559" s="40" t="n">
        <v>0</v>
      </c>
      <c r="F559" s="39" t="n">
        <v>0.03703</v>
      </c>
      <c r="G559" s="40" t="n">
        <v>4E-005</v>
      </c>
      <c r="H559" s="39" t="n">
        <v>0.19707</v>
      </c>
      <c r="I559" s="40" t="n">
        <v>2E-005</v>
      </c>
      <c r="J559" s="39" t="n">
        <v>0.27368</v>
      </c>
      <c r="K559" s="40" t="n">
        <v>0.0001</v>
      </c>
      <c r="L559" s="39" t="n">
        <v>-0.00269</v>
      </c>
      <c r="M559" s="40" t="n">
        <v>1E-005</v>
      </c>
      <c r="N559" s="39" t="n">
        <v>0.28071</v>
      </c>
      <c r="O559" s="40" t="n">
        <v>6E-005</v>
      </c>
      <c r="P559" s="39" t="n">
        <v>0.09165</v>
      </c>
      <c r="Q559" s="40" t="n">
        <v>8E-005</v>
      </c>
      <c r="R559" s="39" t="n">
        <v>0.38815</v>
      </c>
      <c r="S559" s="40" t="n">
        <v>0.00015</v>
      </c>
      <c r="T559" s="39" t="n">
        <v>0.072</v>
      </c>
      <c r="U559" s="40" t="n">
        <v>8E-005</v>
      </c>
      <c r="V559" s="39" t="n">
        <v>0.34292</v>
      </c>
      <c r="W559" s="40" t="n">
        <v>0.0002</v>
      </c>
      <c r="X559" s="39" t="n">
        <v>0.00813</v>
      </c>
      <c r="Y559" s="40" t="n">
        <v>1E-005</v>
      </c>
    </row>
    <row r="560" customFormat="false" ht="15" hidden="false" customHeight="false" outlineLevel="0" collapsed="false">
      <c r="A560" s="38" t="n">
        <v>615</v>
      </c>
      <c r="B560" s="39" t="n">
        <v>0.00724</v>
      </c>
      <c r="C560" s="40" t="n">
        <v>0</v>
      </c>
      <c r="D560" s="39" t="n">
        <v>-0.05069</v>
      </c>
      <c r="E560" s="40" t="n">
        <v>2E-005</v>
      </c>
      <c r="F560" s="39" t="n">
        <v>0.03673</v>
      </c>
      <c r="G560" s="40" t="n">
        <v>3E-005</v>
      </c>
      <c r="H560" s="39" t="n">
        <v>0.19695</v>
      </c>
      <c r="I560" s="40" t="n">
        <v>1E-005</v>
      </c>
      <c r="J560" s="39" t="n">
        <v>0.27256</v>
      </c>
      <c r="K560" s="40" t="n">
        <v>0.0001</v>
      </c>
      <c r="L560" s="39" t="n">
        <v>-0.00297</v>
      </c>
      <c r="M560" s="40" t="n">
        <v>1E-005</v>
      </c>
      <c r="N560" s="39" t="n">
        <v>0.28032</v>
      </c>
      <c r="O560" s="40" t="n">
        <v>6E-005</v>
      </c>
      <c r="P560" s="39" t="n">
        <v>0.09058</v>
      </c>
      <c r="Q560" s="40" t="n">
        <v>8E-005</v>
      </c>
      <c r="R560" s="39" t="n">
        <v>0.38656</v>
      </c>
      <c r="S560" s="40" t="n">
        <v>0.00015</v>
      </c>
      <c r="T560" s="39" t="n">
        <v>0.07099</v>
      </c>
      <c r="U560" s="40" t="n">
        <v>8E-005</v>
      </c>
      <c r="V560" s="39" t="n">
        <v>0.34059</v>
      </c>
      <c r="W560" s="40" t="n">
        <v>0.0002</v>
      </c>
      <c r="X560" s="39" t="n">
        <v>0.0083</v>
      </c>
      <c r="Y560" s="40" t="n">
        <v>1E-005</v>
      </c>
    </row>
    <row r="561" customFormat="false" ht="15" hidden="false" customHeight="false" outlineLevel="0" collapsed="false">
      <c r="A561" s="38" t="n">
        <v>616</v>
      </c>
      <c r="B561" s="39" t="n">
        <v>0.00716</v>
      </c>
      <c r="C561" s="40" t="n">
        <v>0</v>
      </c>
      <c r="D561" s="39" t="n">
        <v>-0.04894</v>
      </c>
      <c r="E561" s="40" t="n">
        <v>1E-005</v>
      </c>
      <c r="F561" s="39" t="n">
        <v>0.03631</v>
      </c>
      <c r="G561" s="40" t="n">
        <v>3E-005</v>
      </c>
      <c r="H561" s="39" t="n">
        <v>0.19642</v>
      </c>
      <c r="I561" s="40" t="n">
        <v>1E-005</v>
      </c>
      <c r="J561" s="39" t="n">
        <v>0.27141</v>
      </c>
      <c r="K561" s="40" t="n">
        <v>0.0001</v>
      </c>
      <c r="L561" s="39" t="n">
        <v>-0.00295</v>
      </c>
      <c r="M561" s="40" t="n">
        <v>1E-005</v>
      </c>
      <c r="N561" s="39" t="n">
        <v>0.27941</v>
      </c>
      <c r="O561" s="40" t="n">
        <v>6E-005</v>
      </c>
      <c r="P561" s="39" t="n">
        <v>0.08975</v>
      </c>
      <c r="Q561" s="40" t="n">
        <v>8E-005</v>
      </c>
      <c r="R561" s="39" t="n">
        <v>0.385</v>
      </c>
      <c r="S561" s="40" t="n">
        <v>0.00015</v>
      </c>
      <c r="T561" s="39" t="n">
        <v>0.07004</v>
      </c>
      <c r="U561" s="40" t="n">
        <v>9E-005</v>
      </c>
      <c r="V561" s="39" t="n">
        <v>0.33796</v>
      </c>
      <c r="W561" s="40" t="n">
        <v>0.0002</v>
      </c>
      <c r="X561" s="39" t="n">
        <v>0.00818</v>
      </c>
      <c r="Y561" s="40" t="n">
        <v>2E-005</v>
      </c>
    </row>
    <row r="562" customFormat="false" ht="15" hidden="false" customHeight="false" outlineLevel="0" collapsed="false">
      <c r="A562" s="38" t="n">
        <v>617</v>
      </c>
      <c r="B562" s="39" t="n">
        <v>0.00727</v>
      </c>
      <c r="C562" s="40" t="n">
        <v>1E-005</v>
      </c>
      <c r="D562" s="39" t="n">
        <v>-0.0488</v>
      </c>
      <c r="E562" s="40" t="n">
        <v>0</v>
      </c>
      <c r="F562" s="39" t="n">
        <v>0.03641</v>
      </c>
      <c r="G562" s="40" t="n">
        <v>2E-005</v>
      </c>
      <c r="H562" s="39" t="n">
        <v>0.19642</v>
      </c>
      <c r="I562" s="40" t="n">
        <v>2E-005</v>
      </c>
      <c r="J562" s="39" t="n">
        <v>0.27033</v>
      </c>
      <c r="K562" s="40" t="n">
        <v>0.0001</v>
      </c>
      <c r="L562" s="39" t="n">
        <v>-0.00299</v>
      </c>
      <c r="M562" s="40" t="n">
        <v>1E-005</v>
      </c>
      <c r="N562" s="39" t="n">
        <v>0.27873</v>
      </c>
      <c r="O562" s="40" t="n">
        <v>5E-005</v>
      </c>
      <c r="P562" s="39" t="n">
        <v>0.089</v>
      </c>
      <c r="Q562" s="40" t="n">
        <v>7E-005</v>
      </c>
      <c r="R562" s="39" t="n">
        <v>0.383</v>
      </c>
      <c r="S562" s="40" t="n">
        <v>0.00014</v>
      </c>
      <c r="T562" s="39" t="n">
        <v>0.0691</v>
      </c>
      <c r="U562" s="40" t="n">
        <v>8E-005</v>
      </c>
      <c r="V562" s="39" t="n">
        <v>0.33562</v>
      </c>
      <c r="W562" s="40" t="n">
        <v>0.00021</v>
      </c>
      <c r="X562" s="39" t="n">
        <v>0.00783</v>
      </c>
      <c r="Y562" s="40" t="n">
        <v>2E-005</v>
      </c>
    </row>
    <row r="563" customFormat="false" ht="15" hidden="false" customHeight="false" outlineLevel="0" collapsed="false">
      <c r="A563" s="38" t="n">
        <v>618</v>
      </c>
      <c r="B563" s="39" t="n">
        <v>0.00711</v>
      </c>
      <c r="C563" s="40" t="n">
        <v>2E-005</v>
      </c>
      <c r="D563" s="39" t="n">
        <v>-0.04895</v>
      </c>
      <c r="E563" s="40" t="n">
        <v>-2E-005</v>
      </c>
      <c r="F563" s="39" t="n">
        <v>0.03608</v>
      </c>
      <c r="G563" s="40" t="n">
        <v>2E-005</v>
      </c>
      <c r="H563" s="39" t="n">
        <v>0.19641</v>
      </c>
      <c r="I563" s="40" t="n">
        <v>2E-005</v>
      </c>
      <c r="J563" s="39" t="n">
        <v>0.26886</v>
      </c>
      <c r="K563" s="40" t="n">
        <v>0.0001</v>
      </c>
      <c r="L563" s="39" t="n">
        <v>-0.00312</v>
      </c>
      <c r="M563" s="40" t="n">
        <v>1E-005</v>
      </c>
      <c r="N563" s="39" t="n">
        <v>0.27808</v>
      </c>
      <c r="O563" s="40" t="n">
        <v>6E-005</v>
      </c>
      <c r="P563" s="39" t="n">
        <v>0.08815</v>
      </c>
      <c r="Q563" s="40" t="n">
        <v>7E-005</v>
      </c>
      <c r="R563" s="39" t="n">
        <v>0.38097</v>
      </c>
      <c r="S563" s="40" t="n">
        <v>0.00014</v>
      </c>
      <c r="T563" s="39" t="n">
        <v>0.06808</v>
      </c>
      <c r="U563" s="40" t="n">
        <v>8E-005</v>
      </c>
      <c r="V563" s="39" t="n">
        <v>0.33323</v>
      </c>
      <c r="W563" s="40" t="n">
        <v>0.0002</v>
      </c>
      <c r="X563" s="39" t="n">
        <v>0.00746</v>
      </c>
      <c r="Y563" s="40" t="n">
        <v>1E-005</v>
      </c>
    </row>
    <row r="564" customFormat="false" ht="15" hidden="false" customHeight="false" outlineLevel="0" collapsed="false">
      <c r="A564" s="38" t="n">
        <v>619</v>
      </c>
      <c r="B564" s="39" t="n">
        <v>0.00681</v>
      </c>
      <c r="C564" s="40" t="n">
        <v>2E-005</v>
      </c>
      <c r="D564" s="39" t="n">
        <v>-0.05004</v>
      </c>
      <c r="E564" s="40" t="n">
        <v>-4E-005</v>
      </c>
      <c r="F564" s="39" t="n">
        <v>0.03555</v>
      </c>
      <c r="G564" s="40" t="n">
        <v>3E-005</v>
      </c>
      <c r="H564" s="39" t="n">
        <v>0.19605</v>
      </c>
      <c r="I564" s="40" t="n">
        <v>2E-005</v>
      </c>
      <c r="J564" s="39" t="n">
        <v>0.26781</v>
      </c>
      <c r="K564" s="40" t="n">
        <v>0.0001</v>
      </c>
      <c r="L564" s="39" t="n">
        <v>-0.00352</v>
      </c>
      <c r="M564" s="40" t="n">
        <v>0</v>
      </c>
      <c r="N564" s="39" t="n">
        <v>0.2773</v>
      </c>
      <c r="O564" s="40" t="n">
        <v>6E-005</v>
      </c>
      <c r="P564" s="39" t="n">
        <v>0.08723</v>
      </c>
      <c r="Q564" s="40" t="n">
        <v>7E-005</v>
      </c>
      <c r="R564" s="39" t="n">
        <v>0.37941</v>
      </c>
      <c r="S564" s="40" t="n">
        <v>0.00014</v>
      </c>
      <c r="T564" s="39" t="n">
        <v>0.06683</v>
      </c>
      <c r="U564" s="40" t="n">
        <v>9E-005</v>
      </c>
      <c r="V564" s="39" t="n">
        <v>0.3307</v>
      </c>
      <c r="W564" s="40" t="n">
        <v>0.0002</v>
      </c>
      <c r="X564" s="39" t="n">
        <v>0.00744</v>
      </c>
      <c r="Y564" s="40" t="n">
        <v>1E-005</v>
      </c>
    </row>
    <row r="565" customFormat="false" ht="15" hidden="false" customHeight="false" outlineLevel="0" collapsed="false">
      <c r="A565" s="38" t="n">
        <v>620</v>
      </c>
      <c r="B565" s="39" t="n">
        <v>0.00679</v>
      </c>
      <c r="C565" s="40" t="n">
        <v>1E-005</v>
      </c>
      <c r="D565" s="39" t="n">
        <v>-0.04814</v>
      </c>
      <c r="E565" s="40" t="n">
        <v>-5E-005</v>
      </c>
      <c r="F565" s="39" t="n">
        <v>0.03497</v>
      </c>
      <c r="G565" s="40" t="n">
        <v>4E-005</v>
      </c>
      <c r="H565" s="39" t="n">
        <v>0.19562</v>
      </c>
      <c r="I565" s="40" t="n">
        <v>3E-005</v>
      </c>
      <c r="J565" s="39" t="n">
        <v>0.26657</v>
      </c>
      <c r="K565" s="40" t="n">
        <v>0.0001</v>
      </c>
      <c r="L565" s="39" t="n">
        <v>-0.00358</v>
      </c>
      <c r="M565" s="40" t="n">
        <v>0</v>
      </c>
      <c r="N565" s="39" t="n">
        <v>0.27675</v>
      </c>
      <c r="O565" s="40" t="n">
        <v>6E-005</v>
      </c>
      <c r="P565" s="39" t="n">
        <v>0.0863</v>
      </c>
      <c r="Q565" s="40" t="n">
        <v>7E-005</v>
      </c>
      <c r="R565" s="39" t="n">
        <v>0.37791</v>
      </c>
      <c r="S565" s="40" t="n">
        <v>0.00014</v>
      </c>
      <c r="T565" s="39" t="n">
        <v>0.06568</v>
      </c>
      <c r="U565" s="40" t="n">
        <v>9E-005</v>
      </c>
      <c r="V565" s="39" t="n">
        <v>0.3283</v>
      </c>
      <c r="W565" s="40" t="n">
        <v>0.0002</v>
      </c>
      <c r="X565" s="39" t="n">
        <v>0.00731</v>
      </c>
      <c r="Y565" s="40" t="n">
        <v>1E-005</v>
      </c>
    </row>
    <row r="566" customFormat="false" ht="15" hidden="false" customHeight="false" outlineLevel="0" collapsed="false">
      <c r="A566" s="38" t="n">
        <v>621</v>
      </c>
      <c r="B566" s="39" t="n">
        <v>0.00626</v>
      </c>
      <c r="C566" s="40" t="n">
        <v>1E-005</v>
      </c>
      <c r="D566" s="39" t="n">
        <v>-0.04804</v>
      </c>
      <c r="E566" s="40" t="n">
        <v>-5E-005</v>
      </c>
      <c r="F566" s="39" t="n">
        <v>0.03478</v>
      </c>
      <c r="G566" s="40" t="n">
        <v>5E-005</v>
      </c>
      <c r="H566" s="39" t="n">
        <v>0.19528</v>
      </c>
      <c r="I566" s="40" t="n">
        <v>3E-005</v>
      </c>
      <c r="J566" s="39" t="n">
        <v>0.26507</v>
      </c>
      <c r="K566" s="40" t="n">
        <v>0.00011</v>
      </c>
      <c r="L566" s="39" t="n">
        <v>-0.00337</v>
      </c>
      <c r="M566" s="40" t="n">
        <v>0</v>
      </c>
      <c r="N566" s="39" t="n">
        <v>0.27602</v>
      </c>
      <c r="O566" s="40" t="n">
        <v>6E-005</v>
      </c>
      <c r="P566" s="39" t="n">
        <v>0.08556</v>
      </c>
      <c r="Q566" s="40" t="n">
        <v>7E-005</v>
      </c>
      <c r="R566" s="39" t="n">
        <v>0.3762</v>
      </c>
      <c r="S566" s="40" t="n">
        <v>0.00014</v>
      </c>
      <c r="T566" s="39" t="n">
        <v>0.06498</v>
      </c>
      <c r="U566" s="40" t="n">
        <v>9E-005</v>
      </c>
      <c r="V566" s="39" t="n">
        <v>0.32581</v>
      </c>
      <c r="W566" s="40" t="n">
        <v>0.0002</v>
      </c>
      <c r="X566" s="39" t="n">
        <v>0.0073</v>
      </c>
      <c r="Y566" s="40" t="n">
        <v>0</v>
      </c>
    </row>
    <row r="567" customFormat="false" ht="15" hidden="false" customHeight="false" outlineLevel="0" collapsed="false">
      <c r="A567" s="38" t="n">
        <v>622</v>
      </c>
      <c r="B567" s="39" t="n">
        <v>0.00622</v>
      </c>
      <c r="C567" s="40" t="n">
        <v>1E-005</v>
      </c>
      <c r="D567" s="39" t="n">
        <v>-0.04787</v>
      </c>
      <c r="E567" s="40" t="n">
        <v>-5E-005</v>
      </c>
      <c r="F567" s="39" t="n">
        <v>0.03438</v>
      </c>
      <c r="G567" s="40" t="n">
        <v>4E-005</v>
      </c>
      <c r="H567" s="39" t="n">
        <v>0.195</v>
      </c>
      <c r="I567" s="40" t="n">
        <v>3E-005</v>
      </c>
      <c r="J567" s="39" t="n">
        <v>0.26403</v>
      </c>
      <c r="K567" s="40" t="n">
        <v>0.0001</v>
      </c>
      <c r="L567" s="39" t="n">
        <v>-0.00337</v>
      </c>
      <c r="M567" s="40" t="n">
        <v>0</v>
      </c>
      <c r="N567" s="39" t="n">
        <v>0.27497</v>
      </c>
      <c r="O567" s="40" t="n">
        <v>7E-005</v>
      </c>
      <c r="P567" s="39" t="n">
        <v>0.08471</v>
      </c>
      <c r="Q567" s="40" t="n">
        <v>7E-005</v>
      </c>
      <c r="R567" s="39" t="n">
        <v>0.37435</v>
      </c>
      <c r="S567" s="40" t="n">
        <v>0.00015</v>
      </c>
      <c r="T567" s="39" t="n">
        <v>0.06396</v>
      </c>
      <c r="U567" s="40" t="n">
        <v>8E-005</v>
      </c>
      <c r="V567" s="39" t="n">
        <v>0.32357</v>
      </c>
      <c r="W567" s="40" t="n">
        <v>0.0002</v>
      </c>
      <c r="X567" s="39" t="n">
        <v>0.00718</v>
      </c>
      <c r="Y567" s="40" t="n">
        <v>0</v>
      </c>
    </row>
    <row r="568" customFormat="false" ht="15" hidden="false" customHeight="false" outlineLevel="0" collapsed="false">
      <c r="A568" s="38" t="n">
        <v>623</v>
      </c>
      <c r="B568" s="39" t="n">
        <v>0.00653</v>
      </c>
      <c r="C568" s="40" t="n">
        <v>0</v>
      </c>
      <c r="D568" s="39" t="n">
        <v>-0.04586</v>
      </c>
      <c r="E568" s="40" t="n">
        <v>-8E-005</v>
      </c>
      <c r="F568" s="39" t="n">
        <v>0.03372</v>
      </c>
      <c r="G568" s="40" t="n">
        <v>4E-005</v>
      </c>
      <c r="H568" s="39" t="n">
        <v>0.19468</v>
      </c>
      <c r="I568" s="40" t="n">
        <v>2E-005</v>
      </c>
      <c r="J568" s="39" t="n">
        <v>0.26278</v>
      </c>
      <c r="K568" s="40" t="n">
        <v>0.0001</v>
      </c>
      <c r="L568" s="39" t="n">
        <v>-0.00336</v>
      </c>
      <c r="M568" s="40" t="n">
        <v>0</v>
      </c>
      <c r="N568" s="39" t="n">
        <v>0.2741</v>
      </c>
      <c r="O568" s="40" t="n">
        <v>6E-005</v>
      </c>
      <c r="P568" s="39" t="n">
        <v>0.08401</v>
      </c>
      <c r="Q568" s="40" t="n">
        <v>6E-005</v>
      </c>
      <c r="R568" s="39" t="n">
        <v>0.37257</v>
      </c>
      <c r="S568" s="40" t="n">
        <v>0.00015</v>
      </c>
      <c r="T568" s="39" t="n">
        <v>0.06283</v>
      </c>
      <c r="U568" s="40" t="n">
        <v>8E-005</v>
      </c>
      <c r="V568" s="39" t="n">
        <v>0.32125</v>
      </c>
      <c r="W568" s="40" t="n">
        <v>0.0002</v>
      </c>
      <c r="X568" s="39" t="n">
        <v>0.00732</v>
      </c>
      <c r="Y568" s="40" t="n">
        <v>0</v>
      </c>
    </row>
    <row r="569" customFormat="false" ht="15" hidden="false" customHeight="false" outlineLevel="0" collapsed="false">
      <c r="A569" s="38" t="n">
        <v>624</v>
      </c>
      <c r="B569" s="39" t="n">
        <v>0.00681</v>
      </c>
      <c r="C569" s="40" t="n">
        <v>1E-005</v>
      </c>
      <c r="D569" s="39" t="n">
        <v>-0.04453</v>
      </c>
      <c r="E569" s="40" t="n">
        <v>-8E-005</v>
      </c>
      <c r="F569" s="39" t="n">
        <v>0.03301</v>
      </c>
      <c r="G569" s="40" t="n">
        <v>4E-005</v>
      </c>
      <c r="H569" s="39" t="n">
        <v>0.19441</v>
      </c>
      <c r="I569" s="40" t="n">
        <v>1E-005</v>
      </c>
      <c r="J569" s="39" t="n">
        <v>0.26139</v>
      </c>
      <c r="K569" s="40" t="n">
        <v>0.00011</v>
      </c>
      <c r="L569" s="39" t="n">
        <v>-0.00354</v>
      </c>
      <c r="M569" s="40" t="n">
        <v>0</v>
      </c>
      <c r="N569" s="39" t="n">
        <v>0.27335</v>
      </c>
      <c r="O569" s="40" t="n">
        <v>7E-005</v>
      </c>
      <c r="P569" s="39" t="n">
        <v>0.08347</v>
      </c>
      <c r="Q569" s="40" t="n">
        <v>6E-005</v>
      </c>
      <c r="R569" s="39" t="n">
        <v>0.37081</v>
      </c>
      <c r="S569" s="40" t="n">
        <v>0.00015</v>
      </c>
      <c r="T569" s="39" t="n">
        <v>0.06188</v>
      </c>
      <c r="U569" s="40" t="n">
        <v>8E-005</v>
      </c>
      <c r="V569" s="39" t="n">
        <v>0.31892</v>
      </c>
      <c r="W569" s="40" t="n">
        <v>0.0002</v>
      </c>
      <c r="X569" s="39" t="n">
        <v>0.00735</v>
      </c>
      <c r="Y569" s="40" t="n">
        <v>0</v>
      </c>
    </row>
    <row r="570" customFormat="false" ht="15" hidden="false" customHeight="false" outlineLevel="0" collapsed="false">
      <c r="A570" s="38" t="n">
        <v>625</v>
      </c>
      <c r="B570" s="39" t="n">
        <v>0.00632</v>
      </c>
      <c r="C570" s="40" t="n">
        <v>1E-005</v>
      </c>
      <c r="D570" s="39" t="n">
        <v>-0.04582</v>
      </c>
      <c r="E570" s="40" t="n">
        <v>-4E-005</v>
      </c>
      <c r="F570" s="39" t="n">
        <v>0.03259</v>
      </c>
      <c r="G570" s="40" t="n">
        <v>4E-005</v>
      </c>
      <c r="H570" s="39" t="n">
        <v>0.19439</v>
      </c>
      <c r="I570" s="40" t="n">
        <v>1E-005</v>
      </c>
      <c r="J570" s="39" t="n">
        <v>0.26014</v>
      </c>
      <c r="K570" s="40" t="n">
        <v>0.0001</v>
      </c>
      <c r="L570" s="39" t="n">
        <v>-0.00361</v>
      </c>
      <c r="M570" s="40" t="n">
        <v>0</v>
      </c>
      <c r="N570" s="39" t="n">
        <v>0.2728</v>
      </c>
      <c r="O570" s="40" t="n">
        <v>7E-005</v>
      </c>
      <c r="P570" s="39" t="n">
        <v>0.08261</v>
      </c>
      <c r="Q570" s="40" t="n">
        <v>6E-005</v>
      </c>
      <c r="R570" s="39" t="n">
        <v>0.36864</v>
      </c>
      <c r="S570" s="40" t="n">
        <v>0.00015</v>
      </c>
      <c r="T570" s="39" t="n">
        <v>0.06095</v>
      </c>
      <c r="U570" s="40" t="n">
        <v>8E-005</v>
      </c>
      <c r="V570" s="39" t="n">
        <v>0.31645</v>
      </c>
      <c r="W570" s="40" t="n">
        <v>0.00019</v>
      </c>
      <c r="X570" s="39" t="n">
        <v>0.00715</v>
      </c>
      <c r="Y570" s="40" t="n">
        <v>0</v>
      </c>
    </row>
    <row r="571" customFormat="false" ht="15" hidden="false" customHeight="false" outlineLevel="0" collapsed="false">
      <c r="A571" s="38" t="n">
        <v>626</v>
      </c>
      <c r="B571" s="39" t="n">
        <v>0.006</v>
      </c>
      <c r="C571" s="40" t="n">
        <v>1E-005</v>
      </c>
      <c r="D571" s="39" t="n">
        <v>-0.04531</v>
      </c>
      <c r="E571" s="40" t="n">
        <v>-1E-005</v>
      </c>
      <c r="F571" s="39" t="n">
        <v>0.03257</v>
      </c>
      <c r="G571" s="40" t="n">
        <v>3E-005</v>
      </c>
      <c r="H571" s="39" t="n">
        <v>0.19428</v>
      </c>
      <c r="I571" s="40" t="n">
        <v>1E-005</v>
      </c>
      <c r="J571" s="39" t="n">
        <v>0.25901</v>
      </c>
      <c r="K571" s="40" t="n">
        <v>0.00011</v>
      </c>
      <c r="L571" s="39" t="n">
        <v>-0.00368</v>
      </c>
      <c r="M571" s="40" t="n">
        <v>0</v>
      </c>
      <c r="N571" s="39" t="n">
        <v>0.272</v>
      </c>
      <c r="O571" s="40" t="n">
        <v>7E-005</v>
      </c>
      <c r="P571" s="39" t="n">
        <v>0.08164</v>
      </c>
      <c r="Q571" s="40" t="n">
        <v>7E-005</v>
      </c>
      <c r="R571" s="39" t="n">
        <v>0.3668</v>
      </c>
      <c r="S571" s="40" t="n">
        <v>0.00015</v>
      </c>
      <c r="T571" s="39" t="n">
        <v>0.05988</v>
      </c>
      <c r="U571" s="40" t="n">
        <v>8E-005</v>
      </c>
      <c r="V571" s="39" t="n">
        <v>0.31401</v>
      </c>
      <c r="W571" s="40" t="n">
        <v>0.0002</v>
      </c>
      <c r="X571" s="39" t="n">
        <v>0.00713</v>
      </c>
      <c r="Y571" s="40" t="n">
        <v>1E-005</v>
      </c>
    </row>
    <row r="572" customFormat="false" ht="15" hidden="false" customHeight="false" outlineLevel="0" collapsed="false">
      <c r="A572" s="38" t="n">
        <v>627</v>
      </c>
      <c r="B572" s="39" t="n">
        <v>0.00617</v>
      </c>
      <c r="C572" s="40" t="n">
        <v>2E-005</v>
      </c>
      <c r="D572" s="39" t="n">
        <v>-0.04334</v>
      </c>
      <c r="E572" s="40" t="n">
        <v>2E-005</v>
      </c>
      <c r="F572" s="39" t="n">
        <v>0.03207</v>
      </c>
      <c r="G572" s="40" t="n">
        <v>2E-005</v>
      </c>
      <c r="H572" s="39" t="n">
        <v>0.19393</v>
      </c>
      <c r="I572" s="40" t="n">
        <v>1E-005</v>
      </c>
      <c r="J572" s="39" t="n">
        <v>0.25788</v>
      </c>
      <c r="K572" s="40" t="n">
        <v>0.00012</v>
      </c>
      <c r="L572" s="39" t="n">
        <v>-0.00372</v>
      </c>
      <c r="M572" s="40" t="n">
        <v>1E-005</v>
      </c>
      <c r="N572" s="39" t="n">
        <v>0.27119</v>
      </c>
      <c r="O572" s="40" t="n">
        <v>7E-005</v>
      </c>
      <c r="P572" s="39" t="n">
        <v>0.08087</v>
      </c>
      <c r="Q572" s="40" t="n">
        <v>7E-005</v>
      </c>
      <c r="R572" s="39" t="n">
        <v>0.36531</v>
      </c>
      <c r="S572" s="40" t="n">
        <v>0.00015</v>
      </c>
      <c r="T572" s="39" t="n">
        <v>0.05908</v>
      </c>
      <c r="U572" s="40" t="n">
        <v>7E-005</v>
      </c>
      <c r="V572" s="39" t="n">
        <v>0.31169</v>
      </c>
      <c r="W572" s="40" t="n">
        <v>0.0002</v>
      </c>
      <c r="X572" s="39" t="n">
        <v>0.00717</v>
      </c>
      <c r="Y572" s="40" t="n">
        <v>1E-005</v>
      </c>
    </row>
    <row r="573" customFormat="false" ht="15" hidden="false" customHeight="false" outlineLevel="0" collapsed="false">
      <c r="A573" s="38" t="n">
        <v>628</v>
      </c>
      <c r="B573" s="39" t="n">
        <v>0.00567</v>
      </c>
      <c r="C573" s="40" t="n">
        <v>1E-005</v>
      </c>
      <c r="D573" s="39" t="n">
        <v>-0.04339</v>
      </c>
      <c r="E573" s="40" t="n">
        <v>1E-005</v>
      </c>
      <c r="F573" s="39" t="n">
        <v>0.03179</v>
      </c>
      <c r="G573" s="40" t="n">
        <v>1E-005</v>
      </c>
      <c r="H573" s="39" t="n">
        <v>0.19402</v>
      </c>
      <c r="I573" s="40" t="n">
        <v>1E-005</v>
      </c>
      <c r="J573" s="39" t="n">
        <v>0.25612</v>
      </c>
      <c r="K573" s="40" t="n">
        <v>0.00012</v>
      </c>
      <c r="L573" s="39" t="n">
        <v>-0.00354</v>
      </c>
      <c r="M573" s="40" t="n">
        <v>1E-005</v>
      </c>
      <c r="N573" s="39" t="n">
        <v>0.27008</v>
      </c>
      <c r="O573" s="40" t="n">
        <v>8E-005</v>
      </c>
      <c r="P573" s="39" t="n">
        <v>0.08019</v>
      </c>
      <c r="Q573" s="40" t="n">
        <v>7E-005</v>
      </c>
      <c r="R573" s="39" t="n">
        <v>0.36358</v>
      </c>
      <c r="S573" s="40" t="n">
        <v>0.00015</v>
      </c>
      <c r="T573" s="39" t="n">
        <v>0.05829</v>
      </c>
      <c r="U573" s="40" t="n">
        <v>7E-005</v>
      </c>
      <c r="V573" s="39" t="n">
        <v>0.30949</v>
      </c>
      <c r="W573" s="40" t="n">
        <v>0.0002</v>
      </c>
      <c r="X573" s="39" t="n">
        <v>0.00703</v>
      </c>
      <c r="Y573" s="40" t="n">
        <v>1E-005</v>
      </c>
    </row>
    <row r="574" customFormat="false" ht="15" hidden="false" customHeight="false" outlineLevel="0" collapsed="false">
      <c r="A574" s="38" t="n">
        <v>629</v>
      </c>
      <c r="B574" s="39" t="n">
        <v>0.00563</v>
      </c>
      <c r="C574" s="40" t="n">
        <v>0</v>
      </c>
      <c r="D574" s="39" t="n">
        <v>-0.04618</v>
      </c>
      <c r="E574" s="40" t="n">
        <v>1E-005</v>
      </c>
      <c r="F574" s="39" t="n">
        <v>0.03147</v>
      </c>
      <c r="G574" s="40" t="n">
        <v>2E-005</v>
      </c>
      <c r="H574" s="39" t="n">
        <v>0.19379</v>
      </c>
      <c r="I574" s="40" t="n">
        <v>2E-005</v>
      </c>
      <c r="J574" s="39" t="n">
        <v>0.25487</v>
      </c>
      <c r="K574" s="40" t="n">
        <v>0.00012</v>
      </c>
      <c r="L574" s="39" t="n">
        <v>-0.0035</v>
      </c>
      <c r="M574" s="40" t="n">
        <v>0</v>
      </c>
      <c r="N574" s="39" t="n">
        <v>0.26919</v>
      </c>
      <c r="O574" s="40" t="n">
        <v>8E-005</v>
      </c>
      <c r="P574" s="39" t="n">
        <v>0.07929</v>
      </c>
      <c r="Q574" s="40" t="n">
        <v>7E-005</v>
      </c>
      <c r="R574" s="39" t="n">
        <v>0.36152</v>
      </c>
      <c r="S574" s="40" t="n">
        <v>0.00015</v>
      </c>
      <c r="T574" s="39" t="n">
        <v>0.05752</v>
      </c>
      <c r="U574" s="40" t="n">
        <v>7E-005</v>
      </c>
      <c r="V574" s="39" t="n">
        <v>0.30705</v>
      </c>
      <c r="W574" s="40" t="n">
        <v>0.0002</v>
      </c>
      <c r="X574" s="39" t="n">
        <v>0.00679</v>
      </c>
      <c r="Y574" s="40" t="n">
        <v>1E-005</v>
      </c>
    </row>
    <row r="575" customFormat="false" ht="15" hidden="false" customHeight="false" outlineLevel="0" collapsed="false">
      <c r="A575" s="38" t="n">
        <v>630</v>
      </c>
      <c r="B575" s="39" t="n">
        <v>0.00572</v>
      </c>
      <c r="C575" s="40" t="n">
        <v>0</v>
      </c>
      <c r="D575" s="39" t="n">
        <v>-0.04672</v>
      </c>
      <c r="E575" s="40" t="n">
        <v>2E-005</v>
      </c>
      <c r="F575" s="39" t="n">
        <v>0.03125</v>
      </c>
      <c r="G575" s="40" t="n">
        <v>4E-005</v>
      </c>
      <c r="H575" s="39" t="n">
        <v>0.19323</v>
      </c>
      <c r="I575" s="40" t="n">
        <v>2E-005</v>
      </c>
      <c r="J575" s="39" t="n">
        <v>0.25347</v>
      </c>
      <c r="K575" s="40" t="n">
        <v>0.00012</v>
      </c>
      <c r="L575" s="39" t="n">
        <v>-0.00383</v>
      </c>
      <c r="M575" s="40" t="n">
        <v>0</v>
      </c>
      <c r="N575" s="39" t="n">
        <v>0.26838</v>
      </c>
      <c r="O575" s="40" t="n">
        <v>8E-005</v>
      </c>
      <c r="P575" s="39" t="n">
        <v>0.07841</v>
      </c>
      <c r="Q575" s="40" t="n">
        <v>6E-005</v>
      </c>
      <c r="R575" s="39" t="n">
        <v>0.35992</v>
      </c>
      <c r="S575" s="40" t="n">
        <v>0.00015</v>
      </c>
      <c r="T575" s="39" t="n">
        <v>0.05655</v>
      </c>
      <c r="U575" s="40" t="n">
        <v>7E-005</v>
      </c>
      <c r="V575" s="39" t="n">
        <v>0.30457</v>
      </c>
      <c r="W575" s="40" t="n">
        <v>0.0002</v>
      </c>
      <c r="X575" s="39" t="n">
        <v>0.00649</v>
      </c>
      <c r="Y575" s="40" t="n">
        <v>1E-005</v>
      </c>
    </row>
    <row r="576" customFormat="false" ht="15" hidden="false" customHeight="false" outlineLevel="0" collapsed="false">
      <c r="A576" s="38" t="n">
        <v>631</v>
      </c>
      <c r="B576" s="39" t="n">
        <v>0.00584</v>
      </c>
      <c r="C576" s="40" t="n">
        <v>1E-005</v>
      </c>
      <c r="D576" s="39" t="n">
        <v>-0.0448</v>
      </c>
      <c r="E576" s="40" t="n">
        <v>3E-005</v>
      </c>
      <c r="F576" s="39" t="n">
        <v>0.03107</v>
      </c>
      <c r="G576" s="40" t="n">
        <v>4E-005</v>
      </c>
      <c r="H576" s="39" t="n">
        <v>0.19319</v>
      </c>
      <c r="I576" s="40" t="n">
        <v>2E-005</v>
      </c>
      <c r="J576" s="39" t="n">
        <v>0.25165</v>
      </c>
      <c r="K576" s="40" t="n">
        <v>0.00012</v>
      </c>
      <c r="L576" s="39" t="n">
        <v>-0.00395</v>
      </c>
      <c r="M576" s="40" t="n">
        <v>0</v>
      </c>
      <c r="N576" s="39" t="n">
        <v>0.26735</v>
      </c>
      <c r="O576" s="40" t="n">
        <v>7E-005</v>
      </c>
      <c r="P576" s="39" t="n">
        <v>0.07748</v>
      </c>
      <c r="Q576" s="40" t="n">
        <v>6E-005</v>
      </c>
      <c r="R576" s="39" t="n">
        <v>0.35811</v>
      </c>
      <c r="S576" s="40" t="n">
        <v>0.00016</v>
      </c>
      <c r="T576" s="39" t="n">
        <v>0.05551</v>
      </c>
      <c r="U576" s="40" t="n">
        <v>7E-005</v>
      </c>
      <c r="V576" s="39" t="n">
        <v>0.30215</v>
      </c>
      <c r="W576" s="40" t="n">
        <v>0.0002</v>
      </c>
      <c r="X576" s="39" t="n">
        <v>0.00638</v>
      </c>
      <c r="Y576" s="40" t="n">
        <v>1E-005</v>
      </c>
    </row>
    <row r="577" customFormat="false" ht="15" hidden="false" customHeight="false" outlineLevel="0" collapsed="false">
      <c r="A577" s="38" t="n">
        <v>632</v>
      </c>
      <c r="B577" s="39" t="n">
        <v>0.00589</v>
      </c>
      <c r="C577" s="40" t="n">
        <v>1E-005</v>
      </c>
      <c r="D577" s="39" t="n">
        <v>-0.04446</v>
      </c>
      <c r="E577" s="40" t="n">
        <v>0</v>
      </c>
      <c r="F577" s="39" t="n">
        <v>0.03101</v>
      </c>
      <c r="G577" s="40" t="n">
        <v>4E-005</v>
      </c>
      <c r="H577" s="39" t="n">
        <v>0.193</v>
      </c>
      <c r="I577" s="40" t="n">
        <v>2E-005</v>
      </c>
      <c r="J577" s="39" t="n">
        <v>0.25063</v>
      </c>
      <c r="K577" s="40" t="n">
        <v>0.00011</v>
      </c>
      <c r="L577" s="39" t="n">
        <v>-0.00395</v>
      </c>
      <c r="M577" s="40" t="n">
        <v>0</v>
      </c>
      <c r="N577" s="39" t="n">
        <v>0.26649</v>
      </c>
      <c r="O577" s="40" t="n">
        <v>7E-005</v>
      </c>
      <c r="P577" s="39" t="n">
        <v>0.07687</v>
      </c>
      <c r="Q577" s="40" t="n">
        <v>6E-005</v>
      </c>
      <c r="R577" s="39" t="n">
        <v>0.3561</v>
      </c>
      <c r="S577" s="40" t="n">
        <v>0.00016</v>
      </c>
      <c r="T577" s="39" t="n">
        <v>0.05484</v>
      </c>
      <c r="U577" s="40" t="n">
        <v>7E-005</v>
      </c>
      <c r="V577" s="39" t="n">
        <v>0.29996</v>
      </c>
      <c r="W577" s="40" t="n">
        <v>0.0002</v>
      </c>
      <c r="X577" s="39" t="n">
        <v>0.00653</v>
      </c>
      <c r="Y577" s="40" t="n">
        <v>1E-005</v>
      </c>
    </row>
    <row r="578" customFormat="false" ht="15" hidden="false" customHeight="false" outlineLevel="0" collapsed="false">
      <c r="A578" s="38" t="n">
        <v>633</v>
      </c>
      <c r="B578" s="39" t="n">
        <v>0.00564</v>
      </c>
      <c r="C578" s="40" t="n">
        <v>0</v>
      </c>
      <c r="D578" s="39" t="n">
        <v>-0.04529</v>
      </c>
      <c r="E578" s="40" t="n">
        <v>-5E-005</v>
      </c>
      <c r="F578" s="39" t="n">
        <v>0.02983</v>
      </c>
      <c r="G578" s="40" t="n">
        <v>4E-005</v>
      </c>
      <c r="H578" s="39" t="n">
        <v>0.19267</v>
      </c>
      <c r="I578" s="40" t="n">
        <v>2E-005</v>
      </c>
      <c r="J578" s="39" t="n">
        <v>0.24946</v>
      </c>
      <c r="K578" s="40" t="n">
        <v>0.00011</v>
      </c>
      <c r="L578" s="39" t="n">
        <v>-0.0036</v>
      </c>
      <c r="M578" s="40" t="n">
        <v>0</v>
      </c>
      <c r="N578" s="39" t="n">
        <v>0.26576</v>
      </c>
      <c r="O578" s="40" t="n">
        <v>7E-005</v>
      </c>
      <c r="P578" s="39" t="n">
        <v>0.07637</v>
      </c>
      <c r="Q578" s="40" t="n">
        <v>6E-005</v>
      </c>
      <c r="R578" s="39" t="n">
        <v>0.35426</v>
      </c>
      <c r="S578" s="40" t="n">
        <v>0.00015</v>
      </c>
      <c r="T578" s="39" t="n">
        <v>0.05415</v>
      </c>
      <c r="U578" s="40" t="n">
        <v>7E-005</v>
      </c>
      <c r="V578" s="39" t="n">
        <v>0.29737</v>
      </c>
      <c r="W578" s="40" t="n">
        <v>0.0002</v>
      </c>
      <c r="X578" s="39" t="n">
        <v>0.00635</v>
      </c>
      <c r="Y578" s="40" t="n">
        <v>0</v>
      </c>
    </row>
    <row r="579" customFormat="false" ht="15" hidden="false" customHeight="false" outlineLevel="0" collapsed="false">
      <c r="A579" s="38" t="n">
        <v>634</v>
      </c>
      <c r="B579" s="39" t="n">
        <v>0.00527</v>
      </c>
      <c r="C579" s="40" t="n">
        <v>1E-005</v>
      </c>
      <c r="D579" s="39" t="n">
        <v>-0.04521</v>
      </c>
      <c r="E579" s="40" t="n">
        <v>-3E-005</v>
      </c>
      <c r="F579" s="39" t="n">
        <v>0.02864</v>
      </c>
      <c r="G579" s="40" t="n">
        <v>5E-005</v>
      </c>
      <c r="H579" s="39" t="n">
        <v>0.1924</v>
      </c>
      <c r="I579" s="40" t="n">
        <v>2E-005</v>
      </c>
      <c r="J579" s="39" t="n">
        <v>0.24798</v>
      </c>
      <c r="K579" s="40" t="n">
        <v>0.00012</v>
      </c>
      <c r="L579" s="39" t="n">
        <v>-0.0036</v>
      </c>
      <c r="M579" s="40" t="n">
        <v>0</v>
      </c>
      <c r="N579" s="39" t="n">
        <v>0.2649</v>
      </c>
      <c r="O579" s="40" t="n">
        <v>7E-005</v>
      </c>
      <c r="P579" s="39" t="n">
        <v>0.07578</v>
      </c>
      <c r="Q579" s="40" t="n">
        <v>5E-005</v>
      </c>
      <c r="R579" s="39" t="n">
        <v>0.35226</v>
      </c>
      <c r="S579" s="40" t="n">
        <v>0.00016</v>
      </c>
      <c r="T579" s="39" t="n">
        <v>0.0533</v>
      </c>
      <c r="U579" s="40" t="n">
        <v>7E-005</v>
      </c>
      <c r="V579" s="39" t="n">
        <v>0.2952</v>
      </c>
      <c r="W579" s="40" t="n">
        <v>0.0002</v>
      </c>
      <c r="X579" s="39" t="n">
        <v>0.00631</v>
      </c>
      <c r="Y579" s="40" t="n">
        <v>0</v>
      </c>
    </row>
    <row r="580" customFormat="false" ht="15" hidden="false" customHeight="false" outlineLevel="0" collapsed="false">
      <c r="A580" s="38" t="n">
        <v>635</v>
      </c>
      <c r="B580" s="39" t="n">
        <v>0.00528</v>
      </c>
      <c r="C580" s="40" t="n">
        <v>0</v>
      </c>
      <c r="D580" s="39" t="n">
        <v>-0.04449</v>
      </c>
      <c r="E580" s="40" t="n">
        <v>-2E-005</v>
      </c>
      <c r="F580" s="39" t="n">
        <v>0.02853</v>
      </c>
      <c r="G580" s="40" t="n">
        <v>4E-005</v>
      </c>
      <c r="H580" s="39" t="n">
        <v>0.1924</v>
      </c>
      <c r="I580" s="40" t="n">
        <v>3E-005</v>
      </c>
      <c r="J580" s="39" t="n">
        <v>0.24662</v>
      </c>
      <c r="K580" s="40" t="n">
        <v>0.00012</v>
      </c>
      <c r="L580" s="39" t="n">
        <v>-0.00376</v>
      </c>
      <c r="M580" s="40" t="n">
        <v>0</v>
      </c>
      <c r="N580" s="39" t="n">
        <v>0.26426</v>
      </c>
      <c r="O580" s="40" t="n">
        <v>8E-005</v>
      </c>
      <c r="P580" s="39" t="n">
        <v>0.075</v>
      </c>
      <c r="Q580" s="40" t="n">
        <v>6E-005</v>
      </c>
      <c r="R580" s="39" t="n">
        <v>0.35046</v>
      </c>
      <c r="S580" s="40" t="n">
        <v>0.00016</v>
      </c>
      <c r="T580" s="39" t="n">
        <v>0.05228</v>
      </c>
      <c r="U580" s="40" t="n">
        <v>7E-005</v>
      </c>
      <c r="V580" s="39" t="n">
        <v>0.29275</v>
      </c>
      <c r="W580" s="40" t="n">
        <v>0.0002</v>
      </c>
      <c r="X580" s="39" t="n">
        <v>0.00628</v>
      </c>
      <c r="Y580" s="40" t="n">
        <v>1E-005</v>
      </c>
    </row>
    <row r="581" customFormat="false" ht="15" hidden="false" customHeight="false" outlineLevel="0" collapsed="false">
      <c r="A581" s="38" t="n">
        <v>636</v>
      </c>
      <c r="B581" s="39" t="n">
        <v>0.00518</v>
      </c>
      <c r="C581" s="40" t="n">
        <v>0</v>
      </c>
      <c r="D581" s="39" t="n">
        <v>-0.04378</v>
      </c>
      <c r="E581" s="40" t="n">
        <v>-6E-005</v>
      </c>
      <c r="F581" s="39" t="n">
        <v>0.0286</v>
      </c>
      <c r="G581" s="40" t="n">
        <v>3E-005</v>
      </c>
      <c r="H581" s="39" t="n">
        <v>0.19218</v>
      </c>
      <c r="I581" s="40" t="n">
        <v>3E-005</v>
      </c>
      <c r="J581" s="39" t="n">
        <v>0.24508</v>
      </c>
      <c r="K581" s="40" t="n">
        <v>0.00013</v>
      </c>
      <c r="L581" s="39" t="n">
        <v>-0.00407</v>
      </c>
      <c r="M581" s="40" t="n">
        <v>0</v>
      </c>
      <c r="N581" s="39" t="n">
        <v>0.26313</v>
      </c>
      <c r="O581" s="40" t="n">
        <v>8E-005</v>
      </c>
      <c r="P581" s="39" t="n">
        <v>0.07413</v>
      </c>
      <c r="Q581" s="40" t="n">
        <v>6E-005</v>
      </c>
      <c r="R581" s="39" t="n">
        <v>0.3489</v>
      </c>
      <c r="S581" s="40" t="n">
        <v>0.00015</v>
      </c>
      <c r="T581" s="39" t="n">
        <v>0.05141</v>
      </c>
      <c r="U581" s="40" t="n">
        <v>7E-005</v>
      </c>
      <c r="V581" s="39" t="n">
        <v>0.29021</v>
      </c>
      <c r="W581" s="40" t="n">
        <v>0.0002</v>
      </c>
      <c r="X581" s="39" t="n">
        <v>0.00613</v>
      </c>
      <c r="Y581" s="40" t="n">
        <v>1E-005</v>
      </c>
    </row>
    <row r="582" customFormat="false" ht="15" hidden="false" customHeight="false" outlineLevel="0" collapsed="false">
      <c r="A582" s="38" t="n">
        <v>637</v>
      </c>
      <c r="B582" s="39" t="n">
        <v>0.0056</v>
      </c>
      <c r="C582" s="40" t="n">
        <v>0</v>
      </c>
      <c r="D582" s="39" t="n">
        <v>-0.04301</v>
      </c>
      <c r="E582" s="40" t="n">
        <v>-8E-005</v>
      </c>
      <c r="F582" s="39" t="n">
        <v>0.02818</v>
      </c>
      <c r="G582" s="40" t="n">
        <v>1E-005</v>
      </c>
      <c r="H582" s="39" t="n">
        <v>0.19159</v>
      </c>
      <c r="I582" s="40" t="n">
        <v>3E-005</v>
      </c>
      <c r="J582" s="39" t="n">
        <v>0.24352</v>
      </c>
      <c r="K582" s="40" t="n">
        <v>0.00013</v>
      </c>
      <c r="L582" s="39" t="n">
        <v>-0.00387</v>
      </c>
      <c r="M582" s="40" t="n">
        <v>1E-005</v>
      </c>
      <c r="N582" s="39" t="n">
        <v>0.26187</v>
      </c>
      <c r="O582" s="40" t="n">
        <v>9E-005</v>
      </c>
      <c r="P582" s="39" t="n">
        <v>0.07355</v>
      </c>
      <c r="Q582" s="40" t="n">
        <v>6E-005</v>
      </c>
      <c r="R582" s="39" t="n">
        <v>0.34697</v>
      </c>
      <c r="S582" s="40" t="n">
        <v>0.00015</v>
      </c>
      <c r="T582" s="39" t="n">
        <v>0.05055</v>
      </c>
      <c r="U582" s="40" t="n">
        <v>7E-005</v>
      </c>
      <c r="V582" s="39" t="n">
        <v>0.28777</v>
      </c>
      <c r="W582" s="40" t="n">
        <v>0.0002</v>
      </c>
      <c r="X582" s="39" t="n">
        <v>0.00611</v>
      </c>
      <c r="Y582" s="40" t="n">
        <v>0</v>
      </c>
    </row>
    <row r="583" customFormat="false" ht="15" hidden="false" customHeight="false" outlineLevel="0" collapsed="false">
      <c r="A583" s="38" t="n">
        <v>638</v>
      </c>
      <c r="B583" s="39" t="n">
        <v>0.00539</v>
      </c>
      <c r="C583" s="40" t="n">
        <v>0</v>
      </c>
      <c r="D583" s="39" t="n">
        <v>-0.04283</v>
      </c>
      <c r="E583" s="40" t="n">
        <v>-5E-005</v>
      </c>
      <c r="F583" s="39" t="n">
        <v>0.02787</v>
      </c>
      <c r="G583" s="40" t="n">
        <v>1E-005</v>
      </c>
      <c r="H583" s="39" t="n">
        <v>0.19105</v>
      </c>
      <c r="I583" s="40" t="n">
        <v>3E-005</v>
      </c>
      <c r="J583" s="39" t="n">
        <v>0.2419</v>
      </c>
      <c r="K583" s="40" t="n">
        <v>0.00012</v>
      </c>
      <c r="L583" s="39" t="n">
        <v>-0.00374</v>
      </c>
      <c r="M583" s="40" t="n">
        <v>0</v>
      </c>
      <c r="N583" s="39" t="n">
        <v>0.26119</v>
      </c>
      <c r="O583" s="40" t="n">
        <v>9E-005</v>
      </c>
      <c r="P583" s="39" t="n">
        <v>0.07284</v>
      </c>
      <c r="Q583" s="40" t="n">
        <v>6E-005</v>
      </c>
      <c r="R583" s="39" t="n">
        <v>0.34493</v>
      </c>
      <c r="S583" s="40" t="n">
        <v>0.00016</v>
      </c>
      <c r="T583" s="39" t="n">
        <v>0.0499</v>
      </c>
      <c r="U583" s="40" t="n">
        <v>7E-005</v>
      </c>
      <c r="V583" s="39" t="n">
        <v>0.28567</v>
      </c>
      <c r="W583" s="40" t="n">
        <v>0.0002</v>
      </c>
      <c r="X583" s="39" t="n">
        <v>0.00594</v>
      </c>
      <c r="Y583" s="40" t="n">
        <v>0</v>
      </c>
    </row>
    <row r="584" customFormat="false" ht="15" hidden="false" customHeight="false" outlineLevel="0" collapsed="false">
      <c r="A584" s="38" t="n">
        <v>639</v>
      </c>
      <c r="B584" s="39" t="n">
        <v>0.00543</v>
      </c>
      <c r="C584" s="40" t="n">
        <v>1E-005</v>
      </c>
      <c r="D584" s="39" t="n">
        <v>-0.04218</v>
      </c>
      <c r="E584" s="40" t="n">
        <v>-2E-005</v>
      </c>
      <c r="F584" s="39" t="n">
        <v>0.02761</v>
      </c>
      <c r="G584" s="40" t="n">
        <v>2E-005</v>
      </c>
      <c r="H584" s="39" t="n">
        <v>0.19091</v>
      </c>
      <c r="I584" s="40" t="n">
        <v>3E-005</v>
      </c>
      <c r="J584" s="39" t="n">
        <v>0.24043</v>
      </c>
      <c r="K584" s="40" t="n">
        <v>0.00011</v>
      </c>
      <c r="L584" s="39" t="n">
        <v>-0.00372</v>
      </c>
      <c r="M584" s="40" t="n">
        <v>0</v>
      </c>
      <c r="N584" s="39" t="n">
        <v>0.25984</v>
      </c>
      <c r="O584" s="40" t="n">
        <v>9E-005</v>
      </c>
      <c r="P584" s="39" t="n">
        <v>0.072</v>
      </c>
      <c r="Q584" s="40" t="n">
        <v>6E-005</v>
      </c>
      <c r="R584" s="39" t="n">
        <v>0.34308</v>
      </c>
      <c r="S584" s="40" t="n">
        <v>0.00016</v>
      </c>
      <c r="T584" s="39" t="n">
        <v>0.04908</v>
      </c>
      <c r="U584" s="40" t="n">
        <v>7E-005</v>
      </c>
      <c r="V584" s="39" t="n">
        <v>0.28315</v>
      </c>
      <c r="W584" s="40" t="n">
        <v>0.00019</v>
      </c>
      <c r="X584" s="39" t="n">
        <v>0.006</v>
      </c>
      <c r="Y584" s="40" t="n">
        <v>1E-005</v>
      </c>
    </row>
    <row r="585" customFormat="false" ht="15" hidden="false" customHeight="false" outlineLevel="0" collapsed="false">
      <c r="A585" s="38" t="n">
        <v>640</v>
      </c>
      <c r="B585" s="39" t="n">
        <v>0.00529</v>
      </c>
      <c r="C585" s="40" t="n">
        <v>1E-005</v>
      </c>
      <c r="D585" s="39" t="n">
        <v>-0.0399</v>
      </c>
      <c r="E585" s="40" t="n">
        <v>-1E-005</v>
      </c>
      <c r="F585" s="39" t="n">
        <v>0.0278</v>
      </c>
      <c r="G585" s="40" t="n">
        <v>3E-005</v>
      </c>
      <c r="H585" s="39" t="n">
        <v>0.19069</v>
      </c>
      <c r="I585" s="40" t="n">
        <v>2E-005</v>
      </c>
      <c r="J585" s="39" t="n">
        <v>0.23929</v>
      </c>
      <c r="K585" s="40" t="n">
        <v>0.00011</v>
      </c>
      <c r="L585" s="39" t="n">
        <v>-0.00396</v>
      </c>
      <c r="M585" s="40" t="n">
        <v>0</v>
      </c>
      <c r="N585" s="39" t="n">
        <v>0.2585</v>
      </c>
      <c r="O585" s="40" t="n">
        <v>9E-005</v>
      </c>
      <c r="P585" s="39" t="n">
        <v>0.07146</v>
      </c>
      <c r="Q585" s="40" t="n">
        <v>5E-005</v>
      </c>
      <c r="R585" s="39" t="n">
        <v>0.34126</v>
      </c>
      <c r="S585" s="40" t="n">
        <v>0.00016</v>
      </c>
      <c r="T585" s="39" t="n">
        <v>0.04803</v>
      </c>
      <c r="U585" s="40" t="n">
        <v>6E-005</v>
      </c>
      <c r="V585" s="39" t="n">
        <v>0.28075</v>
      </c>
      <c r="W585" s="40" t="n">
        <v>0.00019</v>
      </c>
      <c r="X585" s="39" t="n">
        <v>0.00602</v>
      </c>
      <c r="Y585" s="40" t="n">
        <v>1E-005</v>
      </c>
    </row>
    <row r="586" customFormat="false" ht="15" hidden="false" customHeight="false" outlineLevel="0" collapsed="false">
      <c r="A586" s="38" t="n">
        <v>641</v>
      </c>
      <c r="B586" s="39" t="n">
        <v>0.00477</v>
      </c>
      <c r="C586" s="40" t="n">
        <v>1E-005</v>
      </c>
      <c r="D586" s="39" t="n">
        <v>-0.04095</v>
      </c>
      <c r="E586" s="40" t="n">
        <v>-1E-005</v>
      </c>
      <c r="F586" s="39" t="n">
        <v>0.02715</v>
      </c>
      <c r="G586" s="40" t="n">
        <v>3E-005</v>
      </c>
      <c r="H586" s="39" t="n">
        <v>0.19042</v>
      </c>
      <c r="I586" s="40" t="n">
        <v>1E-005</v>
      </c>
      <c r="J586" s="39" t="n">
        <v>0.23802</v>
      </c>
      <c r="K586" s="40" t="n">
        <v>0.00011</v>
      </c>
      <c r="L586" s="39" t="n">
        <v>-0.00419</v>
      </c>
      <c r="M586" s="40" t="n">
        <v>0</v>
      </c>
      <c r="N586" s="39" t="n">
        <v>0.25778</v>
      </c>
      <c r="O586" s="40" t="n">
        <v>8E-005</v>
      </c>
      <c r="P586" s="39" t="n">
        <v>0.07102</v>
      </c>
      <c r="Q586" s="40" t="n">
        <v>5E-005</v>
      </c>
      <c r="R586" s="39" t="n">
        <v>0.33928</v>
      </c>
      <c r="S586" s="40" t="n">
        <v>0.00016</v>
      </c>
      <c r="T586" s="39" t="n">
        <v>0.04723</v>
      </c>
      <c r="U586" s="40" t="n">
        <v>6E-005</v>
      </c>
      <c r="V586" s="39" t="n">
        <v>0.27874</v>
      </c>
      <c r="W586" s="40" t="n">
        <v>0.00019</v>
      </c>
      <c r="X586" s="39" t="n">
        <v>0.00603</v>
      </c>
      <c r="Y586" s="40" t="n">
        <v>1E-005</v>
      </c>
    </row>
    <row r="587" customFormat="false" ht="15" hidden="false" customHeight="false" outlineLevel="0" collapsed="false">
      <c r="A587" s="38" t="n">
        <v>642</v>
      </c>
      <c r="B587" s="39" t="n">
        <v>0.00476</v>
      </c>
      <c r="C587" s="40" t="n">
        <v>0</v>
      </c>
      <c r="D587" s="39" t="n">
        <v>-0.04243</v>
      </c>
      <c r="E587" s="40" t="n">
        <v>-1E-005</v>
      </c>
      <c r="F587" s="39" t="n">
        <v>0.02648</v>
      </c>
      <c r="G587" s="40" t="n">
        <v>3E-005</v>
      </c>
      <c r="H587" s="39" t="n">
        <v>0.19043</v>
      </c>
      <c r="I587" s="40" t="n">
        <v>1E-005</v>
      </c>
      <c r="J587" s="39" t="n">
        <v>0.23683</v>
      </c>
      <c r="K587" s="40" t="n">
        <v>0.00011</v>
      </c>
      <c r="L587" s="39" t="n">
        <v>-0.00383</v>
      </c>
      <c r="M587" s="40" t="n">
        <v>0</v>
      </c>
      <c r="N587" s="39" t="n">
        <v>0.25689</v>
      </c>
      <c r="O587" s="40" t="n">
        <v>9E-005</v>
      </c>
      <c r="P587" s="39" t="n">
        <v>0.07017</v>
      </c>
      <c r="Q587" s="40" t="n">
        <v>5E-005</v>
      </c>
      <c r="R587" s="39" t="n">
        <v>0.33724</v>
      </c>
      <c r="S587" s="40" t="n">
        <v>0.00016</v>
      </c>
      <c r="T587" s="39" t="n">
        <v>0.04676</v>
      </c>
      <c r="U587" s="40" t="n">
        <v>6E-005</v>
      </c>
      <c r="V587" s="39" t="n">
        <v>0.27631</v>
      </c>
      <c r="W587" s="40" t="n">
        <v>0.00019</v>
      </c>
      <c r="X587" s="39" t="n">
        <v>0.00579</v>
      </c>
      <c r="Y587" s="40" t="n">
        <v>0</v>
      </c>
    </row>
    <row r="588" customFormat="false" ht="15" hidden="false" customHeight="false" outlineLevel="0" collapsed="false">
      <c r="A588" s="38" t="n">
        <v>643</v>
      </c>
      <c r="B588" s="39" t="n">
        <v>0.00503</v>
      </c>
      <c r="C588" s="40" t="n">
        <v>0</v>
      </c>
      <c r="D588" s="39" t="n">
        <v>-0.04247</v>
      </c>
      <c r="E588" s="40" t="n">
        <v>0</v>
      </c>
      <c r="F588" s="39" t="n">
        <v>0.026</v>
      </c>
      <c r="G588" s="40" t="n">
        <v>4E-005</v>
      </c>
      <c r="H588" s="39" t="n">
        <v>0.18999</v>
      </c>
      <c r="I588" s="40" t="n">
        <v>2E-005</v>
      </c>
      <c r="J588" s="39" t="n">
        <v>0.23533</v>
      </c>
      <c r="K588" s="40" t="n">
        <v>0.00012</v>
      </c>
      <c r="L588" s="39" t="n">
        <v>-0.00368</v>
      </c>
      <c r="M588" s="40" t="n">
        <v>0</v>
      </c>
      <c r="N588" s="39" t="n">
        <v>0.25583</v>
      </c>
      <c r="O588" s="40" t="n">
        <v>8E-005</v>
      </c>
      <c r="P588" s="39" t="n">
        <v>0.06956</v>
      </c>
      <c r="Q588" s="40" t="n">
        <v>5E-005</v>
      </c>
      <c r="R588" s="39" t="n">
        <v>0.33536</v>
      </c>
      <c r="S588" s="40" t="n">
        <v>0.00016</v>
      </c>
      <c r="T588" s="39" t="n">
        <v>0.04599</v>
      </c>
      <c r="U588" s="40" t="n">
        <v>6E-005</v>
      </c>
      <c r="V588" s="39" t="n">
        <v>0.27386</v>
      </c>
      <c r="W588" s="40" t="n">
        <v>0.00019</v>
      </c>
      <c r="X588" s="39" t="n">
        <v>0.00553</v>
      </c>
      <c r="Y588" s="40" t="n">
        <v>0</v>
      </c>
    </row>
    <row r="589" customFormat="false" ht="15" hidden="false" customHeight="false" outlineLevel="0" collapsed="false">
      <c r="A589" s="38" t="n">
        <v>644</v>
      </c>
      <c r="B589" s="39" t="n">
        <v>0.00503</v>
      </c>
      <c r="C589" s="40" t="n">
        <v>0</v>
      </c>
      <c r="D589" s="39" t="n">
        <v>-0.04103</v>
      </c>
      <c r="E589" s="40" t="n">
        <v>2E-005</v>
      </c>
      <c r="F589" s="39" t="n">
        <v>0.0256</v>
      </c>
      <c r="G589" s="40" t="n">
        <v>5E-005</v>
      </c>
      <c r="H589" s="39" t="n">
        <v>0.18999</v>
      </c>
      <c r="I589" s="40" t="n">
        <v>2E-005</v>
      </c>
      <c r="J589" s="39" t="n">
        <v>0.23352</v>
      </c>
      <c r="K589" s="40" t="n">
        <v>0.00012</v>
      </c>
      <c r="L589" s="39" t="n">
        <v>-0.00391</v>
      </c>
      <c r="M589" s="40" t="n">
        <v>0</v>
      </c>
      <c r="N589" s="39" t="n">
        <v>0.25488</v>
      </c>
      <c r="O589" s="40" t="n">
        <v>8E-005</v>
      </c>
      <c r="P589" s="39" t="n">
        <v>0.06898</v>
      </c>
      <c r="Q589" s="40" t="n">
        <v>6E-005</v>
      </c>
      <c r="R589" s="39" t="n">
        <v>0.33354</v>
      </c>
      <c r="S589" s="40" t="n">
        <v>0.00016</v>
      </c>
      <c r="T589" s="39" t="n">
        <v>0.04529</v>
      </c>
      <c r="U589" s="40" t="n">
        <v>6E-005</v>
      </c>
      <c r="V589" s="39" t="n">
        <v>0.27161</v>
      </c>
      <c r="W589" s="40" t="n">
        <v>0.00019</v>
      </c>
      <c r="X589" s="39" t="n">
        <v>0.00573</v>
      </c>
      <c r="Y589" s="40" t="n">
        <v>0</v>
      </c>
    </row>
    <row r="590" customFormat="false" ht="15" hidden="false" customHeight="false" outlineLevel="0" collapsed="false">
      <c r="A590" s="38" t="n">
        <v>645</v>
      </c>
      <c r="B590" s="39" t="n">
        <v>0.00476</v>
      </c>
      <c r="C590" s="40" t="n">
        <v>0</v>
      </c>
      <c r="D590" s="39" t="n">
        <v>-0.04122</v>
      </c>
      <c r="E590" s="40" t="n">
        <v>-2E-005</v>
      </c>
      <c r="F590" s="39" t="n">
        <v>0.0252</v>
      </c>
      <c r="G590" s="40" t="n">
        <v>4E-005</v>
      </c>
      <c r="H590" s="39" t="n">
        <v>0.18977</v>
      </c>
      <c r="I590" s="40" t="n">
        <v>2E-005</v>
      </c>
      <c r="J590" s="39" t="n">
        <v>0.23211</v>
      </c>
      <c r="K590" s="40" t="n">
        <v>0.00012</v>
      </c>
      <c r="L590" s="39" t="n">
        <v>-0.00392</v>
      </c>
      <c r="M590" s="40" t="n">
        <v>0</v>
      </c>
      <c r="N590" s="39" t="n">
        <v>0.2537</v>
      </c>
      <c r="O590" s="40" t="n">
        <v>9E-005</v>
      </c>
      <c r="P590" s="39" t="n">
        <v>0.06844</v>
      </c>
      <c r="Q590" s="40" t="n">
        <v>5E-005</v>
      </c>
      <c r="R590" s="39" t="n">
        <v>0.33165</v>
      </c>
      <c r="S590" s="40" t="n">
        <v>0.00015</v>
      </c>
      <c r="T590" s="39" t="n">
        <v>0.04454</v>
      </c>
      <c r="U590" s="40" t="n">
        <v>6E-005</v>
      </c>
      <c r="V590" s="39" t="n">
        <v>0.26919</v>
      </c>
      <c r="W590" s="40" t="n">
        <v>0.0002</v>
      </c>
      <c r="X590" s="39" t="n">
        <v>0.00571</v>
      </c>
      <c r="Y590" s="40" t="n">
        <v>0</v>
      </c>
    </row>
    <row r="591" customFormat="false" ht="15" hidden="false" customHeight="false" outlineLevel="0" collapsed="false">
      <c r="A591" s="38" t="n">
        <v>646</v>
      </c>
      <c r="B591" s="39" t="n">
        <v>0.00503</v>
      </c>
      <c r="C591" s="40" t="n">
        <v>0</v>
      </c>
      <c r="D591" s="39" t="n">
        <v>-0.04062</v>
      </c>
      <c r="E591" s="40" t="n">
        <v>-3E-005</v>
      </c>
      <c r="F591" s="39" t="n">
        <v>0.02495</v>
      </c>
      <c r="G591" s="40" t="n">
        <v>3E-005</v>
      </c>
      <c r="H591" s="39" t="n">
        <v>0.18948</v>
      </c>
      <c r="I591" s="40" t="n">
        <v>2E-005</v>
      </c>
      <c r="J591" s="39" t="n">
        <v>0.23097</v>
      </c>
      <c r="K591" s="40" t="n">
        <v>0.00013</v>
      </c>
      <c r="L591" s="39" t="n">
        <v>-0.00401</v>
      </c>
      <c r="M591" s="40" t="n">
        <v>1E-005</v>
      </c>
      <c r="N591" s="39" t="n">
        <v>0.2526</v>
      </c>
      <c r="O591" s="40" t="n">
        <v>0.0001</v>
      </c>
      <c r="P591" s="39" t="n">
        <v>0.06786</v>
      </c>
      <c r="Q591" s="40" t="n">
        <v>5E-005</v>
      </c>
      <c r="R591" s="39" t="n">
        <v>0.32987</v>
      </c>
      <c r="S591" s="40" t="n">
        <v>0.00015</v>
      </c>
      <c r="T591" s="39" t="n">
        <v>0.04374</v>
      </c>
      <c r="U591" s="40" t="n">
        <v>7E-005</v>
      </c>
      <c r="V591" s="39" t="n">
        <v>0.26697</v>
      </c>
      <c r="W591" s="40" t="n">
        <v>0.0002</v>
      </c>
      <c r="X591" s="39" t="n">
        <v>0.00579</v>
      </c>
      <c r="Y591" s="40" t="n">
        <v>0</v>
      </c>
    </row>
    <row r="592" customFormat="false" ht="15" hidden="false" customHeight="false" outlineLevel="0" collapsed="false">
      <c r="A592" s="38" t="n">
        <v>647</v>
      </c>
      <c r="B592" s="39" t="n">
        <v>0.00482</v>
      </c>
      <c r="C592" s="40" t="n">
        <v>0</v>
      </c>
      <c r="D592" s="39" t="n">
        <v>-0.04112</v>
      </c>
      <c r="E592" s="40" t="n">
        <v>-3E-005</v>
      </c>
      <c r="F592" s="39" t="n">
        <v>0.02433</v>
      </c>
      <c r="G592" s="40" t="n">
        <v>4E-005</v>
      </c>
      <c r="H592" s="39" t="n">
        <v>0.18912</v>
      </c>
      <c r="I592" s="40" t="n">
        <v>2E-005</v>
      </c>
      <c r="J592" s="39" t="n">
        <v>0.2294</v>
      </c>
      <c r="K592" s="40" t="n">
        <v>0.00012</v>
      </c>
      <c r="L592" s="39" t="n">
        <v>-0.00411</v>
      </c>
      <c r="M592" s="40" t="n">
        <v>0</v>
      </c>
      <c r="N592" s="39" t="n">
        <v>0.2516</v>
      </c>
      <c r="O592" s="40" t="n">
        <v>0.0001</v>
      </c>
      <c r="P592" s="39" t="n">
        <v>0.06688</v>
      </c>
      <c r="Q592" s="40" t="n">
        <v>5E-005</v>
      </c>
      <c r="R592" s="39" t="n">
        <v>0.32799</v>
      </c>
      <c r="S592" s="40" t="n">
        <v>0.00016</v>
      </c>
      <c r="T592" s="39" t="n">
        <v>0.04275</v>
      </c>
      <c r="U592" s="40" t="n">
        <v>6E-005</v>
      </c>
      <c r="V592" s="39" t="n">
        <v>0.26453</v>
      </c>
      <c r="W592" s="40" t="n">
        <v>0.00019</v>
      </c>
      <c r="X592" s="39" t="n">
        <v>0.00571</v>
      </c>
      <c r="Y592" s="40" t="n">
        <v>1E-005</v>
      </c>
    </row>
    <row r="593" customFormat="false" ht="15" hidden="false" customHeight="false" outlineLevel="0" collapsed="false">
      <c r="A593" s="38" t="n">
        <v>648</v>
      </c>
      <c r="B593" s="39" t="n">
        <v>0.00461</v>
      </c>
      <c r="C593" s="40" t="n">
        <v>0</v>
      </c>
      <c r="D593" s="39" t="n">
        <v>-0.04142</v>
      </c>
      <c r="E593" s="40" t="n">
        <v>-4E-005</v>
      </c>
      <c r="F593" s="39" t="n">
        <v>0.02346</v>
      </c>
      <c r="G593" s="40" t="n">
        <v>4E-005</v>
      </c>
      <c r="H593" s="39" t="n">
        <v>0.18898</v>
      </c>
      <c r="I593" s="40" t="n">
        <v>2E-005</v>
      </c>
      <c r="J593" s="39" t="n">
        <v>0.22783</v>
      </c>
      <c r="K593" s="40" t="n">
        <v>0.00012</v>
      </c>
      <c r="L593" s="39" t="n">
        <v>-0.00401</v>
      </c>
      <c r="M593" s="40" t="n">
        <v>0</v>
      </c>
      <c r="N593" s="39" t="n">
        <v>0.25024</v>
      </c>
      <c r="O593" s="40" t="n">
        <v>0.0001</v>
      </c>
      <c r="P593" s="39" t="n">
        <v>0.06641</v>
      </c>
      <c r="Q593" s="40" t="n">
        <v>5E-005</v>
      </c>
      <c r="R593" s="39" t="n">
        <v>0.32611</v>
      </c>
      <c r="S593" s="40" t="n">
        <v>0.00016</v>
      </c>
      <c r="T593" s="39" t="n">
        <v>0.04231</v>
      </c>
      <c r="U593" s="40" t="n">
        <v>6E-005</v>
      </c>
      <c r="V593" s="39" t="n">
        <v>0.26217</v>
      </c>
      <c r="W593" s="40" t="n">
        <v>0.0002</v>
      </c>
      <c r="X593" s="39" t="n">
        <v>0.0057</v>
      </c>
      <c r="Y593" s="40" t="n">
        <v>1E-005</v>
      </c>
    </row>
    <row r="594" customFormat="false" ht="15" hidden="false" customHeight="false" outlineLevel="0" collapsed="false">
      <c r="A594" s="38" t="n">
        <v>649</v>
      </c>
      <c r="B594" s="39" t="n">
        <v>0.00496</v>
      </c>
      <c r="C594" s="40" t="n">
        <v>0</v>
      </c>
      <c r="D594" s="39" t="n">
        <v>-0.03969</v>
      </c>
      <c r="E594" s="40" t="n">
        <v>-4E-005</v>
      </c>
      <c r="F594" s="39" t="n">
        <v>0.02349</v>
      </c>
      <c r="G594" s="40" t="n">
        <v>3E-005</v>
      </c>
      <c r="H594" s="39" t="n">
        <v>0.18845</v>
      </c>
      <c r="I594" s="40" t="n">
        <v>2E-005</v>
      </c>
      <c r="J594" s="39" t="n">
        <v>0.22625</v>
      </c>
      <c r="K594" s="40" t="n">
        <v>0.00012</v>
      </c>
      <c r="L594" s="39" t="n">
        <v>-0.00412</v>
      </c>
      <c r="M594" s="40" t="n">
        <v>0</v>
      </c>
      <c r="N594" s="39" t="n">
        <v>0.24901</v>
      </c>
      <c r="O594" s="40" t="n">
        <v>0.0001</v>
      </c>
      <c r="P594" s="39" t="n">
        <v>0.06607</v>
      </c>
      <c r="Q594" s="40" t="n">
        <v>5E-005</v>
      </c>
      <c r="R594" s="39" t="n">
        <v>0.32422</v>
      </c>
      <c r="S594" s="40" t="n">
        <v>0.00016</v>
      </c>
      <c r="T594" s="39" t="n">
        <v>0.04172</v>
      </c>
      <c r="U594" s="40" t="n">
        <v>5E-005</v>
      </c>
      <c r="V594" s="39" t="n">
        <v>0.25982</v>
      </c>
      <c r="W594" s="40" t="n">
        <v>0.0002</v>
      </c>
      <c r="X594" s="39" t="n">
        <v>0.00536</v>
      </c>
      <c r="Y594" s="40" t="n">
        <v>1E-005</v>
      </c>
    </row>
    <row r="595" customFormat="false" ht="15" hidden="false" customHeight="false" outlineLevel="0" collapsed="false">
      <c r="A595" s="38" t="n">
        <v>650</v>
      </c>
      <c r="B595" s="39" t="n">
        <v>0.00503</v>
      </c>
      <c r="C595" s="40" t="n">
        <v>1E-005</v>
      </c>
      <c r="D595" s="39" t="n">
        <v>-0.03963</v>
      </c>
      <c r="E595" s="40" t="n">
        <v>-3E-005</v>
      </c>
      <c r="F595" s="39" t="n">
        <v>0.02327</v>
      </c>
      <c r="G595" s="40" t="n">
        <v>3E-005</v>
      </c>
      <c r="H595" s="39" t="n">
        <v>0.18837</v>
      </c>
      <c r="I595" s="40" t="n">
        <v>2E-005</v>
      </c>
      <c r="J595" s="39" t="n">
        <v>0.22474</v>
      </c>
      <c r="K595" s="40" t="n">
        <v>0.00013</v>
      </c>
      <c r="L595" s="39" t="n">
        <v>-0.00402</v>
      </c>
      <c r="M595" s="40" t="n">
        <v>0</v>
      </c>
      <c r="N595" s="39" t="n">
        <v>0.24789</v>
      </c>
      <c r="O595" s="40" t="n">
        <v>0.0001</v>
      </c>
      <c r="P595" s="39" t="n">
        <v>0.06551</v>
      </c>
      <c r="Q595" s="40" t="n">
        <v>5E-005</v>
      </c>
      <c r="R595" s="39" t="n">
        <v>0.32221</v>
      </c>
      <c r="S595" s="40" t="n">
        <v>0.00016</v>
      </c>
      <c r="T595" s="39" t="n">
        <v>0.04086</v>
      </c>
      <c r="U595" s="40" t="n">
        <v>5E-005</v>
      </c>
      <c r="V595" s="39" t="n">
        <v>0.25741</v>
      </c>
      <c r="W595" s="40" t="n">
        <v>0.00019</v>
      </c>
      <c r="X595" s="39" t="n">
        <v>0.00512</v>
      </c>
      <c r="Y595" s="40" t="n">
        <v>1E-005</v>
      </c>
    </row>
    <row r="596" customFormat="false" ht="15" hidden="false" customHeight="false" outlineLevel="0" collapsed="false">
      <c r="A596" s="38" t="n">
        <v>651</v>
      </c>
      <c r="B596" s="39" t="n">
        <v>0.00497</v>
      </c>
      <c r="C596" s="40" t="n">
        <v>1E-005</v>
      </c>
      <c r="D596" s="39" t="n">
        <v>-0.03922</v>
      </c>
      <c r="E596" s="40" t="n">
        <v>-3E-005</v>
      </c>
      <c r="F596" s="39" t="n">
        <v>0.02255</v>
      </c>
      <c r="G596" s="40" t="n">
        <v>2E-005</v>
      </c>
      <c r="H596" s="39" t="n">
        <v>0.18818</v>
      </c>
      <c r="I596" s="40" t="n">
        <v>2E-005</v>
      </c>
      <c r="J596" s="39" t="n">
        <v>0.22335</v>
      </c>
      <c r="K596" s="40" t="n">
        <v>0.00013</v>
      </c>
      <c r="L596" s="39" t="n">
        <v>-0.00398</v>
      </c>
      <c r="M596" s="40" t="n">
        <v>-1E-005</v>
      </c>
      <c r="N596" s="39" t="n">
        <v>0.24659</v>
      </c>
      <c r="O596" s="40" t="n">
        <v>0.0001</v>
      </c>
      <c r="P596" s="39" t="n">
        <v>0.06483</v>
      </c>
      <c r="Q596" s="40" t="n">
        <v>4E-005</v>
      </c>
      <c r="R596" s="39" t="n">
        <v>0.32037</v>
      </c>
      <c r="S596" s="40" t="n">
        <v>0.00016</v>
      </c>
      <c r="T596" s="39" t="n">
        <v>0.04045</v>
      </c>
      <c r="U596" s="40" t="n">
        <v>5E-005</v>
      </c>
      <c r="V596" s="39" t="n">
        <v>0.25518</v>
      </c>
      <c r="W596" s="40" t="n">
        <v>0.00019</v>
      </c>
      <c r="X596" s="39" t="n">
        <v>0.00513</v>
      </c>
      <c r="Y596" s="40" t="n">
        <v>1E-005</v>
      </c>
    </row>
    <row r="597" customFormat="false" ht="15" hidden="false" customHeight="false" outlineLevel="0" collapsed="false">
      <c r="A597" s="38" t="n">
        <v>652</v>
      </c>
      <c r="B597" s="39" t="n">
        <v>0.00444</v>
      </c>
      <c r="C597" s="40" t="n">
        <v>0</v>
      </c>
      <c r="D597" s="39" t="n">
        <v>-0.03724</v>
      </c>
      <c r="E597" s="40" t="n">
        <v>0</v>
      </c>
      <c r="F597" s="39" t="n">
        <v>0.02267</v>
      </c>
      <c r="G597" s="40" t="n">
        <v>1E-005</v>
      </c>
      <c r="H597" s="39" t="n">
        <v>0.18792</v>
      </c>
      <c r="I597" s="40" t="n">
        <v>2E-005</v>
      </c>
      <c r="J597" s="39" t="n">
        <v>0.22211</v>
      </c>
      <c r="K597" s="40" t="n">
        <v>0.00013</v>
      </c>
      <c r="L597" s="39" t="n">
        <v>-0.00414</v>
      </c>
      <c r="M597" s="40" t="n">
        <v>0</v>
      </c>
      <c r="N597" s="39" t="n">
        <v>0.24553</v>
      </c>
      <c r="O597" s="40" t="n">
        <v>9E-005</v>
      </c>
      <c r="P597" s="39" t="n">
        <v>0.06417</v>
      </c>
      <c r="Q597" s="40" t="n">
        <v>5E-005</v>
      </c>
      <c r="R597" s="39" t="n">
        <v>0.31838</v>
      </c>
      <c r="S597" s="40" t="n">
        <v>0.00016</v>
      </c>
      <c r="T597" s="39" t="n">
        <v>0.03983</v>
      </c>
      <c r="U597" s="40" t="n">
        <v>5E-005</v>
      </c>
      <c r="V597" s="39" t="n">
        <v>0.25277</v>
      </c>
      <c r="W597" s="40" t="n">
        <v>0.00019</v>
      </c>
      <c r="X597" s="39" t="n">
        <v>0.00499</v>
      </c>
      <c r="Y597" s="40" t="n">
        <v>0</v>
      </c>
    </row>
    <row r="598" customFormat="false" ht="15" hidden="false" customHeight="false" outlineLevel="0" collapsed="false">
      <c r="A598" s="38" t="n">
        <v>653</v>
      </c>
      <c r="B598" s="39" t="n">
        <v>0.00433</v>
      </c>
      <c r="C598" s="40" t="n">
        <v>1E-005</v>
      </c>
      <c r="D598" s="39" t="n">
        <v>-0.03953</v>
      </c>
      <c r="E598" s="40" t="n">
        <v>0</v>
      </c>
      <c r="F598" s="39" t="n">
        <v>0.02265</v>
      </c>
      <c r="G598" s="40" t="n">
        <v>3E-005</v>
      </c>
      <c r="H598" s="39" t="n">
        <v>0.18788</v>
      </c>
      <c r="I598" s="40" t="n">
        <v>1E-005</v>
      </c>
      <c r="J598" s="39" t="n">
        <v>0.22016</v>
      </c>
      <c r="K598" s="40" t="n">
        <v>0.00013</v>
      </c>
      <c r="L598" s="39" t="n">
        <v>-0.00391</v>
      </c>
      <c r="M598" s="40" t="n">
        <v>0</v>
      </c>
      <c r="N598" s="39" t="n">
        <v>0.24431</v>
      </c>
      <c r="O598" s="40" t="n">
        <v>9E-005</v>
      </c>
      <c r="P598" s="39" t="n">
        <v>0.06373</v>
      </c>
      <c r="Q598" s="40" t="n">
        <v>5E-005</v>
      </c>
      <c r="R598" s="39" t="n">
        <v>0.31668</v>
      </c>
      <c r="S598" s="40" t="n">
        <v>0.00016</v>
      </c>
      <c r="T598" s="39" t="n">
        <v>0.03917</v>
      </c>
      <c r="U598" s="40" t="n">
        <v>5E-005</v>
      </c>
      <c r="V598" s="39" t="n">
        <v>0.25055</v>
      </c>
      <c r="W598" s="40" t="n">
        <v>0.00019</v>
      </c>
      <c r="X598" s="39" t="n">
        <v>0.00522</v>
      </c>
      <c r="Y598" s="40" t="n">
        <v>0</v>
      </c>
    </row>
    <row r="599" customFormat="false" ht="15" hidden="false" customHeight="false" outlineLevel="0" collapsed="false">
      <c r="A599" s="38" t="n">
        <v>654</v>
      </c>
      <c r="B599" s="39" t="n">
        <v>0.0043</v>
      </c>
      <c r="C599" s="40" t="n">
        <v>1E-005</v>
      </c>
      <c r="D599" s="39" t="n">
        <v>-0.03976</v>
      </c>
      <c r="E599" s="40" t="n">
        <v>1E-005</v>
      </c>
      <c r="F599" s="39" t="n">
        <v>0.02213</v>
      </c>
      <c r="G599" s="40" t="n">
        <v>3E-005</v>
      </c>
      <c r="H599" s="39" t="n">
        <v>0.18758</v>
      </c>
      <c r="I599" s="40" t="n">
        <v>2E-005</v>
      </c>
      <c r="J599" s="39" t="n">
        <v>0.21856</v>
      </c>
      <c r="K599" s="40" t="n">
        <v>0.00013</v>
      </c>
      <c r="L599" s="39" t="n">
        <v>-0.00377</v>
      </c>
      <c r="M599" s="40" t="n">
        <v>0</v>
      </c>
      <c r="N599" s="39" t="n">
        <v>0.24331</v>
      </c>
      <c r="O599" s="40" t="n">
        <v>0.0001</v>
      </c>
      <c r="P599" s="39" t="n">
        <v>0.06306</v>
      </c>
      <c r="Q599" s="40" t="n">
        <v>5E-005</v>
      </c>
      <c r="R599" s="39" t="n">
        <v>0.31447</v>
      </c>
      <c r="S599" s="40" t="n">
        <v>0.00016</v>
      </c>
      <c r="T599" s="39" t="n">
        <v>0.03856</v>
      </c>
      <c r="U599" s="40" t="n">
        <v>5E-005</v>
      </c>
      <c r="V599" s="39" t="n">
        <v>0.24834</v>
      </c>
      <c r="W599" s="40" t="n">
        <v>0.00019</v>
      </c>
      <c r="X599" s="39" t="n">
        <v>0.0052</v>
      </c>
      <c r="Y599" s="40" t="n">
        <v>0</v>
      </c>
    </row>
    <row r="600" customFormat="false" ht="15" hidden="false" customHeight="false" outlineLevel="0" collapsed="false">
      <c r="A600" s="38" t="n">
        <v>655</v>
      </c>
      <c r="B600" s="39" t="n">
        <v>0.00466</v>
      </c>
      <c r="C600" s="40" t="n">
        <v>1E-005</v>
      </c>
      <c r="D600" s="39" t="n">
        <v>-0.03957</v>
      </c>
      <c r="E600" s="40" t="n">
        <v>2E-005</v>
      </c>
      <c r="F600" s="39" t="n">
        <v>0.02176</v>
      </c>
      <c r="G600" s="40" t="n">
        <v>3E-005</v>
      </c>
      <c r="H600" s="39" t="n">
        <v>0.18724</v>
      </c>
      <c r="I600" s="40" t="n">
        <v>2E-005</v>
      </c>
      <c r="J600" s="39" t="n">
        <v>0.21729</v>
      </c>
      <c r="K600" s="40" t="n">
        <v>0.00013</v>
      </c>
      <c r="L600" s="39" t="n">
        <v>-0.00383</v>
      </c>
      <c r="M600" s="40" t="n">
        <v>0</v>
      </c>
      <c r="N600" s="39" t="n">
        <v>0.24197</v>
      </c>
      <c r="O600" s="40" t="n">
        <v>0.0001</v>
      </c>
      <c r="P600" s="39" t="n">
        <v>0.0628</v>
      </c>
      <c r="Q600" s="40" t="n">
        <v>4E-005</v>
      </c>
      <c r="R600" s="39" t="n">
        <v>0.31266</v>
      </c>
      <c r="S600" s="40" t="n">
        <v>0.00016</v>
      </c>
      <c r="T600" s="39" t="n">
        <v>0.0378</v>
      </c>
      <c r="U600" s="40" t="n">
        <v>5E-005</v>
      </c>
      <c r="V600" s="39" t="n">
        <v>0.24607</v>
      </c>
      <c r="W600" s="40" t="n">
        <v>0.00019</v>
      </c>
      <c r="X600" s="39" t="n">
        <v>0.00513</v>
      </c>
      <c r="Y600" s="40" t="n">
        <v>0</v>
      </c>
    </row>
    <row r="601" customFormat="false" ht="15" hidden="false" customHeight="false" outlineLevel="0" collapsed="false">
      <c r="A601" s="38" t="n">
        <v>656</v>
      </c>
      <c r="B601" s="39" t="n">
        <v>0.00463</v>
      </c>
      <c r="C601" s="40" t="n">
        <v>1E-005</v>
      </c>
      <c r="D601" s="39" t="n">
        <v>-0.04005</v>
      </c>
      <c r="E601" s="40" t="n">
        <v>6E-005</v>
      </c>
      <c r="F601" s="39" t="n">
        <v>0.02153</v>
      </c>
      <c r="G601" s="40" t="n">
        <v>3E-005</v>
      </c>
      <c r="H601" s="39" t="n">
        <v>0.18723</v>
      </c>
      <c r="I601" s="40" t="n">
        <v>2E-005</v>
      </c>
      <c r="J601" s="39" t="n">
        <v>0.21531</v>
      </c>
      <c r="K601" s="40" t="n">
        <v>0.00013</v>
      </c>
      <c r="L601" s="39" t="n">
        <v>-0.00415</v>
      </c>
      <c r="M601" s="40" t="n">
        <v>0</v>
      </c>
      <c r="N601" s="39" t="n">
        <v>0.24077</v>
      </c>
      <c r="O601" s="40" t="n">
        <v>0.00011</v>
      </c>
      <c r="P601" s="39" t="n">
        <v>0.06203</v>
      </c>
      <c r="Q601" s="40" t="n">
        <v>4E-005</v>
      </c>
      <c r="R601" s="39" t="n">
        <v>0.31066</v>
      </c>
      <c r="S601" s="40" t="n">
        <v>0.00017</v>
      </c>
      <c r="T601" s="39" t="n">
        <v>0.03723</v>
      </c>
      <c r="U601" s="40" t="n">
        <v>5E-005</v>
      </c>
      <c r="V601" s="39" t="n">
        <v>0.2436</v>
      </c>
      <c r="W601" s="40" t="n">
        <v>0.00019</v>
      </c>
      <c r="X601" s="39" t="n">
        <v>0.00505</v>
      </c>
      <c r="Y601" s="40" t="n">
        <v>1E-005</v>
      </c>
    </row>
    <row r="602" customFormat="false" ht="15" hidden="false" customHeight="false" outlineLevel="0" collapsed="false">
      <c r="A602" s="38" t="n">
        <v>657</v>
      </c>
      <c r="B602" s="39" t="n">
        <v>0.00422</v>
      </c>
      <c r="C602" s="40" t="n">
        <v>1E-005</v>
      </c>
      <c r="D602" s="39" t="n">
        <v>-0.03868</v>
      </c>
      <c r="E602" s="40" t="n">
        <v>3E-005</v>
      </c>
      <c r="F602" s="39" t="n">
        <v>0.0207</v>
      </c>
      <c r="G602" s="40" t="n">
        <v>3E-005</v>
      </c>
      <c r="H602" s="39" t="n">
        <v>0.18671</v>
      </c>
      <c r="I602" s="40" t="n">
        <v>3E-005</v>
      </c>
      <c r="J602" s="39" t="n">
        <v>0.21393</v>
      </c>
      <c r="K602" s="40" t="n">
        <v>0.00013</v>
      </c>
      <c r="L602" s="39" t="n">
        <v>-0.0042</v>
      </c>
      <c r="M602" s="40" t="n">
        <v>0</v>
      </c>
      <c r="N602" s="39" t="n">
        <v>0.23951</v>
      </c>
      <c r="O602" s="40" t="n">
        <v>0.00012</v>
      </c>
      <c r="P602" s="39" t="n">
        <v>0.06148</v>
      </c>
      <c r="Q602" s="40" t="n">
        <v>5E-005</v>
      </c>
      <c r="R602" s="39" t="n">
        <v>0.30865</v>
      </c>
      <c r="S602" s="40" t="n">
        <v>0.00017</v>
      </c>
      <c r="T602" s="39" t="n">
        <v>0.03668</v>
      </c>
      <c r="U602" s="40" t="n">
        <v>5E-005</v>
      </c>
      <c r="V602" s="39" t="n">
        <v>0.24133</v>
      </c>
      <c r="W602" s="40" t="n">
        <v>0.00019</v>
      </c>
      <c r="X602" s="39" t="n">
        <v>0.00507</v>
      </c>
      <c r="Y602" s="40" t="n">
        <v>1E-005</v>
      </c>
    </row>
    <row r="603" customFormat="false" ht="15" hidden="false" customHeight="false" outlineLevel="0" collapsed="false">
      <c r="A603" s="38" t="n">
        <v>658</v>
      </c>
      <c r="B603" s="39" t="n">
        <v>0.00413</v>
      </c>
      <c r="C603" s="40" t="n">
        <v>1E-005</v>
      </c>
      <c r="D603" s="39" t="n">
        <v>-0.04001</v>
      </c>
      <c r="E603" s="40" t="n">
        <v>-1E-005</v>
      </c>
      <c r="F603" s="39" t="n">
        <v>0.02056</v>
      </c>
      <c r="G603" s="40" t="n">
        <v>3E-005</v>
      </c>
      <c r="H603" s="39" t="n">
        <v>0.18637</v>
      </c>
      <c r="I603" s="40" t="n">
        <v>2E-005</v>
      </c>
      <c r="J603" s="39" t="n">
        <v>0.21266</v>
      </c>
      <c r="K603" s="40" t="n">
        <v>0.00013</v>
      </c>
      <c r="L603" s="39" t="n">
        <v>-0.00414</v>
      </c>
      <c r="M603" s="40" t="n">
        <v>0</v>
      </c>
      <c r="N603" s="39" t="n">
        <v>0.23778</v>
      </c>
      <c r="O603" s="40" t="n">
        <v>0.00012</v>
      </c>
      <c r="P603" s="39" t="n">
        <v>0.06109</v>
      </c>
      <c r="Q603" s="40" t="n">
        <v>5E-005</v>
      </c>
      <c r="R603" s="39" t="n">
        <v>0.30669</v>
      </c>
      <c r="S603" s="40" t="n">
        <v>0.00016</v>
      </c>
      <c r="T603" s="39" t="n">
        <v>0.03615</v>
      </c>
      <c r="U603" s="40" t="n">
        <v>5E-005</v>
      </c>
      <c r="V603" s="39" t="n">
        <v>0.23903</v>
      </c>
      <c r="W603" s="40" t="n">
        <v>0.00019</v>
      </c>
      <c r="X603" s="39" t="n">
        <v>0.00494</v>
      </c>
      <c r="Y603" s="40" t="n">
        <v>1E-005</v>
      </c>
    </row>
    <row r="604" customFormat="false" ht="15" hidden="false" customHeight="false" outlineLevel="0" collapsed="false">
      <c r="A604" s="38" t="n">
        <v>659</v>
      </c>
      <c r="B604" s="39" t="n">
        <v>0.00394</v>
      </c>
      <c r="C604" s="40" t="n">
        <v>1E-005</v>
      </c>
      <c r="D604" s="39" t="n">
        <v>-0.04131</v>
      </c>
      <c r="E604" s="40" t="n">
        <v>-2E-005</v>
      </c>
      <c r="F604" s="39" t="n">
        <v>0.02044</v>
      </c>
      <c r="G604" s="40" t="n">
        <v>3E-005</v>
      </c>
      <c r="H604" s="39" t="n">
        <v>0.18603</v>
      </c>
      <c r="I604" s="40" t="n">
        <v>2E-005</v>
      </c>
      <c r="J604" s="39" t="n">
        <v>0.21088</v>
      </c>
      <c r="K604" s="40" t="n">
        <v>0.00013</v>
      </c>
      <c r="L604" s="39" t="n">
        <v>-0.00408</v>
      </c>
      <c r="M604" s="40" t="n">
        <v>0</v>
      </c>
      <c r="N604" s="39" t="n">
        <v>0.23668</v>
      </c>
      <c r="O604" s="40" t="n">
        <v>0.00012</v>
      </c>
      <c r="P604" s="39" t="n">
        <v>0.0605</v>
      </c>
      <c r="Q604" s="40" t="n">
        <v>5E-005</v>
      </c>
      <c r="R604" s="39" t="n">
        <v>0.3046</v>
      </c>
      <c r="S604" s="40" t="n">
        <v>0.00016</v>
      </c>
      <c r="T604" s="39" t="n">
        <v>0.03568</v>
      </c>
      <c r="U604" s="40" t="n">
        <v>5E-005</v>
      </c>
      <c r="V604" s="39" t="n">
        <v>0.23676</v>
      </c>
      <c r="W604" s="40" t="n">
        <v>0.00019</v>
      </c>
      <c r="X604" s="39" t="n">
        <v>0.00474</v>
      </c>
      <c r="Y604" s="40" t="n">
        <v>0</v>
      </c>
    </row>
    <row r="605" customFormat="false" ht="15" hidden="false" customHeight="false" outlineLevel="0" collapsed="false">
      <c r="A605" s="38" t="n">
        <v>660</v>
      </c>
      <c r="B605" s="39" t="n">
        <v>0.00371</v>
      </c>
      <c r="C605" s="40" t="n">
        <v>1E-005</v>
      </c>
      <c r="D605" s="39" t="n">
        <v>-0.04175</v>
      </c>
      <c r="E605" s="40" t="n">
        <v>-1E-005</v>
      </c>
      <c r="F605" s="39" t="n">
        <v>0.02011</v>
      </c>
      <c r="G605" s="40" t="n">
        <v>3E-005</v>
      </c>
      <c r="H605" s="39" t="n">
        <v>0.18598</v>
      </c>
      <c r="I605" s="40" t="n">
        <v>2E-005</v>
      </c>
      <c r="J605" s="39" t="n">
        <v>0.20942</v>
      </c>
      <c r="K605" s="40" t="n">
        <v>0.00013</v>
      </c>
      <c r="L605" s="39" t="n">
        <v>-0.00416</v>
      </c>
      <c r="M605" s="40" t="n">
        <v>0</v>
      </c>
      <c r="N605" s="39" t="n">
        <v>0.23491</v>
      </c>
      <c r="O605" s="40" t="n">
        <v>0.00012</v>
      </c>
      <c r="P605" s="39" t="n">
        <v>0.05987</v>
      </c>
      <c r="Q605" s="40" t="n">
        <v>5E-005</v>
      </c>
      <c r="R605" s="39" t="n">
        <v>0.30274</v>
      </c>
      <c r="S605" s="40" t="n">
        <v>0.00017</v>
      </c>
      <c r="T605" s="39" t="n">
        <v>0.03481</v>
      </c>
      <c r="U605" s="40" t="n">
        <v>5E-005</v>
      </c>
      <c r="V605" s="39" t="n">
        <v>0.23453</v>
      </c>
      <c r="W605" s="40" t="n">
        <v>0.00019</v>
      </c>
      <c r="X605" s="39" t="n">
        <v>0.00468</v>
      </c>
      <c r="Y605" s="40" t="n">
        <v>0</v>
      </c>
    </row>
    <row r="606" customFormat="false" ht="15" hidden="false" customHeight="false" outlineLevel="0" collapsed="false">
      <c r="A606" s="38" t="n">
        <v>661</v>
      </c>
      <c r="B606" s="39" t="n">
        <v>0.00414</v>
      </c>
      <c r="C606" s="40" t="n">
        <v>1E-005</v>
      </c>
      <c r="D606" s="39" t="n">
        <v>-0.03994</v>
      </c>
      <c r="E606" s="40" t="n">
        <v>-4E-005</v>
      </c>
      <c r="F606" s="39" t="n">
        <v>0.01953</v>
      </c>
      <c r="G606" s="40" t="n">
        <v>2E-005</v>
      </c>
      <c r="H606" s="39" t="n">
        <v>0.18572</v>
      </c>
      <c r="I606" s="40" t="n">
        <v>1E-005</v>
      </c>
      <c r="J606" s="39" t="n">
        <v>0.20786</v>
      </c>
      <c r="K606" s="40" t="n">
        <v>0.00013</v>
      </c>
      <c r="L606" s="39" t="n">
        <v>-0.00408</v>
      </c>
      <c r="M606" s="40" t="n">
        <v>0</v>
      </c>
      <c r="N606" s="39" t="n">
        <v>0.23341</v>
      </c>
      <c r="O606" s="40" t="n">
        <v>0.00012</v>
      </c>
      <c r="P606" s="39" t="n">
        <v>0.05934</v>
      </c>
      <c r="Q606" s="40" t="n">
        <v>5E-005</v>
      </c>
      <c r="R606" s="39" t="n">
        <v>0.30073</v>
      </c>
      <c r="S606" s="40" t="n">
        <v>0.00017</v>
      </c>
      <c r="T606" s="39" t="n">
        <v>0.03416</v>
      </c>
      <c r="U606" s="40" t="n">
        <v>4E-005</v>
      </c>
      <c r="V606" s="39" t="n">
        <v>0.23237</v>
      </c>
      <c r="W606" s="40" t="n">
        <v>0.00019</v>
      </c>
      <c r="X606" s="39" t="n">
        <v>0.00488</v>
      </c>
      <c r="Y606" s="40" t="n">
        <v>1E-005</v>
      </c>
    </row>
    <row r="607" customFormat="false" ht="15" hidden="false" customHeight="false" outlineLevel="0" collapsed="false">
      <c r="A607" s="38" t="n">
        <v>662</v>
      </c>
      <c r="B607" s="39" t="n">
        <v>0.00417</v>
      </c>
      <c r="C607" s="40" t="n">
        <v>1E-005</v>
      </c>
      <c r="D607" s="39" t="n">
        <v>-0.0372</v>
      </c>
      <c r="E607" s="40" t="n">
        <v>-9E-005</v>
      </c>
      <c r="F607" s="39" t="n">
        <v>0.01922</v>
      </c>
      <c r="G607" s="40" t="n">
        <v>2E-005</v>
      </c>
      <c r="H607" s="39" t="n">
        <v>0.18579</v>
      </c>
      <c r="I607" s="40" t="n">
        <v>2E-005</v>
      </c>
      <c r="J607" s="39" t="n">
        <v>0.20614</v>
      </c>
      <c r="K607" s="40" t="n">
        <v>0.00013</v>
      </c>
      <c r="L607" s="39" t="n">
        <v>-0.00418</v>
      </c>
      <c r="M607" s="40" t="n">
        <v>0</v>
      </c>
      <c r="N607" s="39" t="n">
        <v>0.23204</v>
      </c>
      <c r="O607" s="40" t="n">
        <v>0.00012</v>
      </c>
      <c r="P607" s="39" t="n">
        <v>0.05861</v>
      </c>
      <c r="Q607" s="40" t="n">
        <v>5E-005</v>
      </c>
      <c r="R607" s="39" t="n">
        <v>0.29879</v>
      </c>
      <c r="S607" s="40" t="n">
        <v>0.00016</v>
      </c>
      <c r="T607" s="39" t="n">
        <v>0.03372</v>
      </c>
      <c r="U607" s="40" t="n">
        <v>4E-005</v>
      </c>
      <c r="V607" s="39" t="n">
        <v>0.23023</v>
      </c>
      <c r="W607" s="40" t="n">
        <v>0.00019</v>
      </c>
      <c r="X607" s="39" t="n">
        <v>0.00481</v>
      </c>
      <c r="Y607" s="40" t="n">
        <v>1E-005</v>
      </c>
    </row>
    <row r="608" customFormat="false" ht="15" hidden="false" customHeight="false" outlineLevel="0" collapsed="false">
      <c r="A608" s="38" t="n">
        <v>663</v>
      </c>
      <c r="B608" s="39" t="n">
        <v>0.00381</v>
      </c>
      <c r="C608" s="40" t="n">
        <v>1E-005</v>
      </c>
      <c r="D608" s="39" t="n">
        <v>-0.03787</v>
      </c>
      <c r="E608" s="40" t="n">
        <v>-0.0001</v>
      </c>
      <c r="F608" s="39" t="n">
        <v>0.01903</v>
      </c>
      <c r="G608" s="40" t="n">
        <v>2E-005</v>
      </c>
      <c r="H608" s="39" t="n">
        <v>0.18556</v>
      </c>
      <c r="I608" s="40" t="n">
        <v>2E-005</v>
      </c>
      <c r="J608" s="39" t="n">
        <v>0.20464</v>
      </c>
      <c r="K608" s="40" t="n">
        <v>0.00013</v>
      </c>
      <c r="L608" s="39" t="n">
        <v>-0.00414</v>
      </c>
      <c r="M608" s="40" t="n">
        <v>0</v>
      </c>
      <c r="N608" s="39" t="n">
        <v>0.23094</v>
      </c>
      <c r="O608" s="40" t="n">
        <v>0.00012</v>
      </c>
      <c r="P608" s="39" t="n">
        <v>0.0581</v>
      </c>
      <c r="Q608" s="40" t="n">
        <v>4E-005</v>
      </c>
      <c r="R608" s="39" t="n">
        <v>0.29678</v>
      </c>
      <c r="S608" s="40" t="n">
        <v>0.00016</v>
      </c>
      <c r="T608" s="39" t="n">
        <v>0.03319</v>
      </c>
      <c r="U608" s="40" t="n">
        <v>4E-005</v>
      </c>
      <c r="V608" s="39" t="n">
        <v>0.22788</v>
      </c>
      <c r="W608" s="40" t="n">
        <v>0.00019</v>
      </c>
      <c r="X608" s="39" t="n">
        <v>0.00459</v>
      </c>
      <c r="Y608" s="40" t="n">
        <v>1E-005</v>
      </c>
    </row>
    <row r="609" customFormat="false" ht="15" hidden="false" customHeight="false" outlineLevel="0" collapsed="false">
      <c r="A609" s="38" t="n">
        <v>664</v>
      </c>
      <c r="B609" s="39" t="n">
        <v>0.00338</v>
      </c>
      <c r="C609" s="40" t="n">
        <v>1E-005</v>
      </c>
      <c r="D609" s="39" t="n">
        <v>-0.03913</v>
      </c>
      <c r="E609" s="40" t="n">
        <v>-3E-005</v>
      </c>
      <c r="F609" s="39" t="n">
        <v>0.01911</v>
      </c>
      <c r="G609" s="40" t="n">
        <v>2E-005</v>
      </c>
      <c r="H609" s="39" t="n">
        <v>0.18507</v>
      </c>
      <c r="I609" s="40" t="n">
        <v>3E-005</v>
      </c>
      <c r="J609" s="39" t="n">
        <v>0.203</v>
      </c>
      <c r="K609" s="40" t="n">
        <v>0.00013</v>
      </c>
      <c r="L609" s="39" t="n">
        <v>-0.00429</v>
      </c>
      <c r="M609" s="40" t="n">
        <v>0</v>
      </c>
      <c r="N609" s="39" t="n">
        <v>0.22965</v>
      </c>
      <c r="O609" s="40" t="n">
        <v>0.00012</v>
      </c>
      <c r="P609" s="39" t="n">
        <v>0.05763</v>
      </c>
      <c r="Q609" s="40" t="n">
        <v>4E-005</v>
      </c>
      <c r="R609" s="39" t="n">
        <v>0.29465</v>
      </c>
      <c r="S609" s="40" t="n">
        <v>0.00017</v>
      </c>
      <c r="T609" s="39" t="n">
        <v>0.03292</v>
      </c>
      <c r="U609" s="40" t="n">
        <v>5E-005</v>
      </c>
      <c r="V609" s="39" t="n">
        <v>0.22551</v>
      </c>
      <c r="W609" s="40" t="n">
        <v>0.00019</v>
      </c>
      <c r="X609" s="39" t="n">
        <v>0.00451</v>
      </c>
      <c r="Y609" s="40" t="n">
        <v>1E-005</v>
      </c>
    </row>
    <row r="610" customFormat="false" ht="15" hidden="false" customHeight="false" outlineLevel="0" collapsed="false">
      <c r="A610" s="38" t="n">
        <v>665</v>
      </c>
      <c r="B610" s="39" t="n">
        <v>0.00325</v>
      </c>
      <c r="C610" s="40" t="n">
        <v>2E-005</v>
      </c>
      <c r="D610" s="39" t="n">
        <v>-0.03651</v>
      </c>
      <c r="E610" s="40" t="n">
        <v>2E-005</v>
      </c>
      <c r="F610" s="39" t="n">
        <v>0.01906</v>
      </c>
      <c r="G610" s="40" t="n">
        <v>2E-005</v>
      </c>
      <c r="H610" s="39" t="n">
        <v>0.1847</v>
      </c>
      <c r="I610" s="40" t="n">
        <v>3E-005</v>
      </c>
      <c r="J610" s="39" t="n">
        <v>0.20157</v>
      </c>
      <c r="K610" s="40" t="n">
        <v>0.00013</v>
      </c>
      <c r="L610" s="39" t="n">
        <v>-0.00412</v>
      </c>
      <c r="M610" s="40" t="n">
        <v>0</v>
      </c>
      <c r="N610" s="39" t="n">
        <v>0.22797</v>
      </c>
      <c r="O610" s="40" t="n">
        <v>0.00012</v>
      </c>
      <c r="P610" s="39" t="n">
        <v>0.0572</v>
      </c>
      <c r="Q610" s="40" t="n">
        <v>3E-005</v>
      </c>
      <c r="R610" s="39" t="n">
        <v>0.29264</v>
      </c>
      <c r="S610" s="40" t="n">
        <v>0.00016</v>
      </c>
      <c r="T610" s="39" t="n">
        <v>0.03243</v>
      </c>
      <c r="U610" s="40" t="n">
        <v>5E-005</v>
      </c>
      <c r="V610" s="39" t="n">
        <v>0.22324</v>
      </c>
      <c r="W610" s="40" t="n">
        <v>0.00019</v>
      </c>
      <c r="X610" s="39" t="n">
        <v>0.00431</v>
      </c>
      <c r="Y610" s="40" t="n">
        <v>1E-005</v>
      </c>
    </row>
    <row r="611" customFormat="false" ht="15" hidden="false" customHeight="false" outlineLevel="0" collapsed="false">
      <c r="A611" s="38" t="n">
        <v>666</v>
      </c>
      <c r="B611" s="39" t="n">
        <v>0.00312</v>
      </c>
      <c r="C611" s="40" t="n">
        <v>1E-005</v>
      </c>
      <c r="D611" s="39" t="n">
        <v>-0.03511</v>
      </c>
      <c r="E611" s="40" t="n">
        <v>3E-005</v>
      </c>
      <c r="F611" s="39" t="n">
        <v>0.01845</v>
      </c>
      <c r="G611" s="40" t="n">
        <v>2E-005</v>
      </c>
      <c r="H611" s="39" t="n">
        <v>0.18436</v>
      </c>
      <c r="I611" s="40" t="n">
        <v>3E-005</v>
      </c>
      <c r="J611" s="39" t="n">
        <v>0.19991</v>
      </c>
      <c r="K611" s="40" t="n">
        <v>0.00013</v>
      </c>
      <c r="L611" s="39" t="n">
        <v>-0.00421</v>
      </c>
      <c r="M611" s="40" t="n">
        <v>0</v>
      </c>
      <c r="N611" s="39" t="n">
        <v>0.22612</v>
      </c>
      <c r="O611" s="40" t="n">
        <v>0.00013</v>
      </c>
      <c r="P611" s="39" t="n">
        <v>0.0569</v>
      </c>
      <c r="Q611" s="40" t="n">
        <v>3E-005</v>
      </c>
      <c r="R611" s="39" t="n">
        <v>0.2909</v>
      </c>
      <c r="S611" s="40" t="n">
        <v>0.00017</v>
      </c>
      <c r="T611" s="39" t="n">
        <v>0.03151</v>
      </c>
      <c r="U611" s="40" t="n">
        <v>5E-005</v>
      </c>
      <c r="V611" s="39" t="n">
        <v>0.22112</v>
      </c>
      <c r="W611" s="40" t="n">
        <v>0.00019</v>
      </c>
      <c r="X611" s="39" t="n">
        <v>0.0043</v>
      </c>
      <c r="Y611" s="40" t="n">
        <v>1E-005</v>
      </c>
    </row>
    <row r="612" customFormat="false" ht="15" hidden="false" customHeight="false" outlineLevel="0" collapsed="false">
      <c r="A612" s="38" t="n">
        <v>667</v>
      </c>
      <c r="B612" s="39" t="n">
        <v>0.00328</v>
      </c>
      <c r="C612" s="40" t="n">
        <v>0</v>
      </c>
      <c r="D612" s="39" t="n">
        <v>-0.0372</v>
      </c>
      <c r="E612" s="40" t="n">
        <v>-1E-005</v>
      </c>
      <c r="F612" s="39" t="n">
        <v>0.01797</v>
      </c>
      <c r="G612" s="40" t="n">
        <v>3E-005</v>
      </c>
      <c r="H612" s="39" t="n">
        <v>0.18392</v>
      </c>
      <c r="I612" s="40" t="n">
        <v>2E-005</v>
      </c>
      <c r="J612" s="39" t="n">
        <v>0.19824</v>
      </c>
      <c r="K612" s="40" t="n">
        <v>0.00013</v>
      </c>
      <c r="L612" s="39" t="n">
        <v>-0.00425</v>
      </c>
      <c r="M612" s="40" t="n">
        <v>0</v>
      </c>
      <c r="N612" s="39" t="n">
        <v>0.22483</v>
      </c>
      <c r="O612" s="40" t="n">
        <v>0.00013</v>
      </c>
      <c r="P612" s="39" t="n">
        <v>0.05643</v>
      </c>
      <c r="Q612" s="40" t="n">
        <v>3E-005</v>
      </c>
      <c r="R612" s="39" t="n">
        <v>0.28892</v>
      </c>
      <c r="S612" s="40" t="n">
        <v>0.00016</v>
      </c>
      <c r="T612" s="39" t="n">
        <v>0.03089</v>
      </c>
      <c r="U612" s="40" t="n">
        <v>5E-005</v>
      </c>
      <c r="V612" s="39" t="n">
        <v>0.21887</v>
      </c>
      <c r="W612" s="40" t="n">
        <v>0.00018</v>
      </c>
      <c r="X612" s="39" t="n">
        <v>0.00432</v>
      </c>
      <c r="Y612" s="40" t="n">
        <v>1E-005</v>
      </c>
    </row>
    <row r="613" customFormat="false" ht="15" hidden="false" customHeight="false" outlineLevel="0" collapsed="false">
      <c r="A613" s="38" t="n">
        <v>668</v>
      </c>
      <c r="B613" s="39" t="n">
        <v>0.00304</v>
      </c>
      <c r="C613" s="40" t="n">
        <v>0</v>
      </c>
      <c r="D613" s="39" t="n">
        <v>-0.0392</v>
      </c>
      <c r="E613" s="40" t="n">
        <v>-4E-005</v>
      </c>
      <c r="F613" s="39" t="n">
        <v>0.01801</v>
      </c>
      <c r="G613" s="40" t="n">
        <v>4E-005</v>
      </c>
      <c r="H613" s="39" t="n">
        <v>0.18378</v>
      </c>
      <c r="I613" s="40" t="n">
        <v>2E-005</v>
      </c>
      <c r="J613" s="39" t="n">
        <v>0.19657</v>
      </c>
      <c r="K613" s="40" t="n">
        <v>0.00013</v>
      </c>
      <c r="L613" s="39" t="n">
        <v>-0.00429</v>
      </c>
      <c r="M613" s="40" t="n">
        <v>0</v>
      </c>
      <c r="N613" s="39" t="n">
        <v>0.22355</v>
      </c>
      <c r="O613" s="40" t="n">
        <v>0.00012</v>
      </c>
      <c r="P613" s="39" t="n">
        <v>0.0562</v>
      </c>
      <c r="Q613" s="40" t="n">
        <v>3E-005</v>
      </c>
      <c r="R613" s="39" t="n">
        <v>0.28673</v>
      </c>
      <c r="S613" s="40" t="n">
        <v>0.00016</v>
      </c>
      <c r="T613" s="39" t="n">
        <v>0.03027</v>
      </c>
      <c r="U613" s="40" t="n">
        <v>5E-005</v>
      </c>
      <c r="V613" s="39" t="n">
        <v>0.21679</v>
      </c>
      <c r="W613" s="40" t="n">
        <v>0.00018</v>
      </c>
      <c r="X613" s="39" t="n">
        <v>0.00428</v>
      </c>
      <c r="Y613" s="40" t="n">
        <v>1E-005</v>
      </c>
    </row>
    <row r="614" customFormat="false" ht="15" hidden="false" customHeight="false" outlineLevel="0" collapsed="false">
      <c r="A614" s="38" t="n">
        <v>669</v>
      </c>
      <c r="B614" s="39" t="n">
        <v>0.00311</v>
      </c>
      <c r="C614" s="40" t="n">
        <v>0</v>
      </c>
      <c r="D614" s="39" t="n">
        <v>-0.0389</v>
      </c>
      <c r="E614" s="40" t="n">
        <v>-2E-005</v>
      </c>
      <c r="F614" s="39" t="n">
        <v>0.01749</v>
      </c>
      <c r="G614" s="40" t="n">
        <v>3E-005</v>
      </c>
      <c r="H614" s="39" t="n">
        <v>0.18354</v>
      </c>
      <c r="I614" s="40" t="n">
        <v>1E-005</v>
      </c>
      <c r="J614" s="39" t="n">
        <v>0.19529</v>
      </c>
      <c r="K614" s="40" t="n">
        <v>0.00013</v>
      </c>
      <c r="L614" s="39" t="n">
        <v>-0.00432</v>
      </c>
      <c r="M614" s="40" t="n">
        <v>0</v>
      </c>
      <c r="N614" s="39" t="n">
        <v>0.22225</v>
      </c>
      <c r="O614" s="40" t="n">
        <v>0.00012</v>
      </c>
      <c r="P614" s="39" t="n">
        <v>0.05567</v>
      </c>
      <c r="Q614" s="40" t="n">
        <v>4E-005</v>
      </c>
      <c r="R614" s="39" t="n">
        <v>0.28501</v>
      </c>
      <c r="S614" s="40" t="n">
        <v>0.00016</v>
      </c>
      <c r="T614" s="39" t="n">
        <v>0.02975</v>
      </c>
      <c r="U614" s="40" t="n">
        <v>5E-005</v>
      </c>
      <c r="V614" s="39" t="n">
        <v>0.21446</v>
      </c>
      <c r="W614" s="40" t="n">
        <v>0.00019</v>
      </c>
      <c r="X614" s="39" t="n">
        <v>0.00414</v>
      </c>
      <c r="Y614" s="40" t="n">
        <v>1E-005</v>
      </c>
    </row>
    <row r="615" customFormat="false" ht="15" hidden="false" customHeight="false" outlineLevel="0" collapsed="false">
      <c r="A615" s="38" t="n">
        <v>670</v>
      </c>
      <c r="B615" s="39" t="n">
        <v>0.00312</v>
      </c>
      <c r="C615" s="40" t="n">
        <v>0</v>
      </c>
      <c r="D615" s="39" t="n">
        <v>-0.03619</v>
      </c>
      <c r="E615" s="40" t="n">
        <v>-2E-005</v>
      </c>
      <c r="F615" s="39" t="n">
        <v>0.01692</v>
      </c>
      <c r="G615" s="40" t="n">
        <v>3E-005</v>
      </c>
      <c r="H615" s="39" t="n">
        <v>0.1835</v>
      </c>
      <c r="I615" s="40" t="n">
        <v>2E-005</v>
      </c>
      <c r="J615" s="39" t="n">
        <v>0.19361</v>
      </c>
      <c r="K615" s="40" t="n">
        <v>0.00013</v>
      </c>
      <c r="L615" s="39" t="n">
        <v>-0.00442</v>
      </c>
      <c r="M615" s="40" t="n">
        <v>0</v>
      </c>
      <c r="N615" s="39" t="n">
        <v>0.2202</v>
      </c>
      <c r="O615" s="40" t="n">
        <v>0.00012</v>
      </c>
      <c r="P615" s="39" t="n">
        <v>0.05527</v>
      </c>
      <c r="Q615" s="40" t="n">
        <v>4E-005</v>
      </c>
      <c r="R615" s="39" t="n">
        <v>0.28278</v>
      </c>
      <c r="S615" s="40" t="n">
        <v>0.00017</v>
      </c>
      <c r="T615" s="39" t="n">
        <v>0.02944</v>
      </c>
      <c r="U615" s="40" t="n">
        <v>4E-005</v>
      </c>
      <c r="V615" s="39" t="n">
        <v>0.21215</v>
      </c>
      <c r="W615" s="40" t="n">
        <v>0.00019</v>
      </c>
      <c r="X615" s="39" t="n">
        <v>0.00395</v>
      </c>
      <c r="Y615" s="40" t="n">
        <v>0</v>
      </c>
    </row>
    <row r="616" customFormat="false" ht="15" hidden="false" customHeight="false" outlineLevel="0" collapsed="false">
      <c r="A616" s="38" t="n">
        <v>671</v>
      </c>
      <c r="B616" s="39" t="n">
        <v>0.00312</v>
      </c>
      <c r="C616" s="40" t="n">
        <v>0</v>
      </c>
      <c r="D616" s="39" t="n">
        <v>-0.03485</v>
      </c>
      <c r="E616" s="40" t="n">
        <v>-8E-005</v>
      </c>
      <c r="F616" s="39" t="n">
        <v>0.01667</v>
      </c>
      <c r="G616" s="40" t="n">
        <v>3E-005</v>
      </c>
      <c r="H616" s="39" t="n">
        <v>0.1834</v>
      </c>
      <c r="I616" s="40" t="n">
        <v>2E-005</v>
      </c>
      <c r="J616" s="39" t="n">
        <v>0.19197</v>
      </c>
      <c r="K616" s="40" t="n">
        <v>0.00013</v>
      </c>
      <c r="L616" s="39" t="n">
        <v>-0.00435</v>
      </c>
      <c r="M616" s="40" t="n">
        <v>0</v>
      </c>
      <c r="N616" s="39" t="n">
        <v>0.219</v>
      </c>
      <c r="O616" s="40" t="n">
        <v>0.00013</v>
      </c>
      <c r="P616" s="39" t="n">
        <v>0.05471</v>
      </c>
      <c r="Q616" s="40" t="n">
        <v>4E-005</v>
      </c>
      <c r="R616" s="39" t="n">
        <v>0.28085</v>
      </c>
      <c r="S616" s="40" t="n">
        <v>0.00017</v>
      </c>
      <c r="T616" s="39" t="n">
        <v>0.02889</v>
      </c>
      <c r="U616" s="40" t="n">
        <v>4E-005</v>
      </c>
      <c r="V616" s="39" t="n">
        <v>0.2101</v>
      </c>
      <c r="W616" s="40" t="n">
        <v>0.00019</v>
      </c>
      <c r="X616" s="39" t="n">
        <v>0.00394</v>
      </c>
      <c r="Y616" s="40" t="n">
        <v>1E-005</v>
      </c>
    </row>
    <row r="617" customFormat="false" ht="15" hidden="false" customHeight="false" outlineLevel="0" collapsed="false">
      <c r="A617" s="38" t="n">
        <v>672</v>
      </c>
      <c r="B617" s="39" t="n">
        <v>0.00301</v>
      </c>
      <c r="C617" s="40" t="n">
        <v>0</v>
      </c>
      <c r="D617" s="39" t="n">
        <v>-0.03445</v>
      </c>
      <c r="E617" s="40" t="n">
        <v>-6E-005</v>
      </c>
      <c r="F617" s="39" t="n">
        <v>0.01626</v>
      </c>
      <c r="G617" s="40" t="n">
        <v>3E-005</v>
      </c>
      <c r="H617" s="39" t="n">
        <v>0.18302</v>
      </c>
      <c r="I617" s="40" t="n">
        <v>3E-005</v>
      </c>
      <c r="J617" s="39" t="n">
        <v>0.19034</v>
      </c>
      <c r="K617" s="40" t="n">
        <v>0.00013</v>
      </c>
      <c r="L617" s="39" t="n">
        <v>-0.00423</v>
      </c>
      <c r="M617" s="40" t="n">
        <v>0</v>
      </c>
      <c r="N617" s="39" t="n">
        <v>0.21794</v>
      </c>
      <c r="O617" s="40" t="n">
        <v>0.00013</v>
      </c>
      <c r="P617" s="39" t="n">
        <v>0.05412</v>
      </c>
      <c r="Q617" s="40" t="n">
        <v>4E-005</v>
      </c>
      <c r="R617" s="39" t="n">
        <v>0.27892</v>
      </c>
      <c r="S617" s="40" t="n">
        <v>0.00017</v>
      </c>
      <c r="T617" s="39" t="n">
        <v>0.02818</v>
      </c>
      <c r="U617" s="40" t="n">
        <v>4E-005</v>
      </c>
      <c r="V617" s="39" t="n">
        <v>0.20768</v>
      </c>
      <c r="W617" s="40" t="n">
        <v>0.00019</v>
      </c>
      <c r="X617" s="39" t="n">
        <v>0.00388</v>
      </c>
      <c r="Y617" s="40" t="n">
        <v>0</v>
      </c>
    </row>
    <row r="618" customFormat="false" ht="15" hidden="false" customHeight="false" outlineLevel="0" collapsed="false">
      <c r="A618" s="38" t="n">
        <v>673</v>
      </c>
      <c r="B618" s="39" t="n">
        <v>0.00296</v>
      </c>
      <c r="C618" s="40" t="n">
        <v>0</v>
      </c>
      <c r="D618" s="39" t="n">
        <v>-0.03499</v>
      </c>
      <c r="E618" s="40" t="n">
        <v>-3E-005</v>
      </c>
      <c r="F618" s="39" t="n">
        <v>0.01641</v>
      </c>
      <c r="G618" s="40" t="n">
        <v>2E-005</v>
      </c>
      <c r="H618" s="39" t="n">
        <v>0.18264</v>
      </c>
      <c r="I618" s="40" t="n">
        <v>3E-005</v>
      </c>
      <c r="J618" s="39" t="n">
        <v>0.18875</v>
      </c>
      <c r="K618" s="40" t="n">
        <v>0.00014</v>
      </c>
      <c r="L618" s="39" t="n">
        <v>-0.00394</v>
      </c>
      <c r="M618" s="40" t="n">
        <v>0</v>
      </c>
      <c r="N618" s="39" t="n">
        <v>0.21597</v>
      </c>
      <c r="O618" s="40" t="n">
        <v>0.00013</v>
      </c>
      <c r="P618" s="39" t="n">
        <v>0.05368</v>
      </c>
      <c r="Q618" s="40" t="n">
        <v>3E-005</v>
      </c>
      <c r="R618" s="39" t="n">
        <v>0.27685</v>
      </c>
      <c r="S618" s="40" t="n">
        <v>0.00018</v>
      </c>
      <c r="T618" s="39" t="n">
        <v>0.02748</v>
      </c>
      <c r="U618" s="40" t="n">
        <v>4E-005</v>
      </c>
      <c r="V618" s="39" t="n">
        <v>0.20549</v>
      </c>
      <c r="W618" s="40" t="n">
        <v>0.00018</v>
      </c>
      <c r="X618" s="39" t="n">
        <v>0.00386</v>
      </c>
      <c r="Y618" s="40" t="n">
        <v>0</v>
      </c>
    </row>
    <row r="619" customFormat="false" ht="15" hidden="false" customHeight="false" outlineLevel="0" collapsed="false">
      <c r="A619" s="38" t="n">
        <v>674</v>
      </c>
      <c r="B619" s="39" t="n">
        <v>0.00302</v>
      </c>
      <c r="C619" s="40" t="n">
        <v>0</v>
      </c>
      <c r="D619" s="39" t="n">
        <v>-0.03545</v>
      </c>
      <c r="E619" s="40" t="n">
        <v>0</v>
      </c>
      <c r="F619" s="39" t="n">
        <v>0.01589</v>
      </c>
      <c r="G619" s="40" t="n">
        <v>1E-005</v>
      </c>
      <c r="H619" s="39" t="n">
        <v>0.18212</v>
      </c>
      <c r="I619" s="40" t="n">
        <v>2E-005</v>
      </c>
      <c r="J619" s="39" t="n">
        <v>0.18716</v>
      </c>
      <c r="K619" s="40" t="n">
        <v>0.00014</v>
      </c>
      <c r="L619" s="39" t="n">
        <v>-0.00415</v>
      </c>
      <c r="M619" s="40" t="n">
        <v>-1E-005</v>
      </c>
      <c r="N619" s="39" t="n">
        <v>0.21438</v>
      </c>
      <c r="O619" s="40" t="n">
        <v>0.00013</v>
      </c>
      <c r="P619" s="39" t="n">
        <v>0.05334</v>
      </c>
      <c r="Q619" s="40" t="n">
        <v>3E-005</v>
      </c>
      <c r="R619" s="39" t="n">
        <v>0.2747</v>
      </c>
      <c r="S619" s="40" t="n">
        <v>0.00018</v>
      </c>
      <c r="T619" s="39" t="n">
        <v>0.02715</v>
      </c>
      <c r="U619" s="40" t="n">
        <v>4E-005</v>
      </c>
      <c r="V619" s="39" t="n">
        <v>0.20343</v>
      </c>
      <c r="W619" s="40" t="n">
        <v>0.00018</v>
      </c>
      <c r="X619" s="39" t="n">
        <v>0.00399</v>
      </c>
      <c r="Y619" s="40" t="n">
        <v>0</v>
      </c>
    </row>
    <row r="620" customFormat="false" ht="15" hidden="false" customHeight="false" outlineLevel="0" collapsed="false">
      <c r="A620" s="38" t="n">
        <v>675</v>
      </c>
      <c r="B620" s="39" t="n">
        <v>0.00288</v>
      </c>
      <c r="C620" s="40" t="n">
        <v>0</v>
      </c>
      <c r="D620" s="39" t="n">
        <v>-0.03394</v>
      </c>
      <c r="E620" s="40" t="n">
        <v>0</v>
      </c>
      <c r="F620" s="39" t="n">
        <v>0.01541</v>
      </c>
      <c r="G620" s="40" t="n">
        <v>2E-005</v>
      </c>
      <c r="H620" s="39" t="n">
        <v>0.18179</v>
      </c>
      <c r="I620" s="40" t="n">
        <v>2E-005</v>
      </c>
      <c r="J620" s="39" t="n">
        <v>0.18569</v>
      </c>
      <c r="K620" s="40" t="n">
        <v>0.00014</v>
      </c>
      <c r="L620" s="39" t="n">
        <v>-0.00415</v>
      </c>
      <c r="M620" s="40" t="n">
        <v>-1E-005</v>
      </c>
      <c r="N620" s="39" t="n">
        <v>0.21288</v>
      </c>
      <c r="O620" s="40" t="n">
        <v>0.00014</v>
      </c>
      <c r="P620" s="39" t="n">
        <v>0.05326</v>
      </c>
      <c r="Q620" s="40" t="n">
        <v>3E-005</v>
      </c>
      <c r="R620" s="39" t="n">
        <v>0.27262</v>
      </c>
      <c r="S620" s="40" t="n">
        <v>0.00018</v>
      </c>
      <c r="T620" s="39" t="n">
        <v>0.02678</v>
      </c>
      <c r="U620" s="40" t="n">
        <v>4E-005</v>
      </c>
      <c r="V620" s="39" t="n">
        <v>0.20097</v>
      </c>
      <c r="W620" s="40" t="n">
        <v>0.00018</v>
      </c>
      <c r="X620" s="39" t="n">
        <v>0.00389</v>
      </c>
      <c r="Y620" s="40" t="n">
        <v>0</v>
      </c>
    </row>
    <row r="621" customFormat="false" ht="15" hidden="false" customHeight="false" outlineLevel="0" collapsed="false">
      <c r="A621" s="38" t="n">
        <v>676</v>
      </c>
      <c r="B621" s="39" t="n">
        <v>0.0028</v>
      </c>
      <c r="C621" s="40" t="n">
        <v>0</v>
      </c>
      <c r="D621" s="39" t="n">
        <v>-0.03471</v>
      </c>
      <c r="E621" s="40" t="n">
        <v>1E-005</v>
      </c>
      <c r="F621" s="39" t="n">
        <v>0.01516</v>
      </c>
      <c r="G621" s="40" t="n">
        <v>2E-005</v>
      </c>
      <c r="H621" s="39" t="n">
        <v>0.18173</v>
      </c>
      <c r="I621" s="40" t="n">
        <v>2E-005</v>
      </c>
      <c r="J621" s="39" t="n">
        <v>0.18384</v>
      </c>
      <c r="K621" s="40" t="n">
        <v>0.00013</v>
      </c>
      <c r="L621" s="39" t="n">
        <v>-0.00414</v>
      </c>
      <c r="M621" s="40" t="n">
        <v>0</v>
      </c>
      <c r="N621" s="39" t="n">
        <v>0.21127</v>
      </c>
      <c r="O621" s="40" t="n">
        <v>0.00014</v>
      </c>
      <c r="P621" s="39" t="n">
        <v>0.05275</v>
      </c>
      <c r="Q621" s="40" t="n">
        <v>3E-005</v>
      </c>
      <c r="R621" s="39" t="n">
        <v>0.27032</v>
      </c>
      <c r="S621" s="40" t="n">
        <v>0.00018</v>
      </c>
      <c r="T621" s="39" t="n">
        <v>0.02634</v>
      </c>
      <c r="U621" s="40" t="n">
        <v>4E-005</v>
      </c>
      <c r="V621" s="39" t="n">
        <v>0.19894</v>
      </c>
      <c r="W621" s="40" t="n">
        <v>0.00018</v>
      </c>
      <c r="X621" s="39" t="n">
        <v>0.00377</v>
      </c>
      <c r="Y621" s="40" t="n">
        <v>0</v>
      </c>
    </row>
    <row r="622" customFormat="false" ht="15" hidden="false" customHeight="false" outlineLevel="0" collapsed="false">
      <c r="A622" s="38" t="n">
        <v>677</v>
      </c>
      <c r="B622" s="39" t="n">
        <v>0.00292</v>
      </c>
      <c r="C622" s="40" t="n">
        <v>0</v>
      </c>
      <c r="D622" s="39" t="n">
        <v>-0.03469</v>
      </c>
      <c r="E622" s="40" t="n">
        <v>0</v>
      </c>
      <c r="F622" s="39" t="n">
        <v>0.01524</v>
      </c>
      <c r="G622" s="40" t="n">
        <v>2E-005</v>
      </c>
      <c r="H622" s="39" t="n">
        <v>0.18163</v>
      </c>
      <c r="I622" s="40" t="n">
        <v>2E-005</v>
      </c>
      <c r="J622" s="39" t="n">
        <v>0.18209</v>
      </c>
      <c r="K622" s="40" t="n">
        <v>0.00013</v>
      </c>
      <c r="L622" s="39" t="n">
        <v>-0.00397</v>
      </c>
      <c r="M622" s="40" t="n">
        <v>0</v>
      </c>
      <c r="N622" s="39" t="n">
        <v>0.20958</v>
      </c>
      <c r="O622" s="40" t="n">
        <v>0.00014</v>
      </c>
      <c r="P622" s="39" t="n">
        <v>0.05215</v>
      </c>
      <c r="Q622" s="40" t="n">
        <v>4E-005</v>
      </c>
      <c r="R622" s="39" t="n">
        <v>0.26789</v>
      </c>
      <c r="S622" s="40" t="n">
        <v>0.00017</v>
      </c>
      <c r="T622" s="39" t="n">
        <v>0.02577</v>
      </c>
      <c r="U622" s="40" t="n">
        <v>3E-005</v>
      </c>
      <c r="V622" s="39" t="n">
        <v>0.19686</v>
      </c>
      <c r="W622" s="40" t="n">
        <v>0.00018</v>
      </c>
      <c r="X622" s="39" t="n">
        <v>0.00381</v>
      </c>
      <c r="Y622" s="40" t="n">
        <v>1E-005</v>
      </c>
    </row>
    <row r="623" customFormat="false" ht="15" hidden="false" customHeight="false" outlineLevel="0" collapsed="false">
      <c r="A623" s="38" t="n">
        <v>678</v>
      </c>
      <c r="B623" s="39" t="n">
        <v>0.00297</v>
      </c>
      <c r="C623" s="40" t="n">
        <v>0</v>
      </c>
      <c r="D623" s="39" t="n">
        <v>-0.03329</v>
      </c>
      <c r="E623" s="40" t="n">
        <v>-3E-005</v>
      </c>
      <c r="F623" s="39" t="n">
        <v>0.01519</v>
      </c>
      <c r="G623" s="40" t="n">
        <v>2E-005</v>
      </c>
      <c r="H623" s="39" t="n">
        <v>0.18154</v>
      </c>
      <c r="I623" s="40" t="n">
        <v>1E-005</v>
      </c>
      <c r="J623" s="39" t="n">
        <v>0.1804</v>
      </c>
      <c r="K623" s="40" t="n">
        <v>0.00013</v>
      </c>
      <c r="L623" s="39" t="n">
        <v>-0.00388</v>
      </c>
      <c r="M623" s="40" t="n">
        <v>0</v>
      </c>
      <c r="N623" s="39" t="n">
        <v>0.20786</v>
      </c>
      <c r="O623" s="40" t="n">
        <v>0.00014</v>
      </c>
      <c r="P623" s="39" t="n">
        <v>0.05168</v>
      </c>
      <c r="Q623" s="40" t="n">
        <v>4E-005</v>
      </c>
      <c r="R623" s="39" t="n">
        <v>0.2662</v>
      </c>
      <c r="S623" s="40" t="n">
        <v>0.00017</v>
      </c>
      <c r="T623" s="39" t="n">
        <v>0.02528</v>
      </c>
      <c r="U623" s="40" t="n">
        <v>4E-005</v>
      </c>
      <c r="V623" s="39" t="n">
        <v>0.19488</v>
      </c>
      <c r="W623" s="40" t="n">
        <v>0.00018</v>
      </c>
      <c r="X623" s="39" t="n">
        <v>0.00382</v>
      </c>
      <c r="Y623" s="40" t="n">
        <v>1E-005</v>
      </c>
    </row>
    <row r="624" customFormat="false" ht="15" hidden="false" customHeight="false" outlineLevel="0" collapsed="false">
      <c r="A624" s="38" t="n">
        <v>679</v>
      </c>
      <c r="B624" s="39" t="n">
        <v>0.00306</v>
      </c>
      <c r="C624" s="40" t="n">
        <v>1E-005</v>
      </c>
      <c r="D624" s="39" t="n">
        <v>-0.03463</v>
      </c>
      <c r="E624" s="40" t="n">
        <v>-1E-005</v>
      </c>
      <c r="F624" s="39" t="n">
        <v>0.01441</v>
      </c>
      <c r="G624" s="40" t="n">
        <v>2E-005</v>
      </c>
      <c r="H624" s="39" t="n">
        <v>0.18112</v>
      </c>
      <c r="I624" s="40" t="n">
        <v>2E-005</v>
      </c>
      <c r="J624" s="39" t="n">
        <v>0.17906</v>
      </c>
      <c r="K624" s="40" t="n">
        <v>0.00013</v>
      </c>
      <c r="L624" s="39" t="n">
        <v>-0.00398</v>
      </c>
      <c r="M624" s="40" t="n">
        <v>0</v>
      </c>
      <c r="N624" s="39" t="n">
        <v>0.20597</v>
      </c>
      <c r="O624" s="40" t="n">
        <v>0.00014</v>
      </c>
      <c r="P624" s="39" t="n">
        <v>0.05134</v>
      </c>
      <c r="Q624" s="40" t="n">
        <v>4E-005</v>
      </c>
      <c r="R624" s="39" t="n">
        <v>0.26426</v>
      </c>
      <c r="S624" s="40" t="n">
        <v>0.00017</v>
      </c>
      <c r="T624" s="39" t="n">
        <v>0.02506</v>
      </c>
      <c r="U624" s="40" t="n">
        <v>4E-005</v>
      </c>
      <c r="V624" s="39" t="n">
        <v>0.19263</v>
      </c>
      <c r="W624" s="40" t="n">
        <v>0.00017</v>
      </c>
      <c r="X624" s="39" t="n">
        <v>0.00361</v>
      </c>
      <c r="Y624" s="40" t="n">
        <v>0</v>
      </c>
    </row>
    <row r="625" customFormat="false" ht="15" hidden="false" customHeight="false" outlineLevel="0" collapsed="false">
      <c r="A625" s="38" t="n">
        <v>680</v>
      </c>
      <c r="B625" s="39" t="n">
        <v>0.00282</v>
      </c>
      <c r="C625" s="40" t="n">
        <v>1E-005</v>
      </c>
      <c r="D625" s="39" t="n">
        <v>-0.03495</v>
      </c>
      <c r="E625" s="40" t="n">
        <v>-3E-005</v>
      </c>
      <c r="F625" s="39" t="n">
        <v>0.01413</v>
      </c>
      <c r="G625" s="40" t="n">
        <v>2E-005</v>
      </c>
      <c r="H625" s="39" t="n">
        <v>0.18086</v>
      </c>
      <c r="I625" s="40" t="n">
        <v>2E-005</v>
      </c>
      <c r="J625" s="39" t="n">
        <v>0.17768</v>
      </c>
      <c r="K625" s="40" t="n">
        <v>0.00013</v>
      </c>
      <c r="L625" s="39" t="n">
        <v>-0.00425</v>
      </c>
      <c r="M625" s="40" t="n">
        <v>0</v>
      </c>
      <c r="N625" s="39" t="n">
        <v>0.20449</v>
      </c>
      <c r="O625" s="40" t="n">
        <v>0.00014</v>
      </c>
      <c r="P625" s="39" t="n">
        <v>0.05097</v>
      </c>
      <c r="Q625" s="40" t="n">
        <v>4E-005</v>
      </c>
      <c r="R625" s="39" t="n">
        <v>0.26211</v>
      </c>
      <c r="S625" s="40" t="n">
        <v>0.00017</v>
      </c>
      <c r="T625" s="39" t="n">
        <v>0.02446</v>
      </c>
      <c r="U625" s="40" t="n">
        <v>4E-005</v>
      </c>
      <c r="V625" s="39" t="n">
        <v>0.19035</v>
      </c>
      <c r="W625" s="40" t="n">
        <v>0.00018</v>
      </c>
      <c r="X625" s="39" t="n">
        <v>0.00358</v>
      </c>
      <c r="Y625" s="40" t="n">
        <v>0</v>
      </c>
    </row>
    <row r="626" customFormat="false" ht="15" hidden="false" customHeight="false" outlineLevel="0" collapsed="false">
      <c r="A626" s="38" t="n">
        <v>681</v>
      </c>
      <c r="B626" s="39" t="n">
        <v>0.00271</v>
      </c>
      <c r="C626" s="40" t="n">
        <v>1E-005</v>
      </c>
      <c r="D626" s="39" t="n">
        <v>-0.03371</v>
      </c>
      <c r="E626" s="40" t="n">
        <v>-5E-005</v>
      </c>
      <c r="F626" s="39" t="n">
        <v>0.01417</v>
      </c>
      <c r="G626" s="40" t="n">
        <v>2E-005</v>
      </c>
      <c r="H626" s="39" t="n">
        <v>0.18071</v>
      </c>
      <c r="I626" s="40" t="n">
        <v>2E-005</v>
      </c>
      <c r="J626" s="39" t="n">
        <v>0.17587</v>
      </c>
      <c r="K626" s="40" t="n">
        <v>0.00013</v>
      </c>
      <c r="L626" s="39" t="n">
        <v>-0.00417</v>
      </c>
      <c r="M626" s="40" t="n">
        <v>0</v>
      </c>
      <c r="N626" s="39" t="n">
        <v>0.20295</v>
      </c>
      <c r="O626" s="40" t="n">
        <v>0.00014</v>
      </c>
      <c r="P626" s="39" t="n">
        <v>0.05037</v>
      </c>
      <c r="Q626" s="40" t="n">
        <v>3E-005</v>
      </c>
      <c r="R626" s="39" t="n">
        <v>0.26007</v>
      </c>
      <c r="S626" s="40" t="n">
        <v>0.00017</v>
      </c>
      <c r="T626" s="39" t="n">
        <v>0.02409</v>
      </c>
      <c r="U626" s="40" t="n">
        <v>3E-005</v>
      </c>
      <c r="V626" s="39" t="n">
        <v>0.18823</v>
      </c>
      <c r="W626" s="40" t="n">
        <v>0.00018</v>
      </c>
      <c r="X626" s="39" t="n">
        <v>0.0035</v>
      </c>
      <c r="Y626" s="40" t="n">
        <v>1E-005</v>
      </c>
    </row>
    <row r="627" customFormat="false" ht="15" hidden="false" customHeight="false" outlineLevel="0" collapsed="false">
      <c r="A627" s="38" t="n">
        <v>682</v>
      </c>
      <c r="B627" s="39" t="n">
        <v>0.0023</v>
      </c>
      <c r="C627" s="40" t="n">
        <v>1E-005</v>
      </c>
      <c r="D627" s="39" t="n">
        <v>-0.03151</v>
      </c>
      <c r="E627" s="40" t="n">
        <v>-4E-005</v>
      </c>
      <c r="F627" s="39" t="n">
        <v>0.01372</v>
      </c>
      <c r="G627" s="40" t="n">
        <v>2E-005</v>
      </c>
      <c r="H627" s="39" t="n">
        <v>0.18034</v>
      </c>
      <c r="I627" s="40" t="n">
        <v>3E-005</v>
      </c>
      <c r="J627" s="39" t="n">
        <v>0.17428</v>
      </c>
      <c r="K627" s="40" t="n">
        <v>0.00013</v>
      </c>
      <c r="L627" s="39" t="n">
        <v>-0.00413</v>
      </c>
      <c r="M627" s="40" t="n">
        <v>0</v>
      </c>
      <c r="N627" s="39" t="n">
        <v>0.2014</v>
      </c>
      <c r="O627" s="40" t="n">
        <v>0.00014</v>
      </c>
      <c r="P627" s="39" t="n">
        <v>0.04989</v>
      </c>
      <c r="Q627" s="40" t="n">
        <v>3E-005</v>
      </c>
      <c r="R627" s="39" t="n">
        <v>0.25779</v>
      </c>
      <c r="S627" s="40" t="n">
        <v>0.00018</v>
      </c>
      <c r="T627" s="39" t="n">
        <v>0.02362</v>
      </c>
      <c r="U627" s="40" t="n">
        <v>3E-005</v>
      </c>
      <c r="V627" s="39" t="n">
        <v>0.18619</v>
      </c>
      <c r="W627" s="40" t="n">
        <v>0.00019</v>
      </c>
      <c r="X627" s="39" t="n">
        <v>0.00355</v>
      </c>
      <c r="Y627" s="40" t="n">
        <v>0</v>
      </c>
    </row>
    <row r="628" customFormat="false" ht="15" hidden="false" customHeight="false" outlineLevel="0" collapsed="false">
      <c r="A628" s="38" t="n">
        <v>683</v>
      </c>
      <c r="B628" s="39" t="n">
        <v>0.00235</v>
      </c>
      <c r="C628" s="40" t="n">
        <v>1E-005</v>
      </c>
      <c r="D628" s="39" t="n">
        <v>-0.03279</v>
      </c>
      <c r="E628" s="40" t="n">
        <v>-6E-005</v>
      </c>
      <c r="F628" s="39" t="n">
        <v>0.01399</v>
      </c>
      <c r="G628" s="40" t="n">
        <v>1E-005</v>
      </c>
      <c r="H628" s="39" t="n">
        <v>0.18024</v>
      </c>
      <c r="I628" s="40" t="n">
        <v>3E-005</v>
      </c>
      <c r="J628" s="39" t="n">
        <v>0.17257</v>
      </c>
      <c r="K628" s="40" t="n">
        <v>0.00014</v>
      </c>
      <c r="L628" s="39" t="n">
        <v>-0.00377</v>
      </c>
      <c r="M628" s="40" t="n">
        <v>0</v>
      </c>
      <c r="N628" s="39" t="n">
        <v>0.19945</v>
      </c>
      <c r="O628" s="40" t="n">
        <v>0.00014</v>
      </c>
      <c r="P628" s="39" t="n">
        <v>0.04978</v>
      </c>
      <c r="Q628" s="40" t="n">
        <v>3E-005</v>
      </c>
      <c r="R628" s="39" t="n">
        <v>0.25578</v>
      </c>
      <c r="S628" s="40" t="n">
        <v>0.00018</v>
      </c>
      <c r="T628" s="39" t="n">
        <v>0.02332</v>
      </c>
      <c r="U628" s="40" t="n">
        <v>4E-005</v>
      </c>
      <c r="V628" s="39" t="n">
        <v>0.18402</v>
      </c>
      <c r="W628" s="40" t="n">
        <v>0.00019</v>
      </c>
      <c r="X628" s="39" t="n">
        <v>0.00373</v>
      </c>
      <c r="Y628" s="40" t="n">
        <v>0</v>
      </c>
    </row>
    <row r="629" customFormat="false" ht="15" hidden="false" customHeight="false" outlineLevel="0" collapsed="false">
      <c r="A629" s="38" t="n">
        <v>684</v>
      </c>
      <c r="B629" s="39" t="n">
        <v>0.00244</v>
      </c>
      <c r="C629" s="40" t="n">
        <v>0</v>
      </c>
      <c r="D629" s="39" t="n">
        <v>-0.03169</v>
      </c>
      <c r="E629" s="40" t="n">
        <v>-4E-005</v>
      </c>
      <c r="F629" s="39" t="n">
        <v>0.01368</v>
      </c>
      <c r="G629" s="40" t="n">
        <v>1E-005</v>
      </c>
      <c r="H629" s="39" t="n">
        <v>0.17978</v>
      </c>
      <c r="I629" s="40" t="n">
        <v>3E-005</v>
      </c>
      <c r="J629" s="39" t="n">
        <v>0.17092</v>
      </c>
      <c r="K629" s="40" t="n">
        <v>0.00014</v>
      </c>
      <c r="L629" s="39" t="n">
        <v>-0.00373</v>
      </c>
      <c r="M629" s="40" t="n">
        <v>0</v>
      </c>
      <c r="N629" s="39" t="n">
        <v>0.19784</v>
      </c>
      <c r="O629" s="40" t="n">
        <v>0.00015</v>
      </c>
      <c r="P629" s="39" t="n">
        <v>0.04934</v>
      </c>
      <c r="Q629" s="40" t="n">
        <v>3E-005</v>
      </c>
      <c r="R629" s="39" t="n">
        <v>0.25372</v>
      </c>
      <c r="S629" s="40" t="n">
        <v>0.00018</v>
      </c>
      <c r="T629" s="39" t="n">
        <v>0.02277</v>
      </c>
      <c r="U629" s="40" t="n">
        <v>4E-005</v>
      </c>
      <c r="V629" s="39" t="n">
        <v>0.18167</v>
      </c>
      <c r="W629" s="40" t="n">
        <v>0.00019</v>
      </c>
      <c r="X629" s="39" t="n">
        <v>0.00331</v>
      </c>
      <c r="Y629" s="40" t="n">
        <v>0</v>
      </c>
    </row>
    <row r="630" customFormat="false" ht="15" hidden="false" customHeight="false" outlineLevel="0" collapsed="false">
      <c r="A630" s="38" t="n">
        <v>685</v>
      </c>
      <c r="B630" s="39" t="n">
        <v>0.00234</v>
      </c>
      <c r="C630" s="40" t="n">
        <v>0</v>
      </c>
      <c r="D630" s="39" t="n">
        <v>-0.03052</v>
      </c>
      <c r="E630" s="40" t="n">
        <v>-1E-005</v>
      </c>
      <c r="F630" s="39" t="n">
        <v>0.01298</v>
      </c>
      <c r="G630" s="40" t="n">
        <v>2E-005</v>
      </c>
      <c r="H630" s="39" t="n">
        <v>0.17936</v>
      </c>
      <c r="I630" s="40" t="n">
        <v>3E-005</v>
      </c>
      <c r="J630" s="39" t="n">
        <v>0.16968</v>
      </c>
      <c r="K630" s="40" t="n">
        <v>0.00014</v>
      </c>
      <c r="L630" s="39" t="n">
        <v>-0.00413</v>
      </c>
      <c r="M630" s="40" t="n">
        <v>0</v>
      </c>
      <c r="N630" s="39" t="n">
        <v>0.19598</v>
      </c>
      <c r="O630" s="40" t="n">
        <v>0.00015</v>
      </c>
      <c r="P630" s="39" t="n">
        <v>0.04877</v>
      </c>
      <c r="Q630" s="40" t="n">
        <v>3E-005</v>
      </c>
      <c r="R630" s="39" t="n">
        <v>0.25155</v>
      </c>
      <c r="S630" s="40" t="n">
        <v>0.00018</v>
      </c>
      <c r="T630" s="39" t="n">
        <v>0.02247</v>
      </c>
      <c r="U630" s="40" t="n">
        <v>4E-005</v>
      </c>
      <c r="V630" s="39" t="n">
        <v>0.17926</v>
      </c>
      <c r="W630" s="40" t="n">
        <v>0.00019</v>
      </c>
      <c r="X630" s="39" t="n">
        <v>0.00325</v>
      </c>
      <c r="Y630" s="40" t="n">
        <v>1E-005</v>
      </c>
    </row>
    <row r="631" customFormat="false" ht="15" hidden="false" customHeight="false" outlineLevel="0" collapsed="false">
      <c r="A631" s="38" t="n">
        <v>686</v>
      </c>
      <c r="B631" s="39" t="n">
        <v>0.00232</v>
      </c>
      <c r="C631" s="40" t="n">
        <v>0</v>
      </c>
      <c r="D631" s="39" t="n">
        <v>-0.03124</v>
      </c>
      <c r="E631" s="40" t="n">
        <v>1E-005</v>
      </c>
      <c r="F631" s="39" t="n">
        <v>0.01282</v>
      </c>
      <c r="G631" s="40" t="n">
        <v>2E-005</v>
      </c>
      <c r="H631" s="39" t="n">
        <v>0.17893</v>
      </c>
      <c r="I631" s="40" t="n">
        <v>2E-005</v>
      </c>
      <c r="J631" s="39" t="n">
        <v>0.16779</v>
      </c>
      <c r="K631" s="40" t="n">
        <v>0.00014</v>
      </c>
      <c r="L631" s="39" t="n">
        <v>-0.00401</v>
      </c>
      <c r="M631" s="40" t="n">
        <v>0</v>
      </c>
      <c r="N631" s="39" t="n">
        <v>0.19436</v>
      </c>
      <c r="O631" s="40" t="n">
        <v>0.00015</v>
      </c>
      <c r="P631" s="39" t="n">
        <v>0.04849</v>
      </c>
      <c r="Q631" s="40" t="n">
        <v>3E-005</v>
      </c>
      <c r="R631" s="39" t="n">
        <v>0.24928</v>
      </c>
      <c r="S631" s="40" t="n">
        <v>0.00018</v>
      </c>
      <c r="T631" s="39" t="n">
        <v>0.02204</v>
      </c>
      <c r="U631" s="40" t="n">
        <v>4E-005</v>
      </c>
      <c r="V631" s="39" t="n">
        <v>0.17702</v>
      </c>
      <c r="W631" s="40" t="n">
        <v>0.00019</v>
      </c>
      <c r="X631" s="39" t="n">
        <v>0.00349</v>
      </c>
      <c r="Y631" s="40" t="n">
        <v>1E-005</v>
      </c>
    </row>
    <row r="632" customFormat="false" ht="15" hidden="false" customHeight="false" outlineLevel="0" collapsed="false">
      <c r="A632" s="38" t="n">
        <v>687</v>
      </c>
      <c r="B632" s="39" t="n">
        <v>0.00227</v>
      </c>
      <c r="C632" s="40" t="n">
        <v>1E-005</v>
      </c>
      <c r="D632" s="39" t="n">
        <v>-0.03141</v>
      </c>
      <c r="E632" s="40" t="n">
        <v>-1E-005</v>
      </c>
      <c r="F632" s="39" t="n">
        <v>0.01304</v>
      </c>
      <c r="G632" s="40" t="n">
        <v>3E-005</v>
      </c>
      <c r="H632" s="39" t="n">
        <v>0.17858</v>
      </c>
      <c r="I632" s="40" t="n">
        <v>3E-005</v>
      </c>
      <c r="J632" s="39" t="n">
        <v>0.16582</v>
      </c>
      <c r="K632" s="40" t="n">
        <v>0.00014</v>
      </c>
      <c r="L632" s="39" t="n">
        <v>-0.00407</v>
      </c>
      <c r="M632" s="40" t="n">
        <v>0</v>
      </c>
      <c r="N632" s="39" t="n">
        <v>0.19247</v>
      </c>
      <c r="O632" s="40" t="n">
        <v>0.00015</v>
      </c>
      <c r="P632" s="39" t="n">
        <v>0.04834</v>
      </c>
      <c r="Q632" s="40" t="n">
        <v>3E-005</v>
      </c>
      <c r="R632" s="39" t="n">
        <v>0.24708</v>
      </c>
      <c r="S632" s="40" t="n">
        <v>0.00018</v>
      </c>
      <c r="T632" s="39" t="n">
        <v>0.02141</v>
      </c>
      <c r="U632" s="40" t="n">
        <v>4E-005</v>
      </c>
      <c r="V632" s="39" t="n">
        <v>0.17485</v>
      </c>
      <c r="W632" s="40" t="n">
        <v>0.00019</v>
      </c>
      <c r="X632" s="39" t="n">
        <v>0.00325</v>
      </c>
      <c r="Y632" s="40" t="n">
        <v>1E-005</v>
      </c>
    </row>
    <row r="633" customFormat="false" ht="15" hidden="false" customHeight="false" outlineLevel="0" collapsed="false">
      <c r="A633" s="38" t="n">
        <v>688</v>
      </c>
      <c r="B633" s="39" t="n">
        <v>0.00217</v>
      </c>
      <c r="C633" s="40" t="n">
        <v>1E-005</v>
      </c>
      <c r="D633" s="39" t="n">
        <v>-0.03204</v>
      </c>
      <c r="E633" s="40" t="n">
        <v>1E-005</v>
      </c>
      <c r="F633" s="39" t="n">
        <v>0.01263</v>
      </c>
      <c r="G633" s="40" t="n">
        <v>2E-005</v>
      </c>
      <c r="H633" s="39" t="n">
        <v>0.17845</v>
      </c>
      <c r="I633" s="40" t="n">
        <v>3E-005</v>
      </c>
      <c r="J633" s="39" t="n">
        <v>0.16422</v>
      </c>
      <c r="K633" s="40" t="n">
        <v>0.00014</v>
      </c>
      <c r="L633" s="39" t="n">
        <v>-0.00416</v>
      </c>
      <c r="M633" s="40" t="n">
        <v>0</v>
      </c>
      <c r="N633" s="39" t="n">
        <v>0.19069</v>
      </c>
      <c r="O633" s="40" t="n">
        <v>0.00014</v>
      </c>
      <c r="P633" s="39" t="n">
        <v>0.04795</v>
      </c>
      <c r="Q633" s="40" t="n">
        <v>3E-005</v>
      </c>
      <c r="R633" s="39" t="n">
        <v>0.24497</v>
      </c>
      <c r="S633" s="40" t="n">
        <v>0.00019</v>
      </c>
      <c r="T633" s="39" t="n">
        <v>0.02102</v>
      </c>
      <c r="U633" s="40" t="n">
        <v>4E-005</v>
      </c>
      <c r="V633" s="39" t="n">
        <v>0.17267</v>
      </c>
      <c r="W633" s="40" t="n">
        <v>0.00019</v>
      </c>
      <c r="X633" s="39" t="n">
        <v>0.00305</v>
      </c>
      <c r="Y633" s="40" t="n">
        <v>1E-005</v>
      </c>
    </row>
    <row r="634" customFormat="false" ht="15" hidden="false" customHeight="false" outlineLevel="0" collapsed="false">
      <c r="A634" s="38" t="n">
        <v>689</v>
      </c>
      <c r="B634" s="39" t="n">
        <v>0.00197</v>
      </c>
      <c r="C634" s="40" t="n">
        <v>1E-005</v>
      </c>
      <c r="D634" s="39" t="n">
        <v>-0.03105</v>
      </c>
      <c r="E634" s="40" t="n">
        <v>4E-005</v>
      </c>
      <c r="F634" s="39" t="n">
        <v>0.01219</v>
      </c>
      <c r="G634" s="40" t="n">
        <v>1E-005</v>
      </c>
      <c r="H634" s="39" t="n">
        <v>0.17844</v>
      </c>
      <c r="I634" s="40" t="n">
        <v>3E-005</v>
      </c>
      <c r="J634" s="39" t="n">
        <v>0.1627</v>
      </c>
      <c r="K634" s="40" t="n">
        <v>0.00014</v>
      </c>
      <c r="L634" s="39" t="n">
        <v>-0.00423</v>
      </c>
      <c r="M634" s="40" t="n">
        <v>0</v>
      </c>
      <c r="N634" s="39" t="n">
        <v>0.189</v>
      </c>
      <c r="O634" s="40" t="n">
        <v>0.00014</v>
      </c>
      <c r="P634" s="39" t="n">
        <v>0.04748</v>
      </c>
      <c r="Q634" s="40" t="n">
        <v>3E-005</v>
      </c>
      <c r="R634" s="39" t="n">
        <v>0.24299</v>
      </c>
      <c r="S634" s="40" t="n">
        <v>0.00018</v>
      </c>
      <c r="T634" s="39" t="n">
        <v>0.02066</v>
      </c>
      <c r="U634" s="40" t="n">
        <v>4E-005</v>
      </c>
      <c r="V634" s="39" t="n">
        <v>0.17057</v>
      </c>
      <c r="W634" s="40" t="n">
        <v>0.00018</v>
      </c>
      <c r="X634" s="39" t="n">
        <v>0.00269</v>
      </c>
      <c r="Y634" s="40" t="n">
        <v>1E-005</v>
      </c>
    </row>
    <row r="635" customFormat="false" ht="15" hidden="false" customHeight="false" outlineLevel="0" collapsed="false">
      <c r="A635" s="38" t="n">
        <v>690</v>
      </c>
      <c r="B635" s="39" t="n">
        <v>0.00178</v>
      </c>
      <c r="C635" s="40" t="n">
        <v>1E-005</v>
      </c>
      <c r="D635" s="39" t="n">
        <v>-0.032</v>
      </c>
      <c r="E635" s="40" t="n">
        <v>3E-005</v>
      </c>
      <c r="F635" s="39" t="n">
        <v>0.01166</v>
      </c>
      <c r="G635" s="40" t="n">
        <v>2E-005</v>
      </c>
      <c r="H635" s="39" t="n">
        <v>0.17797</v>
      </c>
      <c r="I635" s="40" t="n">
        <v>3E-005</v>
      </c>
      <c r="J635" s="39" t="n">
        <v>0.16119</v>
      </c>
      <c r="K635" s="40" t="n">
        <v>0.00014</v>
      </c>
      <c r="L635" s="39" t="n">
        <v>-0.004</v>
      </c>
      <c r="M635" s="40" t="n">
        <v>0</v>
      </c>
      <c r="N635" s="39" t="n">
        <v>0.1872</v>
      </c>
      <c r="O635" s="40" t="n">
        <v>0.00014</v>
      </c>
      <c r="P635" s="39" t="n">
        <v>0.04718</v>
      </c>
      <c r="Q635" s="40" t="n">
        <v>3E-005</v>
      </c>
      <c r="R635" s="39" t="n">
        <v>0.24067</v>
      </c>
      <c r="S635" s="40" t="n">
        <v>0.00018</v>
      </c>
      <c r="T635" s="39" t="n">
        <v>0.02032</v>
      </c>
      <c r="U635" s="40" t="n">
        <v>4E-005</v>
      </c>
      <c r="V635" s="39" t="n">
        <v>0.16833</v>
      </c>
      <c r="W635" s="40" t="n">
        <v>0.00018</v>
      </c>
      <c r="X635" s="39" t="n">
        <v>0.00268</v>
      </c>
      <c r="Y635" s="40" t="n">
        <v>1E-005</v>
      </c>
    </row>
    <row r="636" customFormat="false" ht="15" hidden="false" customHeight="false" outlineLevel="0" collapsed="false">
      <c r="A636" s="38" t="n">
        <v>691</v>
      </c>
      <c r="B636" s="39" t="n">
        <v>0.00186</v>
      </c>
      <c r="C636" s="40" t="n">
        <v>1E-005</v>
      </c>
      <c r="D636" s="39" t="n">
        <v>-0.03128</v>
      </c>
      <c r="E636" s="40" t="n">
        <v>1E-005</v>
      </c>
      <c r="F636" s="39" t="n">
        <v>0.01139</v>
      </c>
      <c r="G636" s="40" t="n">
        <v>3E-005</v>
      </c>
      <c r="H636" s="39" t="n">
        <v>0.1773</v>
      </c>
      <c r="I636" s="40" t="n">
        <v>3E-005</v>
      </c>
      <c r="J636" s="39" t="n">
        <v>0.15929</v>
      </c>
      <c r="K636" s="40" t="n">
        <v>0.00014</v>
      </c>
      <c r="L636" s="39" t="n">
        <v>-0.00392</v>
      </c>
      <c r="M636" s="40" t="n">
        <v>0</v>
      </c>
      <c r="N636" s="39" t="n">
        <v>0.1856</v>
      </c>
      <c r="O636" s="40" t="n">
        <v>0.00014</v>
      </c>
      <c r="P636" s="39" t="n">
        <v>0.04669</v>
      </c>
      <c r="Q636" s="40" t="n">
        <v>4E-005</v>
      </c>
      <c r="R636" s="39" t="n">
        <v>0.23819</v>
      </c>
      <c r="S636" s="40" t="n">
        <v>0.00018</v>
      </c>
      <c r="T636" s="39" t="n">
        <v>0.01988</v>
      </c>
      <c r="U636" s="40" t="n">
        <v>3E-005</v>
      </c>
      <c r="V636" s="39" t="n">
        <v>0.1659</v>
      </c>
      <c r="W636" s="40" t="n">
        <v>0.00019</v>
      </c>
      <c r="X636" s="39" t="n">
        <v>0.00284</v>
      </c>
      <c r="Y636" s="40" t="n">
        <v>0</v>
      </c>
    </row>
    <row r="637" customFormat="false" ht="15" hidden="false" customHeight="false" outlineLevel="0" collapsed="false">
      <c r="A637" s="38" t="n">
        <v>692</v>
      </c>
      <c r="B637" s="39" t="n">
        <v>0.00176</v>
      </c>
      <c r="C637" s="40" t="n">
        <v>0</v>
      </c>
      <c r="D637" s="39" t="n">
        <v>-0.0323</v>
      </c>
      <c r="E637" s="40" t="n">
        <v>0</v>
      </c>
      <c r="F637" s="39" t="n">
        <v>0.01162</v>
      </c>
      <c r="G637" s="40" t="n">
        <v>2E-005</v>
      </c>
      <c r="H637" s="39" t="n">
        <v>0.17694</v>
      </c>
      <c r="I637" s="40" t="n">
        <v>4E-005</v>
      </c>
      <c r="J637" s="39" t="n">
        <v>0.15756</v>
      </c>
      <c r="K637" s="40" t="n">
        <v>0.00014</v>
      </c>
      <c r="L637" s="39" t="n">
        <v>-0.00413</v>
      </c>
      <c r="M637" s="40" t="n">
        <v>0</v>
      </c>
      <c r="N637" s="39" t="n">
        <v>0.18408</v>
      </c>
      <c r="O637" s="40" t="n">
        <v>0.00014</v>
      </c>
      <c r="P637" s="39" t="n">
        <v>0.0463</v>
      </c>
      <c r="Q637" s="40" t="n">
        <v>4E-005</v>
      </c>
      <c r="R637" s="39" t="n">
        <v>0.23614</v>
      </c>
      <c r="S637" s="40" t="n">
        <v>0.00018</v>
      </c>
      <c r="T637" s="39" t="n">
        <v>0.01933</v>
      </c>
      <c r="U637" s="40" t="n">
        <v>3E-005</v>
      </c>
      <c r="V637" s="39" t="n">
        <v>0.16374</v>
      </c>
      <c r="W637" s="40" t="n">
        <v>0.00018</v>
      </c>
      <c r="X637" s="39" t="n">
        <v>0.00292</v>
      </c>
      <c r="Y637" s="40" t="n">
        <v>-1E-005</v>
      </c>
    </row>
    <row r="638" customFormat="false" ht="15" hidden="false" customHeight="false" outlineLevel="0" collapsed="false">
      <c r="A638" s="38" t="n">
        <v>693</v>
      </c>
      <c r="B638" s="39" t="n">
        <v>0.00184</v>
      </c>
      <c r="C638" s="40" t="n">
        <v>0</v>
      </c>
      <c r="D638" s="39" t="n">
        <v>-0.03317</v>
      </c>
      <c r="E638" s="40" t="n">
        <v>1E-005</v>
      </c>
      <c r="F638" s="39" t="n">
        <v>0.01152</v>
      </c>
      <c r="G638" s="40" t="n">
        <v>1E-005</v>
      </c>
      <c r="H638" s="39" t="n">
        <v>0.17656</v>
      </c>
      <c r="I638" s="40" t="n">
        <v>4E-005</v>
      </c>
      <c r="J638" s="39" t="n">
        <v>0.15613</v>
      </c>
      <c r="K638" s="40" t="n">
        <v>0.00013</v>
      </c>
      <c r="L638" s="39" t="n">
        <v>-0.00424</v>
      </c>
      <c r="M638" s="40" t="n">
        <v>1E-005</v>
      </c>
      <c r="N638" s="39" t="n">
        <v>0.18239</v>
      </c>
      <c r="O638" s="40" t="n">
        <v>0.00015</v>
      </c>
      <c r="P638" s="39" t="n">
        <v>0.04575</v>
      </c>
      <c r="Q638" s="40" t="n">
        <v>4E-005</v>
      </c>
      <c r="R638" s="39" t="n">
        <v>0.23443</v>
      </c>
      <c r="S638" s="40" t="n">
        <v>0.00018</v>
      </c>
      <c r="T638" s="39" t="n">
        <v>0.01899</v>
      </c>
      <c r="U638" s="40" t="n">
        <v>3E-005</v>
      </c>
      <c r="V638" s="39" t="n">
        <v>0.16177</v>
      </c>
      <c r="W638" s="40" t="n">
        <v>0.00018</v>
      </c>
      <c r="X638" s="39" t="n">
        <v>0.00286</v>
      </c>
      <c r="Y638" s="40" t="n">
        <v>-1E-005</v>
      </c>
    </row>
    <row r="639" customFormat="false" ht="15" hidden="false" customHeight="false" outlineLevel="0" collapsed="false">
      <c r="A639" s="38" t="n">
        <v>694</v>
      </c>
      <c r="B639" s="39" t="n">
        <v>0.00164</v>
      </c>
      <c r="C639" s="40" t="n">
        <v>0</v>
      </c>
      <c r="D639" s="39" t="n">
        <v>-0.0326</v>
      </c>
      <c r="E639" s="40" t="n">
        <v>-3E-005</v>
      </c>
      <c r="F639" s="39" t="n">
        <v>0.0109</v>
      </c>
      <c r="G639" s="40" t="n">
        <v>1E-005</v>
      </c>
      <c r="H639" s="39" t="n">
        <v>0.17614</v>
      </c>
      <c r="I639" s="40" t="n">
        <v>4E-005</v>
      </c>
      <c r="J639" s="39" t="n">
        <v>0.1544</v>
      </c>
      <c r="K639" s="40" t="n">
        <v>0.00013</v>
      </c>
      <c r="L639" s="39" t="n">
        <v>-0.00421</v>
      </c>
      <c r="M639" s="40" t="n">
        <v>0</v>
      </c>
      <c r="N639" s="39" t="n">
        <v>0.1804</v>
      </c>
      <c r="O639" s="40" t="n">
        <v>0.00015</v>
      </c>
      <c r="P639" s="39" t="n">
        <v>0.04535</v>
      </c>
      <c r="Q639" s="40" t="n">
        <v>3E-005</v>
      </c>
      <c r="R639" s="39" t="n">
        <v>0.23206</v>
      </c>
      <c r="S639" s="40" t="n">
        <v>0.00018</v>
      </c>
      <c r="T639" s="39" t="n">
        <v>0.01873</v>
      </c>
      <c r="U639" s="40" t="n">
        <v>3E-005</v>
      </c>
      <c r="V639" s="39" t="n">
        <v>0.15951</v>
      </c>
      <c r="W639" s="40" t="n">
        <v>0.00018</v>
      </c>
      <c r="X639" s="39" t="n">
        <v>0.0028</v>
      </c>
      <c r="Y639" s="40" t="n">
        <v>0</v>
      </c>
    </row>
    <row r="640" customFormat="false" ht="15" hidden="false" customHeight="false" outlineLevel="0" collapsed="false">
      <c r="A640" s="38" t="n">
        <v>695</v>
      </c>
      <c r="B640" s="39" t="n">
        <v>0.0015</v>
      </c>
      <c r="C640" s="40" t="n">
        <v>0</v>
      </c>
      <c r="D640" s="39" t="n">
        <v>-0.03099</v>
      </c>
      <c r="E640" s="40" t="n">
        <v>-6E-005</v>
      </c>
      <c r="F640" s="39" t="n">
        <v>0.01053</v>
      </c>
      <c r="G640" s="40" t="n">
        <v>2E-005</v>
      </c>
      <c r="H640" s="39" t="n">
        <v>0.1756</v>
      </c>
      <c r="I640" s="40" t="n">
        <v>3E-005</v>
      </c>
      <c r="J640" s="39" t="n">
        <v>0.15275</v>
      </c>
      <c r="K640" s="40" t="n">
        <v>0.00013</v>
      </c>
      <c r="L640" s="39" t="n">
        <v>-0.00429</v>
      </c>
      <c r="M640" s="40" t="n">
        <v>0</v>
      </c>
      <c r="N640" s="39" t="n">
        <v>0.17875</v>
      </c>
      <c r="O640" s="40" t="n">
        <v>0.00015</v>
      </c>
      <c r="P640" s="39" t="n">
        <v>0.04497</v>
      </c>
      <c r="Q640" s="40" t="n">
        <v>3E-005</v>
      </c>
      <c r="R640" s="39" t="n">
        <v>0.22994</v>
      </c>
      <c r="S640" s="40" t="n">
        <v>0.00018</v>
      </c>
      <c r="T640" s="39" t="n">
        <v>0.01838</v>
      </c>
      <c r="U640" s="40" t="n">
        <v>3E-005</v>
      </c>
      <c r="V640" s="39" t="n">
        <v>0.15726</v>
      </c>
      <c r="W640" s="40" t="n">
        <v>0.00017</v>
      </c>
      <c r="X640" s="39" t="n">
        <v>0.00308</v>
      </c>
      <c r="Y640" s="40" t="n">
        <v>0</v>
      </c>
    </row>
    <row r="641" customFormat="false" ht="15" hidden="false" customHeight="false" outlineLevel="0" collapsed="false">
      <c r="A641" s="38" t="n">
        <v>696</v>
      </c>
      <c r="B641" s="39" t="n">
        <v>0.00177</v>
      </c>
      <c r="C641" s="40" t="n">
        <v>1E-005</v>
      </c>
      <c r="D641" s="39" t="n">
        <v>-0.03073</v>
      </c>
      <c r="E641" s="40" t="n">
        <v>-7E-005</v>
      </c>
      <c r="F641" s="39" t="n">
        <v>0.01066</v>
      </c>
      <c r="G641" s="40" t="n">
        <v>2E-005</v>
      </c>
      <c r="H641" s="39" t="n">
        <v>0.17523</v>
      </c>
      <c r="I641" s="40" t="n">
        <v>3E-005</v>
      </c>
      <c r="J641" s="39" t="n">
        <v>0.15121</v>
      </c>
      <c r="K641" s="40" t="n">
        <v>0.00014</v>
      </c>
      <c r="L641" s="39" t="n">
        <v>-0.00439</v>
      </c>
      <c r="M641" s="40" t="n">
        <v>-1E-005</v>
      </c>
      <c r="N641" s="39" t="n">
        <v>0.17705</v>
      </c>
      <c r="O641" s="40" t="n">
        <v>0.00016</v>
      </c>
      <c r="P641" s="39" t="n">
        <v>0.04463</v>
      </c>
      <c r="Q641" s="40" t="n">
        <v>3E-005</v>
      </c>
      <c r="R641" s="39" t="n">
        <v>0.22792</v>
      </c>
      <c r="S641" s="40" t="n">
        <v>0.00018</v>
      </c>
      <c r="T641" s="39" t="n">
        <v>0.01788</v>
      </c>
      <c r="U641" s="40" t="n">
        <v>3E-005</v>
      </c>
      <c r="V641" s="39" t="n">
        <v>0.15543</v>
      </c>
      <c r="W641" s="40" t="n">
        <v>0.00018</v>
      </c>
      <c r="X641" s="39" t="n">
        <v>0.00304</v>
      </c>
      <c r="Y641" s="40" t="n">
        <v>0</v>
      </c>
    </row>
    <row r="642" customFormat="false" ht="15" hidden="false" customHeight="false" outlineLevel="0" collapsed="false">
      <c r="A642" s="38" t="n">
        <v>697</v>
      </c>
      <c r="B642" s="39" t="n">
        <v>0.00146</v>
      </c>
      <c r="C642" s="40" t="n">
        <v>0</v>
      </c>
      <c r="D642" s="39" t="n">
        <v>-0.03082</v>
      </c>
      <c r="E642" s="40" t="n">
        <v>-7E-005</v>
      </c>
      <c r="F642" s="39" t="n">
        <v>0.01079</v>
      </c>
      <c r="G642" s="40" t="n">
        <v>2E-005</v>
      </c>
      <c r="H642" s="39" t="n">
        <v>0.17472</v>
      </c>
      <c r="I642" s="40" t="n">
        <v>3E-005</v>
      </c>
      <c r="J642" s="39" t="n">
        <v>0.14987</v>
      </c>
      <c r="K642" s="40" t="n">
        <v>0.00014</v>
      </c>
      <c r="L642" s="39" t="n">
        <v>-0.00416</v>
      </c>
      <c r="M642" s="40" t="n">
        <v>-1E-005</v>
      </c>
      <c r="N642" s="39" t="n">
        <v>0.17481</v>
      </c>
      <c r="O642" s="40" t="n">
        <v>0.00015</v>
      </c>
      <c r="P642" s="39" t="n">
        <v>0.04426</v>
      </c>
      <c r="Q642" s="40" t="n">
        <v>3E-005</v>
      </c>
      <c r="R642" s="39" t="n">
        <v>0.22539</v>
      </c>
      <c r="S642" s="40" t="n">
        <v>0.00019</v>
      </c>
      <c r="T642" s="39" t="n">
        <v>0.01744</v>
      </c>
      <c r="U642" s="40" t="n">
        <v>3E-005</v>
      </c>
      <c r="V642" s="39" t="n">
        <v>0.15333</v>
      </c>
      <c r="W642" s="40" t="n">
        <v>0.00018</v>
      </c>
      <c r="X642" s="39" t="n">
        <v>0.00279</v>
      </c>
      <c r="Y642" s="40" t="n">
        <v>0</v>
      </c>
    </row>
    <row r="643" customFormat="false" ht="15" hidden="false" customHeight="false" outlineLevel="0" collapsed="false">
      <c r="A643" s="38" t="n">
        <v>698</v>
      </c>
      <c r="B643" s="39" t="n">
        <v>0.00165</v>
      </c>
      <c r="C643" s="40" t="n">
        <v>1E-005</v>
      </c>
      <c r="D643" s="39" t="n">
        <v>-0.02911</v>
      </c>
      <c r="E643" s="40" t="n">
        <v>-3E-005</v>
      </c>
      <c r="F643" s="39" t="n">
        <v>0.01018</v>
      </c>
      <c r="G643" s="40" t="n">
        <v>2E-005</v>
      </c>
      <c r="H643" s="39" t="n">
        <v>0.17448</v>
      </c>
      <c r="I643" s="40" t="n">
        <v>3E-005</v>
      </c>
      <c r="J643" s="39" t="n">
        <v>0.14793</v>
      </c>
      <c r="K643" s="40" t="n">
        <v>0.00013</v>
      </c>
      <c r="L643" s="39" t="n">
        <v>-0.00382</v>
      </c>
      <c r="M643" s="40" t="n">
        <v>-1E-005</v>
      </c>
      <c r="N643" s="39" t="n">
        <v>0.17319</v>
      </c>
      <c r="O643" s="40" t="n">
        <v>0.00015</v>
      </c>
      <c r="P643" s="39" t="n">
        <v>0.04411</v>
      </c>
      <c r="Q643" s="40" t="n">
        <v>3E-005</v>
      </c>
      <c r="R643" s="39" t="n">
        <v>0.2232</v>
      </c>
      <c r="S643" s="40" t="n">
        <v>0.00018</v>
      </c>
      <c r="T643" s="39" t="n">
        <v>0.01719</v>
      </c>
      <c r="U643" s="40" t="n">
        <v>4E-005</v>
      </c>
      <c r="V643" s="39" t="n">
        <v>0.1511</v>
      </c>
      <c r="W643" s="40" t="n">
        <v>0.00018</v>
      </c>
      <c r="X643" s="39" t="n">
        <v>0.00279</v>
      </c>
      <c r="Y643" s="40" t="n">
        <v>0</v>
      </c>
    </row>
    <row r="644" customFormat="false" ht="15" hidden="false" customHeight="false" outlineLevel="0" collapsed="false">
      <c r="A644" s="38" t="n">
        <v>699</v>
      </c>
      <c r="B644" s="39" t="n">
        <v>0.00157</v>
      </c>
      <c r="C644" s="40" t="n">
        <v>1E-005</v>
      </c>
      <c r="D644" s="39" t="n">
        <v>-0.02768</v>
      </c>
      <c r="E644" s="40" t="n">
        <v>-2E-005</v>
      </c>
      <c r="F644" s="39" t="n">
        <v>0.00968</v>
      </c>
      <c r="G644" s="40" t="n">
        <v>2E-005</v>
      </c>
      <c r="H644" s="39" t="n">
        <v>0.17413</v>
      </c>
      <c r="I644" s="40" t="n">
        <v>3E-005</v>
      </c>
      <c r="J644" s="39" t="n">
        <v>0.1461</v>
      </c>
      <c r="K644" s="40" t="n">
        <v>0.00013</v>
      </c>
      <c r="L644" s="39" t="n">
        <v>-0.00359</v>
      </c>
      <c r="M644" s="40" t="n">
        <v>-1E-005</v>
      </c>
      <c r="N644" s="39" t="n">
        <v>0.17126</v>
      </c>
      <c r="O644" s="40" t="n">
        <v>0.00015</v>
      </c>
      <c r="P644" s="39" t="n">
        <v>0.04359</v>
      </c>
      <c r="Q644" s="40" t="n">
        <v>3E-005</v>
      </c>
      <c r="R644" s="39" t="n">
        <v>0.22133</v>
      </c>
      <c r="S644" s="40" t="n">
        <v>0.00018</v>
      </c>
      <c r="T644" s="39" t="n">
        <v>0.01674</v>
      </c>
      <c r="U644" s="40" t="n">
        <v>3E-005</v>
      </c>
      <c r="V644" s="39" t="n">
        <v>0.1489</v>
      </c>
      <c r="W644" s="40" t="n">
        <v>0.00018</v>
      </c>
      <c r="X644" s="39" t="n">
        <v>0.00291</v>
      </c>
      <c r="Y644" s="40" t="n">
        <v>0</v>
      </c>
    </row>
    <row r="645" customFormat="false" ht="15" hidden="false" customHeight="false" outlineLevel="0" collapsed="false">
      <c r="A645" s="38" t="n">
        <v>700</v>
      </c>
      <c r="B645" s="39" t="n">
        <v>0.00115</v>
      </c>
      <c r="C645" s="40" t="n">
        <v>1E-005</v>
      </c>
      <c r="D645" s="39" t="n">
        <v>-0.02894</v>
      </c>
      <c r="E645" s="40" t="n">
        <v>-1E-005</v>
      </c>
      <c r="F645" s="39" t="n">
        <v>0.00963</v>
      </c>
      <c r="G645" s="40" t="n">
        <v>2E-005</v>
      </c>
      <c r="H645" s="39" t="n">
        <v>0.17362</v>
      </c>
      <c r="I645" s="40" t="n">
        <v>4E-005</v>
      </c>
      <c r="J645" s="39" t="n">
        <v>0.14462</v>
      </c>
      <c r="K645" s="40" t="n">
        <v>0.00014</v>
      </c>
      <c r="L645" s="39" t="n">
        <v>-0.00358</v>
      </c>
      <c r="M645" s="40" t="n">
        <v>0</v>
      </c>
      <c r="N645" s="39" t="n">
        <v>0.16958</v>
      </c>
      <c r="O645" s="40" t="n">
        <v>0.00015</v>
      </c>
      <c r="P645" s="39" t="n">
        <v>0.04322</v>
      </c>
      <c r="Q645" s="40" t="n">
        <v>3E-005</v>
      </c>
      <c r="R645" s="39" t="n">
        <v>0.21896</v>
      </c>
      <c r="S645" s="40" t="n">
        <v>0.00018</v>
      </c>
      <c r="T645" s="39" t="n">
        <v>0.01613</v>
      </c>
      <c r="U645" s="40" t="n">
        <v>3E-005</v>
      </c>
      <c r="V645" s="39" t="n">
        <v>0.14679</v>
      </c>
      <c r="W645" s="40" t="n">
        <v>0.00018</v>
      </c>
      <c r="X645" s="39" t="n">
        <v>0.0027</v>
      </c>
      <c r="Y645" s="40" t="n">
        <v>0</v>
      </c>
    </row>
    <row r="646" customFormat="false" ht="15" hidden="false" customHeight="false" outlineLevel="0" collapsed="false">
      <c r="A646" s="38" t="n">
        <v>701</v>
      </c>
      <c r="B646" s="39" t="n">
        <v>0.00146</v>
      </c>
      <c r="C646" s="40" t="n">
        <v>1E-005</v>
      </c>
      <c r="D646" s="39" t="n">
        <v>-0.02892</v>
      </c>
      <c r="E646" s="40" t="n">
        <v>-3E-005</v>
      </c>
      <c r="F646" s="39" t="n">
        <v>0.00968</v>
      </c>
      <c r="G646" s="40" t="n">
        <v>2E-005</v>
      </c>
      <c r="H646" s="39" t="n">
        <v>0.1732</v>
      </c>
      <c r="I646" s="40" t="n">
        <v>4E-005</v>
      </c>
      <c r="J646" s="39" t="n">
        <v>0.14306</v>
      </c>
      <c r="K646" s="40" t="n">
        <v>0.00014</v>
      </c>
      <c r="L646" s="39" t="n">
        <v>-0.00362</v>
      </c>
      <c r="M646" s="40" t="n">
        <v>0</v>
      </c>
      <c r="N646" s="39" t="n">
        <v>0.16771</v>
      </c>
      <c r="O646" s="40" t="n">
        <v>0.00015</v>
      </c>
      <c r="P646" s="39" t="n">
        <v>0.04301</v>
      </c>
      <c r="Q646" s="40" t="n">
        <v>3E-005</v>
      </c>
      <c r="R646" s="39" t="n">
        <v>0.21666</v>
      </c>
      <c r="S646" s="40" t="n">
        <v>0.00018</v>
      </c>
      <c r="T646" s="39" t="n">
        <v>0.01587</v>
      </c>
      <c r="U646" s="40" t="n">
        <v>3E-005</v>
      </c>
      <c r="V646" s="39" t="n">
        <v>0.14468</v>
      </c>
      <c r="W646" s="40" t="n">
        <v>0.00018</v>
      </c>
      <c r="X646" s="39" t="n">
        <v>0.00291</v>
      </c>
      <c r="Y646" s="40" t="n">
        <v>0</v>
      </c>
    </row>
    <row r="647" customFormat="false" ht="15" hidden="false" customHeight="false" outlineLevel="0" collapsed="false">
      <c r="A647" s="38" t="n">
        <v>702</v>
      </c>
      <c r="B647" s="39" t="n">
        <v>0.00117</v>
      </c>
      <c r="C647" s="40" t="n">
        <v>0</v>
      </c>
      <c r="D647" s="39" t="n">
        <v>-0.0298</v>
      </c>
      <c r="E647" s="40" t="n">
        <v>0</v>
      </c>
      <c r="F647" s="39" t="n">
        <v>0.00917</v>
      </c>
      <c r="G647" s="40" t="n">
        <v>1E-005</v>
      </c>
      <c r="H647" s="39" t="n">
        <v>0.17268</v>
      </c>
      <c r="I647" s="40" t="n">
        <v>5E-005</v>
      </c>
      <c r="J647" s="39" t="n">
        <v>0.14174</v>
      </c>
      <c r="K647" s="40" t="n">
        <v>0.00014</v>
      </c>
      <c r="L647" s="39" t="n">
        <v>-0.0038</v>
      </c>
      <c r="M647" s="40" t="n">
        <v>0</v>
      </c>
      <c r="N647" s="39" t="n">
        <v>0.16589</v>
      </c>
      <c r="O647" s="40" t="n">
        <v>0.00016</v>
      </c>
      <c r="P647" s="39" t="n">
        <v>0.04273</v>
      </c>
      <c r="Q647" s="40" t="n">
        <v>3E-005</v>
      </c>
      <c r="R647" s="39" t="n">
        <v>0.21473</v>
      </c>
      <c r="S647" s="40" t="n">
        <v>0.00019</v>
      </c>
      <c r="T647" s="39" t="n">
        <v>0.01564</v>
      </c>
      <c r="U647" s="40" t="n">
        <v>3E-005</v>
      </c>
      <c r="V647" s="39" t="n">
        <v>0.14251</v>
      </c>
      <c r="W647" s="40" t="n">
        <v>0.00018</v>
      </c>
      <c r="X647" s="39" t="n">
        <v>0.00276</v>
      </c>
      <c r="Y647" s="40" t="n">
        <v>0</v>
      </c>
    </row>
    <row r="648" customFormat="false" ht="15" hidden="false" customHeight="false" outlineLevel="0" collapsed="false">
      <c r="A648" s="38" t="n">
        <v>703</v>
      </c>
      <c r="B648" s="39" t="n">
        <v>0.00104</v>
      </c>
      <c r="C648" s="40" t="n">
        <v>0</v>
      </c>
      <c r="D648" s="39" t="n">
        <v>-0.02841</v>
      </c>
      <c r="E648" s="40" t="n">
        <v>1E-005</v>
      </c>
      <c r="F648" s="39" t="n">
        <v>0.00903</v>
      </c>
      <c r="G648" s="40" t="n">
        <v>1E-005</v>
      </c>
      <c r="H648" s="39" t="n">
        <v>0.17223</v>
      </c>
      <c r="I648" s="40" t="n">
        <v>5E-005</v>
      </c>
      <c r="J648" s="39" t="n">
        <v>0.13979</v>
      </c>
      <c r="K648" s="40" t="n">
        <v>0.00014</v>
      </c>
      <c r="L648" s="39" t="n">
        <v>-0.00378</v>
      </c>
      <c r="M648" s="40" t="n">
        <v>0</v>
      </c>
      <c r="N648" s="39" t="n">
        <v>0.16433</v>
      </c>
      <c r="O648" s="40" t="n">
        <v>0.00016</v>
      </c>
      <c r="P648" s="39" t="n">
        <v>0.04208</v>
      </c>
      <c r="Q648" s="40" t="n">
        <v>3E-005</v>
      </c>
      <c r="R648" s="39" t="n">
        <v>0.21235</v>
      </c>
      <c r="S648" s="40" t="n">
        <v>0.0002</v>
      </c>
      <c r="T648" s="39" t="n">
        <v>0.01531</v>
      </c>
      <c r="U648" s="40" t="n">
        <v>2E-005</v>
      </c>
      <c r="V648" s="39" t="n">
        <v>0.14039</v>
      </c>
      <c r="W648" s="40" t="n">
        <v>0.00018</v>
      </c>
      <c r="X648" s="39" t="n">
        <v>0.00262</v>
      </c>
      <c r="Y648" s="40" t="n">
        <v>0</v>
      </c>
    </row>
    <row r="649" customFormat="false" ht="15" hidden="false" customHeight="false" outlineLevel="0" collapsed="false">
      <c r="A649" s="38" t="n">
        <v>704</v>
      </c>
      <c r="B649" s="39" t="n">
        <v>0.00136</v>
      </c>
      <c r="C649" s="40" t="n">
        <v>-1E-005</v>
      </c>
      <c r="D649" s="39" t="n">
        <v>-0.02856</v>
      </c>
      <c r="E649" s="40" t="n">
        <v>-1E-005</v>
      </c>
      <c r="F649" s="39" t="n">
        <v>0.00919</v>
      </c>
      <c r="G649" s="40" t="n">
        <v>1E-005</v>
      </c>
      <c r="H649" s="39" t="n">
        <v>0.1714</v>
      </c>
      <c r="I649" s="40" t="n">
        <v>5E-005</v>
      </c>
      <c r="J649" s="39" t="n">
        <v>0.13789</v>
      </c>
      <c r="K649" s="40" t="n">
        <v>0.00014</v>
      </c>
      <c r="L649" s="39" t="n">
        <v>-0.00401</v>
      </c>
      <c r="M649" s="40" t="n">
        <v>-1E-005</v>
      </c>
      <c r="N649" s="39" t="n">
        <v>0.16211</v>
      </c>
      <c r="O649" s="40" t="n">
        <v>0.00016</v>
      </c>
      <c r="P649" s="39" t="n">
        <v>0.04201</v>
      </c>
      <c r="Q649" s="40" t="n">
        <v>3E-005</v>
      </c>
      <c r="R649" s="39" t="n">
        <v>0.21</v>
      </c>
      <c r="S649" s="40" t="n">
        <v>0.00019</v>
      </c>
      <c r="T649" s="39" t="n">
        <v>0.01503</v>
      </c>
      <c r="U649" s="40" t="n">
        <v>2E-005</v>
      </c>
      <c r="V649" s="39" t="n">
        <v>0.13828</v>
      </c>
      <c r="W649" s="40" t="n">
        <v>0.00018</v>
      </c>
      <c r="X649" s="39" t="n">
        <v>0.00271</v>
      </c>
      <c r="Y649" s="40" t="n">
        <v>0</v>
      </c>
    </row>
    <row r="650" customFormat="false" ht="15" hidden="false" customHeight="false" outlineLevel="0" collapsed="false">
      <c r="A650" s="38" t="n">
        <v>705</v>
      </c>
      <c r="B650" s="39" t="n">
        <v>0.00107</v>
      </c>
      <c r="C650" s="40" t="n">
        <v>0</v>
      </c>
      <c r="D650" s="39" t="n">
        <v>-0.02759</v>
      </c>
      <c r="E650" s="40" t="n">
        <v>1E-005</v>
      </c>
      <c r="F650" s="39" t="n">
        <v>0.0088</v>
      </c>
      <c r="G650" s="40" t="n">
        <v>2E-005</v>
      </c>
      <c r="H650" s="39" t="n">
        <v>0.17083</v>
      </c>
      <c r="I650" s="40" t="n">
        <v>5E-005</v>
      </c>
      <c r="J650" s="39" t="n">
        <v>0.13629</v>
      </c>
      <c r="K650" s="40" t="n">
        <v>0.00014</v>
      </c>
      <c r="L650" s="39" t="n">
        <v>-0.00351</v>
      </c>
      <c r="M650" s="40" t="n">
        <v>-1E-005</v>
      </c>
      <c r="N650" s="39" t="n">
        <v>0.16013</v>
      </c>
      <c r="O650" s="40" t="n">
        <v>0.00017</v>
      </c>
      <c r="P650" s="39" t="n">
        <v>0.04164</v>
      </c>
      <c r="Q650" s="40" t="n">
        <v>3E-005</v>
      </c>
      <c r="R650" s="39" t="n">
        <v>0.20768</v>
      </c>
      <c r="S650" s="40" t="n">
        <v>0.00019</v>
      </c>
      <c r="T650" s="39" t="n">
        <v>0.01488</v>
      </c>
      <c r="U650" s="40" t="n">
        <v>3E-005</v>
      </c>
      <c r="V650" s="39" t="n">
        <v>0.13617</v>
      </c>
      <c r="W650" s="40" t="n">
        <v>0.00018</v>
      </c>
      <c r="X650" s="39" t="n">
        <v>0.00268</v>
      </c>
      <c r="Y650" s="40" t="n">
        <v>0</v>
      </c>
    </row>
    <row r="651" customFormat="false" ht="15" hidden="false" customHeight="false" outlineLevel="0" collapsed="false">
      <c r="A651" s="38" t="n">
        <v>706</v>
      </c>
      <c r="B651" s="39" t="n">
        <v>0.00147</v>
      </c>
      <c r="C651" s="40" t="n">
        <v>0</v>
      </c>
      <c r="D651" s="39" t="n">
        <v>-0.02794</v>
      </c>
      <c r="E651" s="40" t="n">
        <v>0</v>
      </c>
      <c r="F651" s="39" t="n">
        <v>0.0085</v>
      </c>
      <c r="G651" s="40" t="n">
        <v>1E-005</v>
      </c>
      <c r="H651" s="39" t="n">
        <v>0.17033</v>
      </c>
      <c r="I651" s="40" t="n">
        <v>5E-005</v>
      </c>
      <c r="J651" s="39" t="n">
        <v>0.13466</v>
      </c>
      <c r="K651" s="40" t="n">
        <v>0.00014</v>
      </c>
      <c r="L651" s="39" t="n">
        <v>-0.00328</v>
      </c>
      <c r="M651" s="40" t="n">
        <v>0</v>
      </c>
      <c r="N651" s="39" t="n">
        <v>0.15796</v>
      </c>
      <c r="O651" s="40" t="n">
        <v>0.00016</v>
      </c>
      <c r="P651" s="39" t="n">
        <v>0.04093</v>
      </c>
      <c r="Q651" s="40" t="n">
        <v>3E-005</v>
      </c>
      <c r="R651" s="39" t="n">
        <v>0.205</v>
      </c>
      <c r="S651" s="40" t="n">
        <v>0.00019</v>
      </c>
      <c r="T651" s="39" t="n">
        <v>0.0145</v>
      </c>
      <c r="U651" s="40" t="n">
        <v>3E-005</v>
      </c>
      <c r="V651" s="39" t="n">
        <v>0.13413</v>
      </c>
      <c r="W651" s="40" t="n">
        <v>0.00018</v>
      </c>
      <c r="X651" s="39" t="n">
        <v>0.00292</v>
      </c>
      <c r="Y651" s="40" t="n">
        <v>0</v>
      </c>
    </row>
    <row r="652" customFormat="false" ht="15" hidden="false" customHeight="false" outlineLevel="0" collapsed="false">
      <c r="A652" s="38" t="n">
        <v>707</v>
      </c>
      <c r="B652" s="39" t="n">
        <v>0.0016</v>
      </c>
      <c r="C652" s="40" t="n">
        <v>0</v>
      </c>
      <c r="D652" s="39" t="n">
        <v>-0.02955</v>
      </c>
      <c r="E652" s="40" t="n">
        <v>-1E-005</v>
      </c>
      <c r="F652" s="39" t="n">
        <v>0.00849</v>
      </c>
      <c r="G652" s="40" t="n">
        <v>0</v>
      </c>
      <c r="H652" s="39" t="n">
        <v>0.16997</v>
      </c>
      <c r="I652" s="40" t="n">
        <v>5E-005</v>
      </c>
      <c r="J652" s="39" t="n">
        <v>0.13295</v>
      </c>
      <c r="K652" s="40" t="n">
        <v>0.00014</v>
      </c>
      <c r="L652" s="39" t="n">
        <v>-0.00328</v>
      </c>
      <c r="M652" s="40" t="n">
        <v>0</v>
      </c>
      <c r="N652" s="39" t="n">
        <v>0.15643</v>
      </c>
      <c r="O652" s="40" t="n">
        <v>0.00016</v>
      </c>
      <c r="P652" s="39" t="n">
        <v>0.04045</v>
      </c>
      <c r="Q652" s="40" t="n">
        <v>3E-005</v>
      </c>
      <c r="R652" s="39" t="n">
        <v>0.20302</v>
      </c>
      <c r="S652" s="40" t="n">
        <v>0.00019</v>
      </c>
      <c r="T652" s="39" t="n">
        <v>0.01414</v>
      </c>
      <c r="U652" s="40" t="n">
        <v>3E-005</v>
      </c>
      <c r="V652" s="39" t="n">
        <v>0.13189</v>
      </c>
      <c r="W652" s="40" t="n">
        <v>0.00017</v>
      </c>
      <c r="X652" s="39" t="n">
        <v>0.00287</v>
      </c>
      <c r="Y652" s="40" t="n">
        <v>0</v>
      </c>
    </row>
    <row r="653" customFormat="false" ht="15" hidden="false" customHeight="false" outlineLevel="0" collapsed="false">
      <c r="A653" s="38" t="n">
        <v>708</v>
      </c>
      <c r="B653" s="39" t="n">
        <v>0.00123</v>
      </c>
      <c r="C653" s="40" t="n">
        <v>1E-005</v>
      </c>
      <c r="D653" s="39" t="n">
        <v>-0.0288</v>
      </c>
      <c r="E653" s="40" t="n">
        <v>-2E-005</v>
      </c>
      <c r="F653" s="39" t="n">
        <v>0.00836</v>
      </c>
      <c r="G653" s="40" t="n">
        <v>2E-005</v>
      </c>
      <c r="H653" s="39" t="n">
        <v>0.16935</v>
      </c>
      <c r="I653" s="40" t="n">
        <v>5E-005</v>
      </c>
      <c r="J653" s="39" t="n">
        <v>0.13151</v>
      </c>
      <c r="K653" s="40" t="n">
        <v>0.00013</v>
      </c>
      <c r="L653" s="39" t="n">
        <v>-0.00338</v>
      </c>
      <c r="M653" s="40" t="n">
        <v>0</v>
      </c>
      <c r="N653" s="39" t="n">
        <v>0.15431</v>
      </c>
      <c r="O653" s="40" t="n">
        <v>0.00016</v>
      </c>
      <c r="P653" s="39" t="n">
        <v>0.04036</v>
      </c>
      <c r="Q653" s="40" t="n">
        <v>3E-005</v>
      </c>
      <c r="R653" s="39" t="n">
        <v>0.20088</v>
      </c>
      <c r="S653" s="40" t="n">
        <v>0.00019</v>
      </c>
      <c r="T653" s="39" t="n">
        <v>0.01373</v>
      </c>
      <c r="U653" s="40" t="n">
        <v>3E-005</v>
      </c>
      <c r="V653" s="39" t="n">
        <v>0.12978</v>
      </c>
      <c r="W653" s="40" t="n">
        <v>0.00017</v>
      </c>
      <c r="X653" s="39" t="n">
        <v>0.00258</v>
      </c>
      <c r="Y653" s="40" t="n">
        <v>1E-005</v>
      </c>
    </row>
    <row r="654" customFormat="false" ht="15" hidden="false" customHeight="false" outlineLevel="0" collapsed="false">
      <c r="A654" s="38" t="n">
        <v>709</v>
      </c>
      <c r="B654" s="39" t="n">
        <v>0.00105</v>
      </c>
      <c r="C654" s="40" t="n">
        <v>0</v>
      </c>
      <c r="D654" s="39" t="n">
        <v>-0.02888</v>
      </c>
      <c r="E654" s="40" t="n">
        <v>-3E-005</v>
      </c>
      <c r="F654" s="39" t="n">
        <v>0.008</v>
      </c>
      <c r="G654" s="40" t="n">
        <v>2E-005</v>
      </c>
      <c r="H654" s="39" t="n">
        <v>0.1688</v>
      </c>
      <c r="I654" s="40" t="n">
        <v>5E-005</v>
      </c>
      <c r="J654" s="39" t="n">
        <v>0.12983</v>
      </c>
      <c r="K654" s="40" t="n">
        <v>0.00014</v>
      </c>
      <c r="L654" s="39" t="n">
        <v>-0.00364</v>
      </c>
      <c r="M654" s="40" t="n">
        <v>1E-005</v>
      </c>
      <c r="N654" s="39" t="n">
        <v>0.15223</v>
      </c>
      <c r="O654" s="40" t="n">
        <v>0.00015</v>
      </c>
      <c r="P654" s="39" t="n">
        <v>0.04006</v>
      </c>
      <c r="Q654" s="40" t="n">
        <v>3E-005</v>
      </c>
      <c r="R654" s="39" t="n">
        <v>0.19861</v>
      </c>
      <c r="S654" s="40" t="n">
        <v>0.00019</v>
      </c>
      <c r="T654" s="39" t="n">
        <v>0.01337</v>
      </c>
      <c r="U654" s="40" t="n">
        <v>3E-005</v>
      </c>
      <c r="V654" s="39" t="n">
        <v>0.12773</v>
      </c>
      <c r="W654" s="40" t="n">
        <v>0.00017</v>
      </c>
      <c r="X654" s="39" t="n">
        <v>0.00263</v>
      </c>
      <c r="Y654" s="40" t="n">
        <v>1E-005</v>
      </c>
    </row>
    <row r="655" customFormat="false" ht="15" hidden="false" customHeight="false" outlineLevel="0" collapsed="false">
      <c r="A655" s="38" t="n">
        <v>710</v>
      </c>
      <c r="B655" s="39" t="n">
        <v>0.00125</v>
      </c>
      <c r="C655" s="40" t="n">
        <v>1E-005</v>
      </c>
      <c r="D655" s="39" t="n">
        <v>-0.02761</v>
      </c>
      <c r="E655" s="40" t="n">
        <v>-4E-005</v>
      </c>
      <c r="F655" s="39" t="n">
        <v>0.00836</v>
      </c>
      <c r="G655" s="40" t="n">
        <v>1E-005</v>
      </c>
      <c r="H655" s="39" t="n">
        <v>0.16793</v>
      </c>
      <c r="I655" s="40" t="n">
        <v>5E-005</v>
      </c>
      <c r="J655" s="39" t="n">
        <v>0.12799</v>
      </c>
      <c r="K655" s="40" t="n">
        <v>0.00014</v>
      </c>
      <c r="L655" s="39" t="n">
        <v>-0.00381</v>
      </c>
      <c r="M655" s="40" t="n">
        <v>1E-005</v>
      </c>
      <c r="N655" s="39" t="n">
        <v>0.15065</v>
      </c>
      <c r="O655" s="40" t="n">
        <v>0.00015</v>
      </c>
      <c r="P655" s="39" t="n">
        <v>0.0395</v>
      </c>
      <c r="Q655" s="40" t="n">
        <v>3E-005</v>
      </c>
      <c r="R655" s="39" t="n">
        <v>0.19618</v>
      </c>
      <c r="S655" s="40" t="n">
        <v>0.00018</v>
      </c>
      <c r="T655" s="39" t="n">
        <v>0.01315</v>
      </c>
      <c r="U655" s="40" t="n">
        <v>3E-005</v>
      </c>
      <c r="V655" s="39" t="n">
        <v>0.12583</v>
      </c>
      <c r="W655" s="40" t="n">
        <v>0.00017</v>
      </c>
      <c r="X655" s="39" t="n">
        <v>0.00257</v>
      </c>
      <c r="Y655" s="40" t="n">
        <v>1E-005</v>
      </c>
    </row>
    <row r="656" customFormat="false" ht="15" hidden="false" customHeight="false" outlineLevel="0" collapsed="false">
      <c r="A656" s="38" t="n">
        <v>711</v>
      </c>
      <c r="B656" s="39" t="n">
        <v>0.0009</v>
      </c>
      <c r="C656" s="40" t="n">
        <v>1E-005</v>
      </c>
      <c r="D656" s="39" t="n">
        <v>-0.02578</v>
      </c>
      <c r="E656" s="40" t="n">
        <v>-4E-005</v>
      </c>
      <c r="F656" s="39" t="n">
        <v>0.00827</v>
      </c>
      <c r="G656" s="40" t="n">
        <v>1E-005</v>
      </c>
      <c r="H656" s="39" t="n">
        <v>0.16742</v>
      </c>
      <c r="I656" s="40" t="n">
        <v>6E-005</v>
      </c>
      <c r="J656" s="39" t="n">
        <v>0.12644</v>
      </c>
      <c r="K656" s="40" t="n">
        <v>0.00014</v>
      </c>
      <c r="L656" s="39" t="n">
        <v>-0.00373</v>
      </c>
      <c r="M656" s="40" t="n">
        <v>0</v>
      </c>
      <c r="N656" s="39" t="n">
        <v>0.1488</v>
      </c>
      <c r="O656" s="40" t="n">
        <v>0.00016</v>
      </c>
      <c r="P656" s="39" t="n">
        <v>0.03916</v>
      </c>
      <c r="Q656" s="40" t="n">
        <v>3E-005</v>
      </c>
      <c r="R656" s="39" t="n">
        <v>0.19402</v>
      </c>
      <c r="S656" s="40" t="n">
        <v>0.00019</v>
      </c>
      <c r="T656" s="39" t="n">
        <v>0.01281</v>
      </c>
      <c r="U656" s="40" t="n">
        <v>3E-005</v>
      </c>
      <c r="V656" s="39" t="n">
        <v>0.12372</v>
      </c>
      <c r="W656" s="40" t="n">
        <v>0.00016</v>
      </c>
      <c r="X656" s="39" t="n">
        <v>0.00216</v>
      </c>
      <c r="Y656" s="40" t="n">
        <v>1E-005</v>
      </c>
    </row>
    <row r="657" customFormat="false" ht="15" hidden="false" customHeight="false" outlineLevel="0" collapsed="false">
      <c r="A657" s="38" t="n">
        <v>712</v>
      </c>
      <c r="B657" s="39" t="n">
        <v>0.00106</v>
      </c>
      <c r="C657" s="40" t="n">
        <v>0</v>
      </c>
      <c r="D657" s="39" t="n">
        <v>-0.02664</v>
      </c>
      <c r="E657" s="40" t="n">
        <v>-2E-005</v>
      </c>
      <c r="F657" s="39" t="n">
        <v>0.00732</v>
      </c>
      <c r="G657" s="40" t="n">
        <v>2E-005</v>
      </c>
      <c r="H657" s="39" t="n">
        <v>0.16679</v>
      </c>
      <c r="I657" s="40" t="n">
        <v>6E-005</v>
      </c>
      <c r="J657" s="39" t="n">
        <v>0.12503</v>
      </c>
      <c r="K657" s="40" t="n">
        <v>0.00014</v>
      </c>
      <c r="L657" s="39" t="n">
        <v>-0.00348</v>
      </c>
      <c r="M657" s="40" t="n">
        <v>0</v>
      </c>
      <c r="N657" s="39" t="n">
        <v>0.1465</v>
      </c>
      <c r="O657" s="40" t="n">
        <v>0.00016</v>
      </c>
      <c r="P657" s="39" t="n">
        <v>0.03881</v>
      </c>
      <c r="Q657" s="40" t="n">
        <v>3E-005</v>
      </c>
      <c r="R657" s="39" t="n">
        <v>0.19184</v>
      </c>
      <c r="S657" s="40" t="n">
        <v>0.00019</v>
      </c>
      <c r="T657" s="39" t="n">
        <v>0.01251</v>
      </c>
      <c r="U657" s="40" t="n">
        <v>3E-005</v>
      </c>
      <c r="V657" s="39" t="n">
        <v>0.1218</v>
      </c>
      <c r="W657" s="40" t="n">
        <v>0.00016</v>
      </c>
      <c r="X657" s="39" t="n">
        <v>0.00212</v>
      </c>
      <c r="Y657" s="40" t="n">
        <v>1E-005</v>
      </c>
    </row>
    <row r="658" customFormat="false" ht="15" hidden="false" customHeight="false" outlineLevel="0" collapsed="false">
      <c r="A658" s="38" t="n">
        <v>713</v>
      </c>
      <c r="B658" s="39" t="n">
        <v>0.00111</v>
      </c>
      <c r="C658" s="40" t="n">
        <v>0</v>
      </c>
      <c r="D658" s="39" t="n">
        <v>-0.02727</v>
      </c>
      <c r="E658" s="40" t="n">
        <v>-2E-005</v>
      </c>
      <c r="F658" s="39" t="n">
        <v>0.00729</v>
      </c>
      <c r="G658" s="40" t="n">
        <v>2E-005</v>
      </c>
      <c r="H658" s="39" t="n">
        <v>0.16596</v>
      </c>
      <c r="I658" s="40" t="n">
        <v>6E-005</v>
      </c>
      <c r="J658" s="39" t="n">
        <v>0.12314</v>
      </c>
      <c r="K658" s="40" t="n">
        <v>0.00014</v>
      </c>
      <c r="L658" s="39" t="n">
        <v>-0.00378</v>
      </c>
      <c r="M658" s="40" t="n">
        <v>-1E-005</v>
      </c>
      <c r="N658" s="39" t="n">
        <v>0.14517</v>
      </c>
      <c r="O658" s="40" t="n">
        <v>0.00016</v>
      </c>
      <c r="P658" s="39" t="n">
        <v>0.03857</v>
      </c>
      <c r="Q658" s="40" t="n">
        <v>3E-005</v>
      </c>
      <c r="R658" s="39" t="n">
        <v>0.18954</v>
      </c>
      <c r="S658" s="40" t="n">
        <v>0.00019</v>
      </c>
      <c r="T658" s="39" t="n">
        <v>0.01206</v>
      </c>
      <c r="U658" s="40" t="n">
        <v>3E-005</v>
      </c>
      <c r="V658" s="39" t="n">
        <v>0.11984</v>
      </c>
      <c r="W658" s="40" t="n">
        <v>0.00016</v>
      </c>
      <c r="X658" s="39" t="n">
        <v>0.00208</v>
      </c>
      <c r="Y658" s="40" t="n">
        <v>1E-005</v>
      </c>
    </row>
    <row r="659" customFormat="false" ht="15" hidden="false" customHeight="false" outlineLevel="0" collapsed="false">
      <c r="A659" s="38" t="n">
        <v>714</v>
      </c>
      <c r="B659" s="39" t="n">
        <v>0.00109</v>
      </c>
      <c r="C659" s="40" t="n">
        <v>0</v>
      </c>
      <c r="D659" s="39" t="n">
        <v>-0.02596</v>
      </c>
      <c r="E659" s="40" t="n">
        <v>-1E-005</v>
      </c>
      <c r="F659" s="39" t="n">
        <v>0.008</v>
      </c>
      <c r="G659" s="40" t="n">
        <v>2E-005</v>
      </c>
      <c r="H659" s="39" t="n">
        <v>0.16544</v>
      </c>
      <c r="I659" s="40" t="n">
        <v>6E-005</v>
      </c>
      <c r="J659" s="39" t="n">
        <v>0.12134</v>
      </c>
      <c r="K659" s="40" t="n">
        <v>0.00014</v>
      </c>
      <c r="L659" s="39" t="n">
        <v>-0.00364</v>
      </c>
      <c r="M659" s="40" t="n">
        <v>-1E-005</v>
      </c>
      <c r="N659" s="39" t="n">
        <v>0.14307</v>
      </c>
      <c r="O659" s="40" t="n">
        <v>0.00017</v>
      </c>
      <c r="P659" s="39" t="n">
        <v>0.03825</v>
      </c>
      <c r="Q659" s="40" t="n">
        <v>3E-005</v>
      </c>
      <c r="R659" s="39" t="n">
        <v>0.18715</v>
      </c>
      <c r="S659" s="40" t="n">
        <v>0.00019</v>
      </c>
      <c r="T659" s="39" t="n">
        <v>0.01161</v>
      </c>
      <c r="U659" s="40" t="n">
        <v>3E-005</v>
      </c>
      <c r="V659" s="39" t="n">
        <v>0.11786</v>
      </c>
      <c r="W659" s="40" t="n">
        <v>0.00017</v>
      </c>
      <c r="X659" s="39" t="n">
        <v>0.00199</v>
      </c>
      <c r="Y659" s="40" t="n">
        <v>0</v>
      </c>
    </row>
    <row r="660" customFormat="false" ht="15" hidden="false" customHeight="false" outlineLevel="0" collapsed="false">
      <c r="A660" s="38" t="n">
        <v>715</v>
      </c>
      <c r="B660" s="39" t="n">
        <v>0.00098</v>
      </c>
      <c r="C660" s="40" t="n">
        <v>0</v>
      </c>
      <c r="D660" s="39" t="n">
        <v>-0.02716</v>
      </c>
      <c r="E660" s="40" t="n">
        <v>-1E-005</v>
      </c>
      <c r="F660" s="39" t="n">
        <v>0.00734</v>
      </c>
      <c r="G660" s="40" t="n">
        <v>1E-005</v>
      </c>
      <c r="H660" s="39" t="n">
        <v>0.16455</v>
      </c>
      <c r="I660" s="40" t="n">
        <v>6E-005</v>
      </c>
      <c r="J660" s="39" t="n">
        <v>0.11991</v>
      </c>
      <c r="K660" s="40" t="n">
        <v>0.00014</v>
      </c>
      <c r="L660" s="39" t="n">
        <v>-0.00351</v>
      </c>
      <c r="M660" s="40" t="n">
        <v>-1E-005</v>
      </c>
      <c r="N660" s="39" t="n">
        <v>0.14077</v>
      </c>
      <c r="O660" s="40" t="n">
        <v>0.00017</v>
      </c>
      <c r="P660" s="39" t="n">
        <v>0.03803</v>
      </c>
      <c r="Q660" s="40" t="n">
        <v>3E-005</v>
      </c>
      <c r="R660" s="39" t="n">
        <v>0.18467</v>
      </c>
      <c r="S660" s="40" t="n">
        <v>0.0002</v>
      </c>
      <c r="T660" s="39" t="n">
        <v>0.01142</v>
      </c>
      <c r="U660" s="40" t="n">
        <v>3E-005</v>
      </c>
      <c r="V660" s="39" t="n">
        <v>0.11605</v>
      </c>
      <c r="W660" s="40" t="n">
        <v>0.00016</v>
      </c>
      <c r="X660" s="39" t="n">
        <v>0.00218</v>
      </c>
      <c r="Y660" s="40" t="n">
        <v>0</v>
      </c>
    </row>
    <row r="661" customFormat="false" ht="15" hidden="false" customHeight="false" outlineLevel="0" collapsed="false">
      <c r="A661" s="38" t="n">
        <v>716</v>
      </c>
      <c r="B661" s="39" t="n">
        <v>0.00091</v>
      </c>
      <c r="C661" s="40" t="n">
        <v>1E-005</v>
      </c>
      <c r="D661" s="39" t="n">
        <v>-0.02574</v>
      </c>
      <c r="E661" s="40" t="n">
        <v>-4E-005</v>
      </c>
      <c r="F661" s="39" t="n">
        <v>0.00677</v>
      </c>
      <c r="G661" s="40" t="n">
        <v>0</v>
      </c>
      <c r="H661" s="39" t="n">
        <v>0.16366</v>
      </c>
      <c r="I661" s="40" t="n">
        <v>7E-005</v>
      </c>
      <c r="J661" s="39" t="n">
        <v>0.11811</v>
      </c>
      <c r="K661" s="40" t="n">
        <v>0.00014</v>
      </c>
      <c r="L661" s="39" t="n">
        <v>-0.00338</v>
      </c>
      <c r="M661" s="40" t="n">
        <v>-1E-005</v>
      </c>
      <c r="N661" s="39" t="n">
        <v>0.13881</v>
      </c>
      <c r="O661" s="40" t="n">
        <v>0.00016</v>
      </c>
      <c r="P661" s="39" t="n">
        <v>0.03754</v>
      </c>
      <c r="Q661" s="40" t="n">
        <v>4E-005</v>
      </c>
      <c r="R661" s="39" t="n">
        <v>0.18238</v>
      </c>
      <c r="S661" s="40" t="n">
        <v>0.0002</v>
      </c>
      <c r="T661" s="39" t="n">
        <v>0.01119</v>
      </c>
      <c r="U661" s="40" t="n">
        <v>2E-005</v>
      </c>
      <c r="V661" s="39" t="n">
        <v>0.11398</v>
      </c>
      <c r="W661" s="40" t="n">
        <v>0.00017</v>
      </c>
      <c r="X661" s="39" t="n">
        <v>0.00213</v>
      </c>
      <c r="Y661" s="40" t="n">
        <v>0</v>
      </c>
    </row>
    <row r="662" customFormat="false" ht="15" hidden="false" customHeight="false" outlineLevel="0" collapsed="false">
      <c r="A662" s="38" t="n">
        <v>717</v>
      </c>
      <c r="B662" s="39" t="n">
        <v>0.00083</v>
      </c>
      <c r="C662" s="40" t="n">
        <v>1E-005</v>
      </c>
      <c r="D662" s="39" t="n">
        <v>-0.02532</v>
      </c>
      <c r="E662" s="40" t="n">
        <v>-5E-005</v>
      </c>
      <c r="F662" s="39" t="n">
        <v>0.00671</v>
      </c>
      <c r="G662" s="40" t="n">
        <v>1E-005</v>
      </c>
      <c r="H662" s="39" t="n">
        <v>0.163</v>
      </c>
      <c r="I662" s="40" t="n">
        <v>7E-005</v>
      </c>
      <c r="J662" s="39" t="n">
        <v>0.11637</v>
      </c>
      <c r="K662" s="40" t="n">
        <v>0.00014</v>
      </c>
      <c r="L662" s="39" t="n">
        <v>-0.00326</v>
      </c>
      <c r="M662" s="40" t="n">
        <v>-1E-005</v>
      </c>
      <c r="N662" s="39" t="n">
        <v>0.13644</v>
      </c>
      <c r="O662" s="40" t="n">
        <v>0.00017</v>
      </c>
      <c r="P662" s="39" t="n">
        <v>0.03701</v>
      </c>
      <c r="Q662" s="40" t="n">
        <v>4E-005</v>
      </c>
      <c r="R662" s="39" t="n">
        <v>0.1803</v>
      </c>
      <c r="S662" s="40" t="n">
        <v>0.0002</v>
      </c>
      <c r="T662" s="39" t="n">
        <v>0.01088</v>
      </c>
      <c r="U662" s="40" t="n">
        <v>2E-005</v>
      </c>
      <c r="V662" s="39" t="n">
        <v>0.11178</v>
      </c>
      <c r="W662" s="40" t="n">
        <v>0.00017</v>
      </c>
      <c r="X662" s="39" t="n">
        <v>0.00206</v>
      </c>
      <c r="Y662" s="40" t="n">
        <v>0</v>
      </c>
    </row>
    <row r="663" customFormat="false" ht="15" hidden="false" customHeight="false" outlineLevel="0" collapsed="false">
      <c r="A663" s="38" t="n">
        <v>718</v>
      </c>
      <c r="B663" s="39" t="n">
        <v>0.00088</v>
      </c>
      <c r="C663" s="40" t="n">
        <v>1E-005</v>
      </c>
      <c r="D663" s="39" t="n">
        <v>-0.02456</v>
      </c>
      <c r="E663" s="40" t="n">
        <v>-3E-005</v>
      </c>
      <c r="F663" s="39" t="n">
        <v>0.0069</v>
      </c>
      <c r="G663" s="40" t="n">
        <v>2E-005</v>
      </c>
      <c r="H663" s="39" t="n">
        <v>0.16211</v>
      </c>
      <c r="I663" s="40" t="n">
        <v>7E-005</v>
      </c>
      <c r="J663" s="39" t="n">
        <v>0.11495</v>
      </c>
      <c r="K663" s="40" t="n">
        <v>0.00014</v>
      </c>
      <c r="L663" s="39" t="n">
        <v>-0.00318</v>
      </c>
      <c r="M663" s="40" t="n">
        <v>-1E-005</v>
      </c>
      <c r="N663" s="39" t="n">
        <v>0.13458</v>
      </c>
      <c r="O663" s="40" t="n">
        <v>0.00017</v>
      </c>
      <c r="P663" s="39" t="n">
        <v>0.03649</v>
      </c>
      <c r="Q663" s="40" t="n">
        <v>4E-005</v>
      </c>
      <c r="R663" s="39" t="n">
        <v>0.17765</v>
      </c>
      <c r="S663" s="40" t="n">
        <v>0.0002</v>
      </c>
      <c r="T663" s="39" t="n">
        <v>0.01063</v>
      </c>
      <c r="U663" s="40" t="n">
        <v>2E-005</v>
      </c>
      <c r="V663" s="39" t="n">
        <v>0.10989</v>
      </c>
      <c r="W663" s="40" t="n">
        <v>0.00017</v>
      </c>
      <c r="X663" s="39" t="n">
        <v>0.00199</v>
      </c>
      <c r="Y663" s="40" t="n">
        <v>0</v>
      </c>
    </row>
    <row r="664" customFormat="false" ht="15" hidden="false" customHeight="false" outlineLevel="0" collapsed="false">
      <c r="A664" s="38" t="n">
        <v>719</v>
      </c>
      <c r="B664" s="39" t="n">
        <v>0.00055</v>
      </c>
      <c r="C664" s="40" t="n">
        <v>1E-005</v>
      </c>
      <c r="D664" s="39" t="n">
        <v>-0.02458</v>
      </c>
      <c r="E664" s="40" t="n">
        <v>-3E-005</v>
      </c>
      <c r="F664" s="39" t="n">
        <v>0.00695</v>
      </c>
      <c r="G664" s="40" t="n">
        <v>1E-005</v>
      </c>
      <c r="H664" s="39" t="n">
        <v>0.16134</v>
      </c>
      <c r="I664" s="40" t="n">
        <v>7E-005</v>
      </c>
      <c r="J664" s="39" t="n">
        <v>0.11323</v>
      </c>
      <c r="K664" s="40" t="n">
        <v>0.00014</v>
      </c>
      <c r="L664" s="39" t="n">
        <v>-0.00312</v>
      </c>
      <c r="M664" s="40" t="n">
        <v>0</v>
      </c>
      <c r="N664" s="39" t="n">
        <v>0.13292</v>
      </c>
      <c r="O664" s="40" t="n">
        <v>0.00016</v>
      </c>
      <c r="P664" s="39" t="n">
        <v>0.03602</v>
      </c>
      <c r="Q664" s="40" t="n">
        <v>4E-005</v>
      </c>
      <c r="R664" s="39" t="n">
        <v>0.17508</v>
      </c>
      <c r="S664" s="40" t="n">
        <v>0.0002</v>
      </c>
      <c r="T664" s="39" t="n">
        <v>0.01038</v>
      </c>
      <c r="U664" s="40" t="n">
        <v>2E-005</v>
      </c>
      <c r="V664" s="39" t="n">
        <v>0.10792</v>
      </c>
      <c r="W664" s="40" t="n">
        <v>0.00017</v>
      </c>
      <c r="X664" s="39" t="n">
        <v>0.00211</v>
      </c>
      <c r="Y664" s="40" t="n">
        <v>0</v>
      </c>
    </row>
    <row r="665" customFormat="false" ht="15" hidden="false" customHeight="false" outlineLevel="0" collapsed="false">
      <c r="A665" s="38" t="n">
        <v>720</v>
      </c>
      <c r="B665" s="39" t="n">
        <v>0.00037</v>
      </c>
      <c r="C665" s="40" t="n">
        <v>1E-005</v>
      </c>
      <c r="D665" s="39" t="n">
        <v>-0.02388</v>
      </c>
      <c r="E665" s="40" t="n">
        <v>0</v>
      </c>
      <c r="F665" s="39" t="n">
        <v>0.00673</v>
      </c>
      <c r="G665" s="40" t="n">
        <v>0</v>
      </c>
      <c r="H665" s="39" t="n">
        <v>0.16022</v>
      </c>
      <c r="I665" s="40" t="n">
        <v>8E-005</v>
      </c>
      <c r="J665" s="39" t="n">
        <v>0.11124</v>
      </c>
      <c r="K665" s="40" t="n">
        <v>0.00013</v>
      </c>
      <c r="L665" s="39" t="n">
        <v>-0.00315</v>
      </c>
      <c r="M665" s="40" t="n">
        <v>1E-005</v>
      </c>
      <c r="N665" s="39" t="n">
        <v>0.13115</v>
      </c>
      <c r="O665" s="40" t="n">
        <v>0.00016</v>
      </c>
      <c r="P665" s="39" t="n">
        <v>0.03544</v>
      </c>
      <c r="Q665" s="40" t="n">
        <v>4E-005</v>
      </c>
      <c r="R665" s="39" t="n">
        <v>0.17262</v>
      </c>
      <c r="S665" s="40" t="n">
        <v>0.0002</v>
      </c>
      <c r="T665" s="39" t="n">
        <v>0.01018</v>
      </c>
      <c r="U665" s="40" t="n">
        <v>2E-005</v>
      </c>
      <c r="V665" s="39" t="n">
        <v>0.1059</v>
      </c>
      <c r="W665" s="40" t="n">
        <v>0.00016</v>
      </c>
      <c r="X665" s="39" t="n">
        <v>0.00204</v>
      </c>
      <c r="Y665" s="40" t="n">
        <v>1E-005</v>
      </c>
    </row>
    <row r="666" customFormat="false" ht="15" hidden="false" customHeight="false" outlineLevel="0" collapsed="false">
      <c r="A666" s="38" t="n">
        <v>721</v>
      </c>
      <c r="B666" s="39" t="n">
        <v>0.0003</v>
      </c>
      <c r="C666" s="40" t="n">
        <v>0</v>
      </c>
      <c r="D666" s="39" t="n">
        <v>-0.02429</v>
      </c>
      <c r="E666" s="40" t="n">
        <v>4E-005</v>
      </c>
      <c r="F666" s="39" t="n">
        <v>0.00654</v>
      </c>
      <c r="G666" s="40" t="n">
        <v>1E-005</v>
      </c>
      <c r="H666" s="39" t="n">
        <v>0.1594</v>
      </c>
      <c r="I666" s="40" t="n">
        <v>8E-005</v>
      </c>
      <c r="J666" s="39" t="n">
        <v>0.10993</v>
      </c>
      <c r="K666" s="40" t="n">
        <v>0.00013</v>
      </c>
      <c r="L666" s="39" t="n">
        <v>-0.00327</v>
      </c>
      <c r="M666" s="40" t="n">
        <v>0</v>
      </c>
      <c r="N666" s="39" t="n">
        <v>0.12873</v>
      </c>
      <c r="O666" s="40" t="n">
        <v>0.00016</v>
      </c>
      <c r="P666" s="39" t="n">
        <v>0.03509</v>
      </c>
      <c r="Q666" s="40" t="n">
        <v>3E-005</v>
      </c>
      <c r="R666" s="39" t="n">
        <v>0.1702</v>
      </c>
      <c r="S666" s="40" t="n">
        <v>0.00021</v>
      </c>
      <c r="T666" s="39" t="n">
        <v>0.00995</v>
      </c>
      <c r="U666" s="40" t="n">
        <v>2E-005</v>
      </c>
      <c r="V666" s="39" t="n">
        <v>0.10381</v>
      </c>
      <c r="W666" s="40" t="n">
        <v>0.00016</v>
      </c>
      <c r="X666" s="39" t="n">
        <v>0.00197</v>
      </c>
      <c r="Y666" s="40" t="n">
        <v>0</v>
      </c>
    </row>
    <row r="667" customFormat="false" ht="15" hidden="false" customHeight="false" outlineLevel="0" collapsed="false">
      <c r="A667" s="38" t="n">
        <v>722</v>
      </c>
      <c r="B667" s="39" t="n">
        <v>7E-005</v>
      </c>
      <c r="C667" s="40" t="n">
        <v>0</v>
      </c>
      <c r="D667" s="39" t="n">
        <v>-0.0248</v>
      </c>
      <c r="E667" s="40" t="n">
        <v>5E-005</v>
      </c>
      <c r="F667" s="39" t="n">
        <v>0.00649</v>
      </c>
      <c r="G667" s="40" t="n">
        <v>1E-005</v>
      </c>
      <c r="H667" s="39" t="n">
        <v>0.15841</v>
      </c>
      <c r="I667" s="40" t="n">
        <v>8E-005</v>
      </c>
      <c r="J667" s="39" t="n">
        <v>0.10843</v>
      </c>
      <c r="K667" s="40" t="n">
        <v>0.00014</v>
      </c>
      <c r="L667" s="39" t="n">
        <v>-0.0034</v>
      </c>
      <c r="M667" s="40" t="n">
        <v>0</v>
      </c>
      <c r="N667" s="39" t="n">
        <v>0.12675</v>
      </c>
      <c r="O667" s="40" t="n">
        <v>0.00016</v>
      </c>
      <c r="P667" s="39" t="n">
        <v>0.03479</v>
      </c>
      <c r="Q667" s="40" t="n">
        <v>4E-005</v>
      </c>
      <c r="R667" s="39" t="n">
        <v>0.16762</v>
      </c>
      <c r="S667" s="40" t="n">
        <v>0.0002</v>
      </c>
      <c r="T667" s="39" t="n">
        <v>0.00972</v>
      </c>
      <c r="U667" s="40" t="n">
        <v>2E-005</v>
      </c>
      <c r="V667" s="39" t="n">
        <v>0.10187</v>
      </c>
      <c r="W667" s="40" t="n">
        <v>0.00016</v>
      </c>
      <c r="X667" s="39" t="n">
        <v>0.00185</v>
      </c>
      <c r="Y667" s="40" t="n">
        <v>1E-005</v>
      </c>
    </row>
    <row r="668" customFormat="false" ht="15" hidden="false" customHeight="false" outlineLevel="0" collapsed="false">
      <c r="A668" s="38" t="n">
        <v>723</v>
      </c>
      <c r="B668" s="39" t="n">
        <v>0.0001</v>
      </c>
      <c r="C668" s="40" t="n">
        <v>0</v>
      </c>
      <c r="D668" s="39" t="n">
        <v>-0.02531</v>
      </c>
      <c r="E668" s="40" t="n">
        <v>-2E-005</v>
      </c>
      <c r="F668" s="39" t="n">
        <v>0.00645</v>
      </c>
      <c r="G668" s="40" t="n">
        <v>1E-005</v>
      </c>
      <c r="H668" s="39" t="n">
        <v>0.15742</v>
      </c>
      <c r="I668" s="40" t="n">
        <v>8E-005</v>
      </c>
      <c r="J668" s="39" t="n">
        <v>0.10676</v>
      </c>
      <c r="K668" s="40" t="n">
        <v>0.00013</v>
      </c>
      <c r="L668" s="39" t="n">
        <v>-0.0036</v>
      </c>
      <c r="M668" s="40" t="n">
        <v>0</v>
      </c>
      <c r="N668" s="39" t="n">
        <v>0.12488</v>
      </c>
      <c r="O668" s="40" t="n">
        <v>0.00016</v>
      </c>
      <c r="P668" s="39" t="n">
        <v>0.0344</v>
      </c>
      <c r="Q668" s="40" t="n">
        <v>4E-005</v>
      </c>
      <c r="R668" s="39" t="n">
        <v>0.16547</v>
      </c>
      <c r="S668" s="40" t="n">
        <v>0.0002</v>
      </c>
      <c r="T668" s="39" t="n">
        <v>0.00955</v>
      </c>
      <c r="U668" s="40" t="n">
        <v>3E-005</v>
      </c>
      <c r="V668" s="39" t="n">
        <v>0.10005</v>
      </c>
      <c r="W668" s="40" t="n">
        <v>0.00016</v>
      </c>
      <c r="X668" s="39" t="n">
        <v>0.00178</v>
      </c>
      <c r="Y668" s="40" t="n">
        <v>1E-005</v>
      </c>
    </row>
    <row r="669" customFormat="false" ht="15" hidden="false" customHeight="false" outlineLevel="0" collapsed="false">
      <c r="A669" s="38" t="n">
        <v>724</v>
      </c>
      <c r="B669" s="39" t="n">
        <v>0.00049</v>
      </c>
      <c r="C669" s="40" t="n">
        <v>0</v>
      </c>
      <c r="D669" s="39" t="n">
        <v>-0.02496</v>
      </c>
      <c r="E669" s="40" t="n">
        <v>-6E-005</v>
      </c>
      <c r="F669" s="39" t="n">
        <v>0.00659</v>
      </c>
      <c r="G669" s="40" t="n">
        <v>0</v>
      </c>
      <c r="H669" s="39" t="n">
        <v>0.15617</v>
      </c>
      <c r="I669" s="40" t="n">
        <v>8E-005</v>
      </c>
      <c r="J669" s="39" t="n">
        <v>0.10523</v>
      </c>
      <c r="K669" s="40" t="n">
        <v>0.00013</v>
      </c>
      <c r="L669" s="39" t="n">
        <v>-0.00347</v>
      </c>
      <c r="M669" s="40" t="n">
        <v>0</v>
      </c>
      <c r="N669" s="39" t="n">
        <v>0.12291</v>
      </c>
      <c r="O669" s="40" t="n">
        <v>0.00017</v>
      </c>
      <c r="P669" s="39" t="n">
        <v>0.03407</v>
      </c>
      <c r="Q669" s="40" t="n">
        <v>4E-005</v>
      </c>
      <c r="R669" s="39" t="n">
        <v>0.16301</v>
      </c>
      <c r="S669" s="40" t="n">
        <v>0.0002</v>
      </c>
      <c r="T669" s="39" t="n">
        <v>0.009</v>
      </c>
      <c r="U669" s="40" t="n">
        <v>3E-005</v>
      </c>
      <c r="V669" s="39" t="n">
        <v>0.09825</v>
      </c>
      <c r="W669" s="40" t="n">
        <v>0.00016</v>
      </c>
      <c r="X669" s="39" t="n">
        <v>0.00171</v>
      </c>
      <c r="Y669" s="40" t="n">
        <v>0</v>
      </c>
    </row>
    <row r="670" customFormat="false" ht="15" hidden="false" customHeight="false" outlineLevel="0" collapsed="false">
      <c r="A670" s="38" t="n">
        <v>725</v>
      </c>
      <c r="B670" s="39" t="n">
        <v>0.00056</v>
      </c>
      <c r="C670" s="40" t="n">
        <v>0</v>
      </c>
      <c r="D670" s="39" t="n">
        <v>-0.02584</v>
      </c>
      <c r="E670" s="40" t="n">
        <v>-9E-005</v>
      </c>
      <c r="F670" s="39" t="n">
        <v>0.0061</v>
      </c>
      <c r="G670" s="40" t="n">
        <v>0</v>
      </c>
      <c r="H670" s="39" t="n">
        <v>0.15533</v>
      </c>
      <c r="I670" s="40" t="n">
        <v>9E-005</v>
      </c>
      <c r="J670" s="39" t="n">
        <v>0.10347</v>
      </c>
      <c r="K670" s="40" t="n">
        <v>0.00014</v>
      </c>
      <c r="L670" s="39" t="n">
        <v>-0.00304</v>
      </c>
      <c r="M670" s="40" t="n">
        <v>-1E-005</v>
      </c>
      <c r="N670" s="39" t="n">
        <v>0.12122</v>
      </c>
      <c r="O670" s="40" t="n">
        <v>0.00016</v>
      </c>
      <c r="P670" s="39" t="n">
        <v>0.03333</v>
      </c>
      <c r="Q670" s="40" t="n">
        <v>4E-005</v>
      </c>
      <c r="R670" s="39" t="n">
        <v>0.16042</v>
      </c>
      <c r="S670" s="40" t="n">
        <v>0.0002</v>
      </c>
      <c r="T670" s="39" t="n">
        <v>0.00863</v>
      </c>
      <c r="U670" s="40" t="n">
        <v>2E-005</v>
      </c>
      <c r="V670" s="39" t="n">
        <v>0.09626</v>
      </c>
      <c r="W670" s="40" t="n">
        <v>0.00015</v>
      </c>
      <c r="X670" s="39" t="n">
        <v>0.00174</v>
      </c>
      <c r="Y670" s="40" t="n">
        <v>0</v>
      </c>
    </row>
    <row r="671" customFormat="false" ht="15" hidden="false" customHeight="false" outlineLevel="0" collapsed="false">
      <c r="A671" s="38" t="n">
        <v>726</v>
      </c>
      <c r="B671" s="39" t="n">
        <v>0.00033</v>
      </c>
      <c r="C671" s="40" t="n">
        <v>0</v>
      </c>
      <c r="D671" s="39" t="n">
        <v>-0.024</v>
      </c>
      <c r="E671" s="40" t="n">
        <v>-0.0001</v>
      </c>
      <c r="F671" s="39" t="n">
        <v>0.00604</v>
      </c>
      <c r="G671" s="40" t="n">
        <v>1E-005</v>
      </c>
      <c r="H671" s="39" t="n">
        <v>0.15452</v>
      </c>
      <c r="I671" s="40" t="n">
        <v>9E-005</v>
      </c>
      <c r="J671" s="39" t="n">
        <v>0.10175</v>
      </c>
      <c r="K671" s="40" t="n">
        <v>0.00014</v>
      </c>
      <c r="L671" s="39" t="n">
        <v>-0.00319</v>
      </c>
      <c r="M671" s="40" t="n">
        <v>-1E-005</v>
      </c>
      <c r="N671" s="39" t="n">
        <v>0.11908</v>
      </c>
      <c r="O671" s="40" t="n">
        <v>0.00017</v>
      </c>
      <c r="P671" s="39" t="n">
        <v>0.03288</v>
      </c>
      <c r="Q671" s="40" t="n">
        <v>4E-005</v>
      </c>
      <c r="R671" s="39" t="n">
        <v>0.15815</v>
      </c>
      <c r="S671" s="40" t="n">
        <v>0.0002</v>
      </c>
      <c r="T671" s="39" t="n">
        <v>0.00841</v>
      </c>
      <c r="U671" s="40" t="n">
        <v>2E-005</v>
      </c>
      <c r="V671" s="39" t="n">
        <v>0.09447</v>
      </c>
      <c r="W671" s="40" t="n">
        <v>0.00015</v>
      </c>
      <c r="X671" s="39" t="n">
        <v>0.00168</v>
      </c>
      <c r="Y671" s="40" t="n">
        <v>0</v>
      </c>
    </row>
    <row r="672" customFormat="false" ht="15" hidden="false" customHeight="false" outlineLevel="0" collapsed="false">
      <c r="A672" s="38" t="n">
        <v>727</v>
      </c>
      <c r="B672" s="39" t="n">
        <v>0.00021</v>
      </c>
      <c r="C672" s="40" t="n">
        <v>1E-005</v>
      </c>
      <c r="D672" s="39" t="n">
        <v>-0.01868</v>
      </c>
      <c r="E672" s="40" t="n">
        <v>-0.00012</v>
      </c>
      <c r="F672" s="39" t="n">
        <v>0.00649</v>
      </c>
      <c r="G672" s="40" t="n">
        <v>1E-005</v>
      </c>
      <c r="H672" s="39" t="n">
        <v>0.15341</v>
      </c>
      <c r="I672" s="40" t="n">
        <v>0.0001</v>
      </c>
      <c r="J672" s="39" t="n">
        <v>0.1001</v>
      </c>
      <c r="K672" s="40" t="n">
        <v>0.00014</v>
      </c>
      <c r="L672" s="39" t="n">
        <v>-0.00348</v>
      </c>
      <c r="M672" s="40" t="n">
        <v>-1E-005</v>
      </c>
      <c r="N672" s="39" t="n">
        <v>0.11711</v>
      </c>
      <c r="O672" s="40" t="n">
        <v>0.00017</v>
      </c>
      <c r="P672" s="39" t="n">
        <v>0.03242</v>
      </c>
      <c r="Q672" s="40" t="n">
        <v>4E-005</v>
      </c>
      <c r="R672" s="39" t="n">
        <v>0.15573</v>
      </c>
      <c r="S672" s="40" t="n">
        <v>0.00021</v>
      </c>
      <c r="T672" s="39" t="n">
        <v>0.00816</v>
      </c>
      <c r="U672" s="40" t="n">
        <v>2E-005</v>
      </c>
      <c r="V672" s="39" t="n">
        <v>0.09261</v>
      </c>
      <c r="W672" s="40" t="n">
        <v>0.00015</v>
      </c>
      <c r="X672" s="39" t="n">
        <v>0.00177</v>
      </c>
      <c r="Y672" s="40" t="n">
        <v>0</v>
      </c>
    </row>
    <row r="673" customFormat="false" ht="15" hidden="false" customHeight="false" outlineLevel="0" collapsed="false">
      <c r="A673" s="38" t="n">
        <v>728</v>
      </c>
      <c r="B673" s="39" t="n">
        <v>2E-005</v>
      </c>
      <c r="C673" s="40" t="n">
        <v>1E-005</v>
      </c>
      <c r="D673" s="39" t="n">
        <v>-0.01853</v>
      </c>
      <c r="E673" s="40" t="n">
        <v>-0.00011</v>
      </c>
      <c r="F673" s="39" t="n">
        <v>0.00624</v>
      </c>
      <c r="G673" s="40" t="n">
        <v>1E-005</v>
      </c>
      <c r="H673" s="39" t="n">
        <v>0.15216</v>
      </c>
      <c r="I673" s="40" t="n">
        <v>0.0001</v>
      </c>
      <c r="J673" s="39" t="n">
        <v>0.09854</v>
      </c>
      <c r="K673" s="40" t="n">
        <v>0.00014</v>
      </c>
      <c r="L673" s="39" t="n">
        <v>-0.00309</v>
      </c>
      <c r="M673" s="40" t="n">
        <v>0</v>
      </c>
      <c r="N673" s="39" t="n">
        <v>0.1146</v>
      </c>
      <c r="O673" s="40" t="n">
        <v>0.00017</v>
      </c>
      <c r="P673" s="39" t="n">
        <v>0.0322</v>
      </c>
      <c r="Q673" s="40" t="n">
        <v>4E-005</v>
      </c>
      <c r="R673" s="39" t="n">
        <v>0.1533</v>
      </c>
      <c r="S673" s="40" t="n">
        <v>0.0002</v>
      </c>
      <c r="T673" s="39" t="n">
        <v>0.0081</v>
      </c>
      <c r="U673" s="40" t="n">
        <v>2E-005</v>
      </c>
      <c r="V673" s="39" t="n">
        <v>0.09084</v>
      </c>
      <c r="W673" s="40" t="n">
        <v>0.00015</v>
      </c>
      <c r="X673" s="39" t="n">
        <v>0.00175</v>
      </c>
      <c r="Y673" s="40" t="n">
        <v>0</v>
      </c>
    </row>
    <row r="674" customFormat="false" ht="15" hidden="false" customHeight="false" outlineLevel="0" collapsed="false">
      <c r="A674" s="38" t="n">
        <v>729</v>
      </c>
      <c r="B674" s="39" t="n">
        <v>-4E-005</v>
      </c>
      <c r="C674" s="40" t="n">
        <v>0</v>
      </c>
      <c r="D674" s="39" t="n">
        <v>-0.01987</v>
      </c>
      <c r="E674" s="40" t="n">
        <v>-9E-005</v>
      </c>
      <c r="F674" s="39" t="n">
        <v>0.00601</v>
      </c>
      <c r="G674" s="40" t="n">
        <v>1E-005</v>
      </c>
      <c r="H674" s="39" t="n">
        <v>0.15065</v>
      </c>
      <c r="I674" s="40" t="n">
        <v>0.0001</v>
      </c>
      <c r="J674" s="39" t="n">
        <v>0.09688</v>
      </c>
      <c r="K674" s="40" t="n">
        <v>0.00014</v>
      </c>
      <c r="L674" s="39" t="n">
        <v>-0.00297</v>
      </c>
      <c r="M674" s="40" t="n">
        <v>0</v>
      </c>
      <c r="N674" s="39" t="n">
        <v>0.11281</v>
      </c>
      <c r="O674" s="40" t="n">
        <v>0.00017</v>
      </c>
      <c r="P674" s="39" t="n">
        <v>0.03175</v>
      </c>
      <c r="Q674" s="40" t="n">
        <v>3E-005</v>
      </c>
      <c r="R674" s="39" t="n">
        <v>0.15068</v>
      </c>
      <c r="S674" s="40" t="n">
        <v>0.0002</v>
      </c>
      <c r="T674" s="39" t="n">
        <v>0.008</v>
      </c>
      <c r="U674" s="40" t="n">
        <v>2E-005</v>
      </c>
      <c r="V674" s="39" t="n">
        <v>0.08901</v>
      </c>
      <c r="W674" s="40" t="n">
        <v>0.00015</v>
      </c>
      <c r="X674" s="39" t="n">
        <v>0.0018</v>
      </c>
      <c r="Y674" s="40" t="n">
        <v>1E-005</v>
      </c>
    </row>
    <row r="675" customFormat="false" ht="15" hidden="false" customHeight="false" outlineLevel="0" collapsed="false">
      <c r="A675" s="38" t="n">
        <v>730</v>
      </c>
      <c r="B675" s="39" t="n">
        <v>1E-005</v>
      </c>
      <c r="C675" s="40" t="n">
        <v>0</v>
      </c>
      <c r="D675" s="39" t="n">
        <v>-0.01891</v>
      </c>
      <c r="E675" s="40" t="n">
        <v>-3E-005</v>
      </c>
      <c r="F675" s="39" t="n">
        <v>0.0057</v>
      </c>
      <c r="G675" s="40" t="n">
        <v>1E-005</v>
      </c>
      <c r="H675" s="39" t="n">
        <v>0.14945</v>
      </c>
      <c r="I675" s="40" t="n">
        <v>0.00011</v>
      </c>
      <c r="J675" s="39" t="n">
        <v>0.09533</v>
      </c>
      <c r="K675" s="40" t="n">
        <v>0.00014</v>
      </c>
      <c r="L675" s="39" t="n">
        <v>-0.00305</v>
      </c>
      <c r="M675" s="40" t="n">
        <v>-1E-005</v>
      </c>
      <c r="N675" s="39" t="n">
        <v>0.11103</v>
      </c>
      <c r="O675" s="40" t="n">
        <v>0.00016</v>
      </c>
      <c r="P675" s="39" t="n">
        <v>0.03123</v>
      </c>
      <c r="Q675" s="40" t="n">
        <v>3E-005</v>
      </c>
      <c r="R675" s="39" t="n">
        <v>0.14818</v>
      </c>
      <c r="S675" s="40" t="n">
        <v>0.0002</v>
      </c>
      <c r="T675" s="39" t="n">
        <v>0.00753</v>
      </c>
      <c r="U675" s="40" t="n">
        <v>2E-005</v>
      </c>
      <c r="V675" s="39" t="n">
        <v>0.08734</v>
      </c>
      <c r="W675" s="40" t="n">
        <v>0.00015</v>
      </c>
      <c r="X675" s="39" t="n">
        <v>0.0017</v>
      </c>
      <c r="Y675" s="40" t="n">
        <v>1E-005</v>
      </c>
    </row>
    <row r="676" customFormat="false" ht="15" hidden="false" customHeight="false" outlineLevel="0" collapsed="false">
      <c r="A676" s="38" t="n">
        <v>731</v>
      </c>
      <c r="B676" s="39" t="n">
        <v>6E-005</v>
      </c>
      <c r="C676" s="40" t="n">
        <v>0</v>
      </c>
      <c r="D676" s="39" t="n">
        <v>-0.0176</v>
      </c>
      <c r="E676" s="40" t="n">
        <v>6E-005</v>
      </c>
      <c r="F676" s="39" t="n">
        <v>0.00599</v>
      </c>
      <c r="G676" s="40" t="n">
        <v>1E-005</v>
      </c>
      <c r="H676" s="39" t="n">
        <v>0.14824</v>
      </c>
      <c r="I676" s="40" t="n">
        <v>0.00011</v>
      </c>
      <c r="J676" s="39" t="n">
        <v>0.09362</v>
      </c>
      <c r="K676" s="40" t="n">
        <v>0.00014</v>
      </c>
      <c r="L676" s="39" t="n">
        <v>-0.00304</v>
      </c>
      <c r="M676" s="40" t="n">
        <v>-1E-005</v>
      </c>
      <c r="N676" s="39" t="n">
        <v>0.10888</v>
      </c>
      <c r="O676" s="40" t="n">
        <v>0.00016</v>
      </c>
      <c r="P676" s="39" t="n">
        <v>0.03062</v>
      </c>
      <c r="Q676" s="40" t="n">
        <v>3E-005</v>
      </c>
      <c r="R676" s="39" t="n">
        <v>0.14592</v>
      </c>
      <c r="S676" s="40" t="n">
        <v>0.00021</v>
      </c>
      <c r="T676" s="39" t="n">
        <v>0.0072</v>
      </c>
      <c r="U676" s="40" t="n">
        <v>2E-005</v>
      </c>
      <c r="V676" s="39" t="n">
        <v>0.08545</v>
      </c>
      <c r="W676" s="40" t="n">
        <v>0.00015</v>
      </c>
      <c r="X676" s="39" t="n">
        <v>0.00144</v>
      </c>
      <c r="Y676" s="40" t="n">
        <v>1E-005</v>
      </c>
    </row>
    <row r="677" customFormat="false" ht="15" hidden="false" customHeight="false" outlineLevel="0" collapsed="false">
      <c r="A677" s="38" t="n">
        <v>732</v>
      </c>
      <c r="B677" s="39" t="n">
        <v>8E-005</v>
      </c>
      <c r="C677" s="40" t="n">
        <v>0</v>
      </c>
      <c r="D677" s="39" t="n">
        <v>-0.01806</v>
      </c>
      <c r="E677" s="40" t="n">
        <v>3E-005</v>
      </c>
      <c r="F677" s="39" t="n">
        <v>0.00583</v>
      </c>
      <c r="G677" s="40" t="n">
        <v>1E-005</v>
      </c>
      <c r="H677" s="39" t="n">
        <v>0.14698</v>
      </c>
      <c r="I677" s="40" t="n">
        <v>0.00011</v>
      </c>
      <c r="J677" s="39" t="n">
        <v>0.0918</v>
      </c>
      <c r="K677" s="40" t="n">
        <v>0.00014</v>
      </c>
      <c r="L677" s="39" t="n">
        <v>-0.00279</v>
      </c>
      <c r="M677" s="40" t="n">
        <v>0</v>
      </c>
      <c r="N677" s="39" t="n">
        <v>0.10703</v>
      </c>
      <c r="O677" s="40" t="n">
        <v>0.00017</v>
      </c>
      <c r="P677" s="39" t="n">
        <v>0.0305</v>
      </c>
      <c r="Q677" s="40" t="n">
        <v>3E-005</v>
      </c>
      <c r="R677" s="39" t="n">
        <v>0.14349</v>
      </c>
      <c r="S677" s="40" t="n">
        <v>0.00021</v>
      </c>
      <c r="T677" s="39" t="n">
        <v>0.00728</v>
      </c>
      <c r="U677" s="40" t="n">
        <v>2E-005</v>
      </c>
      <c r="V677" s="39" t="n">
        <v>0.08349</v>
      </c>
      <c r="W677" s="40" t="n">
        <v>0.00015</v>
      </c>
      <c r="X677" s="39" t="n">
        <v>0.00119</v>
      </c>
      <c r="Y677" s="40" t="n">
        <v>1E-005</v>
      </c>
    </row>
    <row r="678" customFormat="false" ht="15" hidden="false" customHeight="false" outlineLevel="0" collapsed="false">
      <c r="A678" s="38" t="n">
        <v>733</v>
      </c>
      <c r="B678" s="39" t="n">
        <v>0.00014</v>
      </c>
      <c r="C678" s="40" t="n">
        <v>0</v>
      </c>
      <c r="D678" s="39" t="n">
        <v>-0.01823</v>
      </c>
      <c r="E678" s="40" t="n">
        <v>0</v>
      </c>
      <c r="F678" s="39" t="n">
        <v>0.00527</v>
      </c>
      <c r="G678" s="40" t="n">
        <v>1E-005</v>
      </c>
      <c r="H678" s="39" t="n">
        <v>0.14578</v>
      </c>
      <c r="I678" s="40" t="n">
        <v>0.00012</v>
      </c>
      <c r="J678" s="39" t="n">
        <v>0.0901</v>
      </c>
      <c r="K678" s="40" t="n">
        <v>0.00014</v>
      </c>
      <c r="L678" s="39" t="n">
        <v>-0.00259</v>
      </c>
      <c r="M678" s="40" t="n">
        <v>0</v>
      </c>
      <c r="N678" s="39" t="n">
        <v>0.10503</v>
      </c>
      <c r="O678" s="40" t="n">
        <v>0.00018</v>
      </c>
      <c r="P678" s="39" t="n">
        <v>0.0301</v>
      </c>
      <c r="Q678" s="40" t="n">
        <v>3E-005</v>
      </c>
      <c r="R678" s="39" t="n">
        <v>0.14107</v>
      </c>
      <c r="S678" s="40" t="n">
        <v>0.00021</v>
      </c>
      <c r="T678" s="39" t="n">
        <v>0.00699</v>
      </c>
      <c r="U678" s="40" t="n">
        <v>2E-005</v>
      </c>
      <c r="V678" s="39" t="n">
        <v>0.08175</v>
      </c>
      <c r="W678" s="40" t="n">
        <v>0.00015</v>
      </c>
      <c r="X678" s="39" t="n">
        <v>0.00106</v>
      </c>
      <c r="Y678" s="40" t="n">
        <v>1E-005</v>
      </c>
    </row>
    <row r="679" customFormat="false" ht="15" hidden="false" customHeight="false" outlineLevel="0" collapsed="false">
      <c r="A679" s="38" t="n">
        <v>734</v>
      </c>
      <c r="B679" s="39" t="n">
        <v>9E-005</v>
      </c>
      <c r="C679" s="40" t="n">
        <v>0</v>
      </c>
      <c r="D679" s="39" t="n">
        <v>-0.01966</v>
      </c>
      <c r="E679" s="40" t="n">
        <v>1E-005</v>
      </c>
      <c r="F679" s="39" t="n">
        <v>0.00554</v>
      </c>
      <c r="G679" s="40" t="n">
        <v>0</v>
      </c>
      <c r="H679" s="39" t="n">
        <v>0.14435</v>
      </c>
      <c r="I679" s="40" t="n">
        <v>0.00012</v>
      </c>
      <c r="J679" s="39" t="n">
        <v>0.0885</v>
      </c>
      <c r="K679" s="40" t="n">
        <v>0.00015</v>
      </c>
      <c r="L679" s="39" t="n">
        <v>-0.00266</v>
      </c>
      <c r="M679" s="40" t="n">
        <v>-1E-005</v>
      </c>
      <c r="N679" s="39" t="n">
        <v>0.10283</v>
      </c>
      <c r="O679" s="40" t="n">
        <v>0.00018</v>
      </c>
      <c r="P679" s="39" t="n">
        <v>0.02988</v>
      </c>
      <c r="Q679" s="40" t="n">
        <v>3E-005</v>
      </c>
      <c r="R679" s="39" t="n">
        <v>0.13833</v>
      </c>
      <c r="S679" s="40" t="n">
        <v>0.0002</v>
      </c>
      <c r="T679" s="39" t="n">
        <v>0.00686</v>
      </c>
      <c r="U679" s="40" t="n">
        <v>2E-005</v>
      </c>
      <c r="V679" s="39" t="n">
        <v>0.08009</v>
      </c>
      <c r="W679" s="40" t="n">
        <v>0.00015</v>
      </c>
      <c r="X679" s="39" t="n">
        <v>0.00105</v>
      </c>
      <c r="Y679" s="40" t="n">
        <v>0</v>
      </c>
    </row>
    <row r="680" customFormat="false" ht="15" hidden="false" customHeight="false" outlineLevel="0" collapsed="false">
      <c r="A680" s="38" t="n">
        <v>735</v>
      </c>
      <c r="B680" s="39" t="n">
        <v>3E-005</v>
      </c>
      <c r="C680" s="40" t="n">
        <v>0</v>
      </c>
      <c r="D680" s="39" t="n">
        <v>-0.0207</v>
      </c>
      <c r="E680" s="40" t="n">
        <v>0</v>
      </c>
      <c r="F680" s="39" t="n">
        <v>0.00576</v>
      </c>
      <c r="G680" s="40" t="n">
        <v>0</v>
      </c>
      <c r="H680" s="39" t="n">
        <v>0.14291</v>
      </c>
      <c r="I680" s="40" t="n">
        <v>0.00012</v>
      </c>
      <c r="J680" s="39" t="n">
        <v>0.08702</v>
      </c>
      <c r="K680" s="40" t="n">
        <v>0.00014</v>
      </c>
      <c r="L680" s="39" t="n">
        <v>-0.00282</v>
      </c>
      <c r="M680" s="40" t="n">
        <v>0</v>
      </c>
      <c r="N680" s="39" t="n">
        <v>0.10084</v>
      </c>
      <c r="O680" s="40" t="n">
        <v>0.00018</v>
      </c>
      <c r="P680" s="39" t="n">
        <v>0.02916</v>
      </c>
      <c r="Q680" s="40" t="n">
        <v>3E-005</v>
      </c>
      <c r="R680" s="39" t="n">
        <v>0.13581</v>
      </c>
      <c r="S680" s="40" t="n">
        <v>0.00021</v>
      </c>
      <c r="T680" s="39" t="n">
        <v>0.00652</v>
      </c>
      <c r="U680" s="40" t="n">
        <v>2E-005</v>
      </c>
      <c r="V680" s="39" t="n">
        <v>0.07824</v>
      </c>
      <c r="W680" s="40" t="n">
        <v>0.00014</v>
      </c>
      <c r="X680" s="39" t="n">
        <v>0.00125</v>
      </c>
      <c r="Y680" s="40" t="n">
        <v>0</v>
      </c>
    </row>
    <row r="681" customFormat="false" ht="15" hidden="false" customHeight="false" outlineLevel="0" collapsed="false">
      <c r="A681" s="38" t="n">
        <v>736</v>
      </c>
      <c r="B681" s="39" t="n">
        <v>-7E-005</v>
      </c>
      <c r="C681" s="40" t="n">
        <v>1E-005</v>
      </c>
      <c r="D681" s="39" t="n">
        <v>-0.01919</v>
      </c>
      <c r="E681" s="40" t="n">
        <v>-3E-005</v>
      </c>
      <c r="F681" s="39" t="n">
        <v>0.00548</v>
      </c>
      <c r="G681" s="40" t="n">
        <v>1E-005</v>
      </c>
      <c r="H681" s="39" t="n">
        <v>0.14095</v>
      </c>
      <c r="I681" s="40" t="n">
        <v>0.00013</v>
      </c>
      <c r="J681" s="39" t="n">
        <v>0.085</v>
      </c>
      <c r="K681" s="40" t="n">
        <v>0.00014</v>
      </c>
      <c r="L681" s="39" t="n">
        <v>-0.00276</v>
      </c>
      <c r="M681" s="40" t="n">
        <v>0</v>
      </c>
      <c r="N681" s="39" t="n">
        <v>0.09824</v>
      </c>
      <c r="O681" s="40" t="n">
        <v>0.00018</v>
      </c>
      <c r="P681" s="39" t="n">
        <v>0.02883</v>
      </c>
      <c r="Q681" s="40" t="n">
        <v>4E-005</v>
      </c>
      <c r="R681" s="39" t="n">
        <v>0.13335</v>
      </c>
      <c r="S681" s="40" t="n">
        <v>0.00021</v>
      </c>
      <c r="T681" s="39" t="n">
        <v>0.00637</v>
      </c>
      <c r="U681" s="40" t="n">
        <v>2E-005</v>
      </c>
      <c r="V681" s="39" t="n">
        <v>0.07662</v>
      </c>
      <c r="W681" s="40" t="n">
        <v>0.00014</v>
      </c>
      <c r="X681" s="39" t="n">
        <v>0.00126</v>
      </c>
      <c r="Y681" s="40" t="n">
        <v>-1E-005</v>
      </c>
    </row>
    <row r="682" customFormat="false" ht="15" hidden="false" customHeight="false" outlineLevel="0" collapsed="false">
      <c r="A682" s="38" t="n">
        <v>737</v>
      </c>
      <c r="B682" s="39" t="n">
        <v>2E-005</v>
      </c>
      <c r="C682" s="40" t="n">
        <v>0</v>
      </c>
      <c r="D682" s="39" t="n">
        <v>-0.01745</v>
      </c>
      <c r="E682" s="40" t="n">
        <v>-6E-005</v>
      </c>
      <c r="F682" s="39" t="n">
        <v>0.00521</v>
      </c>
      <c r="G682" s="40" t="n">
        <v>1E-005</v>
      </c>
      <c r="H682" s="39" t="n">
        <v>0.13952</v>
      </c>
      <c r="I682" s="40" t="n">
        <v>0.00013</v>
      </c>
      <c r="J682" s="39" t="n">
        <v>0.08319</v>
      </c>
      <c r="K682" s="40" t="n">
        <v>0.00014</v>
      </c>
      <c r="L682" s="39" t="n">
        <v>-0.00256</v>
      </c>
      <c r="M682" s="40" t="n">
        <v>0</v>
      </c>
      <c r="N682" s="39" t="n">
        <v>0.09598</v>
      </c>
      <c r="O682" s="40" t="n">
        <v>0.00018</v>
      </c>
      <c r="P682" s="39" t="n">
        <v>0.02851</v>
      </c>
      <c r="Q682" s="40" t="n">
        <v>4E-005</v>
      </c>
      <c r="R682" s="39" t="n">
        <v>0.13111</v>
      </c>
      <c r="S682" s="40" t="n">
        <v>0.00021</v>
      </c>
      <c r="T682" s="39" t="n">
        <v>0.00615</v>
      </c>
      <c r="U682" s="40" t="n">
        <v>2E-005</v>
      </c>
      <c r="V682" s="39" t="n">
        <v>0.07497</v>
      </c>
      <c r="W682" s="40" t="n">
        <v>0.00014</v>
      </c>
      <c r="X682" s="39" t="n">
        <v>0.00123</v>
      </c>
      <c r="Y682" s="40" t="n">
        <v>0</v>
      </c>
    </row>
    <row r="683" customFormat="false" ht="15" hidden="false" customHeight="false" outlineLevel="0" collapsed="false">
      <c r="A683" s="38" t="n">
        <v>738</v>
      </c>
      <c r="B683" s="39" t="n">
        <v>0.0001</v>
      </c>
      <c r="C683" s="40" t="n">
        <v>0</v>
      </c>
      <c r="D683" s="39" t="n">
        <v>-0.01788</v>
      </c>
      <c r="E683" s="40" t="n">
        <v>-5E-005</v>
      </c>
      <c r="F683" s="39" t="n">
        <v>0.00527</v>
      </c>
      <c r="G683" s="40" t="n">
        <v>2E-005</v>
      </c>
      <c r="H683" s="39" t="n">
        <v>0.13841</v>
      </c>
      <c r="I683" s="40" t="n">
        <v>0.00013</v>
      </c>
      <c r="J683" s="39" t="n">
        <v>0.08152</v>
      </c>
      <c r="K683" s="40" t="n">
        <v>0.00014</v>
      </c>
      <c r="L683" s="39" t="n">
        <v>-0.00258</v>
      </c>
      <c r="M683" s="40" t="n">
        <v>0</v>
      </c>
      <c r="N683" s="39" t="n">
        <v>0.09433</v>
      </c>
      <c r="O683" s="40" t="n">
        <v>0.00018</v>
      </c>
      <c r="P683" s="39" t="n">
        <v>0.02793</v>
      </c>
      <c r="Q683" s="40" t="n">
        <v>4E-005</v>
      </c>
      <c r="R683" s="39" t="n">
        <v>0.12869</v>
      </c>
      <c r="S683" s="40" t="n">
        <v>0.00021</v>
      </c>
      <c r="T683" s="39" t="n">
        <v>0.00589</v>
      </c>
      <c r="U683" s="40" t="n">
        <v>2E-005</v>
      </c>
      <c r="V683" s="39" t="n">
        <v>0.07333</v>
      </c>
      <c r="W683" s="40" t="n">
        <v>0.00014</v>
      </c>
      <c r="X683" s="39" t="n">
        <v>0.00123</v>
      </c>
      <c r="Y683" s="40" t="n">
        <v>0</v>
      </c>
    </row>
    <row r="684" customFormat="false" ht="15" hidden="false" customHeight="false" outlineLevel="0" collapsed="false">
      <c r="A684" s="38" t="n">
        <v>739</v>
      </c>
      <c r="B684" s="39" t="n">
        <v>-0.00026</v>
      </c>
      <c r="C684" s="40" t="n">
        <v>0</v>
      </c>
      <c r="D684" s="39" t="n">
        <v>-0.01691</v>
      </c>
      <c r="E684" s="40" t="n">
        <v>-2E-005</v>
      </c>
      <c r="F684" s="39" t="n">
        <v>0.00534</v>
      </c>
      <c r="G684" s="40" t="n">
        <v>2E-005</v>
      </c>
      <c r="H684" s="39" t="n">
        <v>0.1366</v>
      </c>
      <c r="I684" s="40" t="n">
        <v>0.00014</v>
      </c>
      <c r="J684" s="39" t="n">
        <v>0.07991</v>
      </c>
      <c r="K684" s="40" t="n">
        <v>0.00015</v>
      </c>
      <c r="L684" s="39" t="n">
        <v>-0.00261</v>
      </c>
      <c r="M684" s="40" t="n">
        <v>0</v>
      </c>
      <c r="N684" s="39" t="n">
        <v>0.09239</v>
      </c>
      <c r="O684" s="40" t="n">
        <v>0.00018</v>
      </c>
      <c r="P684" s="39" t="n">
        <v>0.02748</v>
      </c>
      <c r="Q684" s="40" t="n">
        <v>4E-005</v>
      </c>
      <c r="R684" s="39" t="n">
        <v>0.12597</v>
      </c>
      <c r="S684" s="40" t="n">
        <v>0.00021</v>
      </c>
      <c r="T684" s="39" t="n">
        <v>0.00557</v>
      </c>
      <c r="U684" s="40" t="n">
        <v>2E-005</v>
      </c>
      <c r="V684" s="39" t="n">
        <v>0.07156</v>
      </c>
      <c r="W684" s="40" t="n">
        <v>0.00015</v>
      </c>
      <c r="X684" s="39" t="n">
        <v>0.00137</v>
      </c>
      <c r="Y684" s="40" t="n">
        <v>0</v>
      </c>
    </row>
    <row r="685" customFormat="false" ht="15" hidden="false" customHeight="false" outlineLevel="0" collapsed="false">
      <c r="A685" s="38" t="n">
        <v>740</v>
      </c>
      <c r="B685" s="39" t="n">
        <v>-0.00027</v>
      </c>
      <c r="C685" s="40" t="n">
        <v>0</v>
      </c>
      <c r="D685" s="39" t="n">
        <v>-0.01649</v>
      </c>
      <c r="E685" s="40" t="n">
        <v>1E-005</v>
      </c>
      <c r="F685" s="39" t="n">
        <v>0.00468</v>
      </c>
      <c r="G685" s="40" t="n">
        <v>2E-005</v>
      </c>
      <c r="H685" s="39" t="n">
        <v>0.13491</v>
      </c>
      <c r="I685" s="40" t="n">
        <v>0.00014</v>
      </c>
      <c r="J685" s="39" t="n">
        <v>0.07835</v>
      </c>
      <c r="K685" s="40" t="n">
        <v>0.00014</v>
      </c>
      <c r="L685" s="39" t="n">
        <v>-0.00272</v>
      </c>
      <c r="M685" s="40" t="n">
        <v>0</v>
      </c>
      <c r="N685" s="39" t="n">
        <v>0.09022</v>
      </c>
      <c r="O685" s="40" t="n">
        <v>0.00017</v>
      </c>
      <c r="P685" s="39" t="n">
        <v>0.0271</v>
      </c>
      <c r="Q685" s="40" t="n">
        <v>4E-005</v>
      </c>
      <c r="R685" s="39" t="n">
        <v>0.12341</v>
      </c>
      <c r="S685" s="40" t="n">
        <v>0.00021</v>
      </c>
      <c r="T685" s="39" t="n">
        <v>0.00572</v>
      </c>
      <c r="U685" s="40" t="n">
        <v>2E-005</v>
      </c>
      <c r="V685" s="39" t="n">
        <v>0.06978</v>
      </c>
      <c r="W685" s="40" t="n">
        <v>0.00014</v>
      </c>
      <c r="X685" s="39" t="n">
        <v>0.00122</v>
      </c>
      <c r="Y685" s="40" t="n">
        <v>0</v>
      </c>
    </row>
    <row r="686" customFormat="false" ht="15" hidden="false" customHeight="false" outlineLevel="0" collapsed="false">
      <c r="A686" s="38" t="n">
        <v>741</v>
      </c>
      <c r="B686" s="39" t="n">
        <v>0.00024</v>
      </c>
      <c r="C686" s="40" t="n">
        <v>0</v>
      </c>
      <c r="D686" s="39" t="n">
        <v>-0.01721</v>
      </c>
      <c r="E686" s="40" t="n">
        <v>2E-005</v>
      </c>
      <c r="F686" s="39" t="n">
        <v>0.00437</v>
      </c>
      <c r="G686" s="40" t="n">
        <v>2E-005</v>
      </c>
      <c r="H686" s="39" t="n">
        <v>0.13324</v>
      </c>
      <c r="I686" s="40" t="n">
        <v>0.00014</v>
      </c>
      <c r="J686" s="39" t="n">
        <v>0.07653</v>
      </c>
      <c r="K686" s="40" t="n">
        <v>0.00014</v>
      </c>
      <c r="L686" s="39" t="n">
        <v>-0.00248</v>
      </c>
      <c r="M686" s="40" t="n">
        <v>0</v>
      </c>
      <c r="N686" s="39" t="n">
        <v>0.08796</v>
      </c>
      <c r="O686" s="40" t="n">
        <v>0.00017</v>
      </c>
      <c r="P686" s="39" t="n">
        <v>0.02673</v>
      </c>
      <c r="Q686" s="40" t="n">
        <v>5E-005</v>
      </c>
      <c r="R686" s="39" t="n">
        <v>0.12081</v>
      </c>
      <c r="S686" s="40" t="n">
        <v>0.00022</v>
      </c>
      <c r="T686" s="39" t="n">
        <v>0.00544</v>
      </c>
      <c r="U686" s="40" t="n">
        <v>2E-005</v>
      </c>
      <c r="V686" s="39" t="n">
        <v>0.06794</v>
      </c>
      <c r="W686" s="40" t="n">
        <v>0.00014</v>
      </c>
      <c r="X686" s="39" t="n">
        <v>0.00114</v>
      </c>
      <c r="Y686" s="40" t="n">
        <v>1E-005</v>
      </c>
    </row>
    <row r="687" customFormat="false" ht="15" hidden="false" customHeight="false" outlineLevel="0" collapsed="false">
      <c r="A687" s="38" t="n">
        <v>742</v>
      </c>
      <c r="B687" s="39" t="n">
        <v>0.00045</v>
      </c>
      <c r="C687" s="40" t="n">
        <v>0</v>
      </c>
      <c r="D687" s="39" t="n">
        <v>-0.01787</v>
      </c>
      <c r="E687" s="40" t="n">
        <v>-1E-005</v>
      </c>
      <c r="F687" s="39" t="n">
        <v>0.00447</v>
      </c>
      <c r="G687" s="40" t="n">
        <v>1E-005</v>
      </c>
      <c r="H687" s="39" t="n">
        <v>0.1314</v>
      </c>
      <c r="I687" s="40" t="n">
        <v>0.00015</v>
      </c>
      <c r="J687" s="39" t="n">
        <v>0.07469</v>
      </c>
      <c r="K687" s="40" t="n">
        <v>0.00015</v>
      </c>
      <c r="L687" s="39" t="n">
        <v>-0.0026</v>
      </c>
      <c r="M687" s="40" t="n">
        <v>0</v>
      </c>
      <c r="N687" s="39" t="n">
        <v>0.08576</v>
      </c>
      <c r="O687" s="40" t="n">
        <v>0.00017</v>
      </c>
      <c r="P687" s="39" t="n">
        <v>0.02603</v>
      </c>
      <c r="Q687" s="40" t="n">
        <v>4E-005</v>
      </c>
      <c r="R687" s="39" t="n">
        <v>0.11812</v>
      </c>
      <c r="S687" s="40" t="n">
        <v>0.00022</v>
      </c>
      <c r="T687" s="39" t="n">
        <v>0.00519</v>
      </c>
      <c r="U687" s="40" t="n">
        <v>2E-005</v>
      </c>
      <c r="V687" s="39" t="n">
        <v>0.06623</v>
      </c>
      <c r="W687" s="40" t="n">
        <v>0.00014</v>
      </c>
      <c r="X687" s="39" t="n">
        <v>0.00102</v>
      </c>
      <c r="Y687" s="40" t="n">
        <v>1E-005</v>
      </c>
    </row>
    <row r="688" customFormat="false" ht="15" hidden="false" customHeight="false" outlineLevel="0" collapsed="false">
      <c r="A688" s="38" t="n">
        <v>743</v>
      </c>
      <c r="B688" s="39" t="n">
        <v>-1E-005</v>
      </c>
      <c r="C688" s="40" t="n">
        <v>0</v>
      </c>
      <c r="D688" s="39" t="n">
        <v>-0.0186</v>
      </c>
      <c r="E688" s="40" t="n">
        <v>-2E-005</v>
      </c>
      <c r="F688" s="39" t="n">
        <v>0.00405</v>
      </c>
      <c r="G688" s="40" t="n">
        <v>1E-005</v>
      </c>
      <c r="H688" s="39" t="n">
        <v>0.12957</v>
      </c>
      <c r="I688" s="40" t="n">
        <v>0.00015</v>
      </c>
      <c r="J688" s="39" t="n">
        <v>0.07294</v>
      </c>
      <c r="K688" s="40" t="n">
        <v>0.00015</v>
      </c>
      <c r="L688" s="39" t="n">
        <v>-0.0025</v>
      </c>
      <c r="M688" s="40" t="n">
        <v>0</v>
      </c>
      <c r="N688" s="39" t="n">
        <v>0.08379</v>
      </c>
      <c r="O688" s="40" t="n">
        <v>0.00017</v>
      </c>
      <c r="P688" s="39" t="n">
        <v>0.02544</v>
      </c>
      <c r="Q688" s="40" t="n">
        <v>4E-005</v>
      </c>
      <c r="R688" s="39" t="n">
        <v>0.11566</v>
      </c>
      <c r="S688" s="40" t="n">
        <v>0.00021</v>
      </c>
      <c r="T688" s="39" t="n">
        <v>0.00485</v>
      </c>
      <c r="U688" s="40" t="n">
        <v>2E-005</v>
      </c>
      <c r="V688" s="39" t="n">
        <v>0.0645</v>
      </c>
      <c r="W688" s="40" t="n">
        <v>0.00014</v>
      </c>
      <c r="X688" s="39" t="n">
        <v>0.00095</v>
      </c>
      <c r="Y688" s="40" t="n">
        <v>1E-005</v>
      </c>
    </row>
    <row r="689" customFormat="false" ht="15" hidden="false" customHeight="false" outlineLevel="0" collapsed="false">
      <c r="A689" s="38" t="n">
        <v>744</v>
      </c>
      <c r="B689" s="39" t="n">
        <v>-2E-005</v>
      </c>
      <c r="C689" s="40" t="n">
        <v>1E-005</v>
      </c>
      <c r="D689" s="39" t="n">
        <v>-0.01663</v>
      </c>
      <c r="E689" s="40" t="n">
        <v>-2E-005</v>
      </c>
      <c r="F689" s="39" t="n">
        <v>0.00404</v>
      </c>
      <c r="G689" s="40" t="n">
        <v>1E-005</v>
      </c>
      <c r="H689" s="39" t="n">
        <v>0.12777</v>
      </c>
      <c r="I689" s="40" t="n">
        <v>0.00016</v>
      </c>
      <c r="J689" s="39" t="n">
        <v>0.07126</v>
      </c>
      <c r="K689" s="40" t="n">
        <v>0.00015</v>
      </c>
      <c r="L689" s="39" t="n">
        <v>-0.00261</v>
      </c>
      <c r="M689" s="40" t="n">
        <v>0</v>
      </c>
      <c r="N689" s="39" t="n">
        <v>0.08202</v>
      </c>
      <c r="O689" s="40" t="n">
        <v>0.00017</v>
      </c>
      <c r="P689" s="39" t="n">
        <v>0.02494</v>
      </c>
      <c r="Q689" s="40" t="n">
        <v>5E-005</v>
      </c>
      <c r="R689" s="39" t="n">
        <v>0.11315</v>
      </c>
      <c r="S689" s="40" t="n">
        <v>0.00021</v>
      </c>
      <c r="T689" s="39" t="n">
        <v>0.00466</v>
      </c>
      <c r="U689" s="40" t="n">
        <v>2E-005</v>
      </c>
      <c r="V689" s="39" t="n">
        <v>0.06304</v>
      </c>
      <c r="W689" s="40" t="n">
        <v>0.00014</v>
      </c>
      <c r="X689" s="39" t="n">
        <v>0.00076</v>
      </c>
      <c r="Y689" s="40" t="n">
        <v>0</v>
      </c>
    </row>
    <row r="690" customFormat="false" ht="15" hidden="false" customHeight="false" outlineLevel="0" collapsed="false">
      <c r="A690" s="38" t="n">
        <v>745</v>
      </c>
      <c r="B690" s="39" t="n">
        <v>-0.00015</v>
      </c>
      <c r="C690" s="40" t="n">
        <v>2E-005</v>
      </c>
      <c r="D690" s="39" t="n">
        <v>-0.01668</v>
      </c>
      <c r="E690" s="40" t="n">
        <v>-3E-005</v>
      </c>
      <c r="F690" s="39" t="n">
        <v>0.00375</v>
      </c>
      <c r="G690" s="40" t="n">
        <v>1E-005</v>
      </c>
      <c r="H690" s="39" t="n">
        <v>0.12599</v>
      </c>
      <c r="I690" s="40" t="n">
        <v>0.00017</v>
      </c>
      <c r="J690" s="39" t="n">
        <v>0.06951</v>
      </c>
      <c r="K690" s="40" t="n">
        <v>0.00014</v>
      </c>
      <c r="L690" s="39" t="n">
        <v>-0.00256</v>
      </c>
      <c r="M690" s="40" t="n">
        <v>0</v>
      </c>
      <c r="N690" s="39" t="n">
        <v>0.08006</v>
      </c>
      <c r="O690" s="40" t="n">
        <v>0.00017</v>
      </c>
      <c r="P690" s="39" t="n">
        <v>0.02435</v>
      </c>
      <c r="Q690" s="40" t="n">
        <v>5E-005</v>
      </c>
      <c r="R690" s="39" t="n">
        <v>0.11027</v>
      </c>
      <c r="S690" s="40" t="n">
        <v>0.00022</v>
      </c>
      <c r="T690" s="39" t="n">
        <v>0.00451</v>
      </c>
      <c r="U690" s="40" t="n">
        <v>2E-005</v>
      </c>
      <c r="V690" s="39" t="n">
        <v>0.0613</v>
      </c>
      <c r="W690" s="40" t="n">
        <v>0.00014</v>
      </c>
      <c r="X690" s="39" t="n">
        <v>0.00054</v>
      </c>
      <c r="Y690" s="40" t="n">
        <v>1E-005</v>
      </c>
    </row>
    <row r="691" customFormat="false" ht="15" hidden="false" customHeight="false" outlineLevel="0" collapsed="false">
      <c r="A691" s="38" t="n">
        <v>746</v>
      </c>
      <c r="B691" s="39" t="n">
        <v>-0.00041</v>
      </c>
      <c r="C691" s="40" t="n">
        <v>1E-005</v>
      </c>
      <c r="D691" s="39" t="n">
        <v>-0.01528</v>
      </c>
      <c r="E691" s="40" t="n">
        <v>-3E-005</v>
      </c>
      <c r="F691" s="39" t="n">
        <v>0.0044</v>
      </c>
      <c r="G691" s="40" t="n">
        <v>1E-005</v>
      </c>
      <c r="H691" s="39" t="n">
        <v>0.12407</v>
      </c>
      <c r="I691" s="40" t="n">
        <v>0.00017</v>
      </c>
      <c r="J691" s="39" t="n">
        <v>0.06772</v>
      </c>
      <c r="K691" s="40" t="n">
        <v>0.00014</v>
      </c>
      <c r="L691" s="39" t="n">
        <v>-0.00232</v>
      </c>
      <c r="M691" s="40" t="n">
        <v>0</v>
      </c>
      <c r="N691" s="39" t="n">
        <v>0.07806</v>
      </c>
      <c r="O691" s="40" t="n">
        <v>0.00018</v>
      </c>
      <c r="P691" s="39" t="n">
        <v>0.0239</v>
      </c>
      <c r="Q691" s="40" t="n">
        <v>4E-005</v>
      </c>
      <c r="R691" s="39" t="n">
        <v>0.10796</v>
      </c>
      <c r="S691" s="40" t="n">
        <v>0.00022</v>
      </c>
      <c r="T691" s="39" t="n">
        <v>0.00439</v>
      </c>
      <c r="U691" s="40" t="n">
        <v>2E-005</v>
      </c>
      <c r="V691" s="39" t="n">
        <v>0.05945</v>
      </c>
      <c r="W691" s="40" t="n">
        <v>0.00014</v>
      </c>
      <c r="X691" s="39" t="n">
        <v>0.00062</v>
      </c>
      <c r="Y691" s="40" t="n">
        <v>1E-005</v>
      </c>
    </row>
    <row r="692" customFormat="false" ht="15" hidden="false" customHeight="false" outlineLevel="0" collapsed="false">
      <c r="A692" s="38" t="n">
        <v>747</v>
      </c>
      <c r="B692" s="39" t="n">
        <v>-0.00027</v>
      </c>
      <c r="C692" s="40" t="n">
        <v>0</v>
      </c>
      <c r="D692" s="39" t="n">
        <v>-0.01602</v>
      </c>
      <c r="E692" s="40" t="n">
        <v>-1E-005</v>
      </c>
      <c r="F692" s="39" t="n">
        <v>0.00391</v>
      </c>
      <c r="G692" s="40" t="n">
        <v>0</v>
      </c>
      <c r="H692" s="39" t="n">
        <v>0.12186</v>
      </c>
      <c r="I692" s="40" t="n">
        <v>0.00018</v>
      </c>
      <c r="J692" s="39" t="n">
        <v>0.06609</v>
      </c>
      <c r="K692" s="40" t="n">
        <v>0.00014</v>
      </c>
      <c r="L692" s="39" t="n">
        <v>-0.00242</v>
      </c>
      <c r="M692" s="40" t="n">
        <v>0</v>
      </c>
      <c r="N692" s="39" t="n">
        <v>0.07531</v>
      </c>
      <c r="O692" s="40" t="n">
        <v>0.00018</v>
      </c>
      <c r="P692" s="39" t="n">
        <v>0.02341</v>
      </c>
      <c r="Q692" s="40" t="n">
        <v>4E-005</v>
      </c>
      <c r="R692" s="39" t="n">
        <v>0.10551</v>
      </c>
      <c r="S692" s="40" t="n">
        <v>0.00022</v>
      </c>
      <c r="T692" s="39" t="n">
        <v>0.0041</v>
      </c>
      <c r="U692" s="40" t="n">
        <v>1E-005</v>
      </c>
      <c r="V692" s="39" t="n">
        <v>0.05769</v>
      </c>
      <c r="W692" s="40" t="n">
        <v>0.00014</v>
      </c>
      <c r="X692" s="39" t="n">
        <v>0.00091</v>
      </c>
      <c r="Y692" s="40" t="n">
        <v>0</v>
      </c>
    </row>
    <row r="693" customFormat="false" ht="15" hidden="false" customHeight="false" outlineLevel="0" collapsed="false">
      <c r="A693" s="38" t="n">
        <v>748</v>
      </c>
      <c r="B693" s="39" t="n">
        <v>-0.00033</v>
      </c>
      <c r="C693" s="40" t="n">
        <v>-1E-005</v>
      </c>
      <c r="D693" s="39" t="n">
        <v>-0.0157</v>
      </c>
      <c r="E693" s="40" t="n">
        <v>3E-005</v>
      </c>
      <c r="F693" s="39" t="n">
        <v>0.00352</v>
      </c>
      <c r="G693" s="40" t="n">
        <v>1E-005</v>
      </c>
      <c r="H693" s="39" t="n">
        <v>0.11953</v>
      </c>
      <c r="I693" s="40" t="n">
        <v>0.00019</v>
      </c>
      <c r="J693" s="39" t="n">
        <v>0.0643</v>
      </c>
      <c r="K693" s="40" t="n">
        <v>0.00014</v>
      </c>
      <c r="L693" s="39" t="n">
        <v>-0.0026</v>
      </c>
      <c r="M693" s="40" t="n">
        <v>-1E-005</v>
      </c>
      <c r="N693" s="39" t="n">
        <v>0.0734</v>
      </c>
      <c r="O693" s="40" t="n">
        <v>0.00018</v>
      </c>
      <c r="P693" s="39" t="n">
        <v>0.0228</v>
      </c>
      <c r="Q693" s="40" t="n">
        <v>4E-005</v>
      </c>
      <c r="R693" s="39" t="n">
        <v>0.10267</v>
      </c>
      <c r="S693" s="40" t="n">
        <v>0.00022</v>
      </c>
      <c r="T693" s="39" t="n">
        <v>0.00384</v>
      </c>
      <c r="U693" s="40" t="n">
        <v>1E-005</v>
      </c>
      <c r="V693" s="39" t="n">
        <v>0.05613</v>
      </c>
      <c r="W693" s="40" t="n">
        <v>0.00014</v>
      </c>
      <c r="X693" s="39" t="n">
        <v>0.0007</v>
      </c>
      <c r="Y693" s="40" t="n">
        <v>0</v>
      </c>
    </row>
    <row r="694" customFormat="false" ht="15" hidden="false" customHeight="false" outlineLevel="0" collapsed="false">
      <c r="A694" s="38" t="n">
        <v>749</v>
      </c>
      <c r="B694" s="39" t="n">
        <v>-0.0006</v>
      </c>
      <c r="C694" s="40" t="n">
        <v>-1E-005</v>
      </c>
      <c r="D694" s="39" t="n">
        <v>-0.0164</v>
      </c>
      <c r="E694" s="40" t="n">
        <v>-3E-005</v>
      </c>
      <c r="F694" s="39" t="n">
        <v>0.00346</v>
      </c>
      <c r="G694" s="40" t="n">
        <v>0</v>
      </c>
      <c r="H694" s="39" t="n">
        <v>0.11718</v>
      </c>
      <c r="I694" s="40" t="n">
        <v>0.00019</v>
      </c>
      <c r="J694" s="39" t="n">
        <v>0.06272</v>
      </c>
      <c r="K694" s="40" t="n">
        <v>0.00014</v>
      </c>
      <c r="L694" s="39" t="n">
        <v>-0.00235</v>
      </c>
      <c r="M694" s="40" t="n">
        <v>0</v>
      </c>
      <c r="N694" s="39" t="n">
        <v>0.07103</v>
      </c>
      <c r="O694" s="40" t="n">
        <v>0.00018</v>
      </c>
      <c r="P694" s="39" t="n">
        <v>0.02216</v>
      </c>
      <c r="Q694" s="40" t="n">
        <v>4E-005</v>
      </c>
      <c r="R694" s="39" t="n">
        <v>0.09972</v>
      </c>
      <c r="S694" s="40" t="n">
        <v>0.00022</v>
      </c>
      <c r="T694" s="39" t="n">
        <v>0.00383</v>
      </c>
      <c r="U694" s="40" t="n">
        <v>1E-005</v>
      </c>
      <c r="V694" s="39" t="n">
        <v>0.05454</v>
      </c>
      <c r="W694" s="40" t="n">
        <v>0.00013</v>
      </c>
      <c r="X694" s="39" t="n">
        <v>0.00046</v>
      </c>
      <c r="Y694" s="40" t="n">
        <v>0</v>
      </c>
    </row>
    <row r="695" customFormat="false" ht="15" hidden="false" customHeight="false" outlineLevel="0" collapsed="false">
      <c r="A695" s="38" t="n">
        <v>750</v>
      </c>
      <c r="B695" s="39" t="n">
        <v>-0.00028</v>
      </c>
      <c r="C695" s="40" t="n">
        <v>-1E-005</v>
      </c>
      <c r="D695" s="39" t="n">
        <v>-0.01582</v>
      </c>
      <c r="E695" s="40" t="n">
        <v>-4E-005</v>
      </c>
      <c r="F695" s="39" t="n">
        <v>0.00373</v>
      </c>
      <c r="G695" s="40" t="n">
        <v>1E-005</v>
      </c>
      <c r="H695" s="39" t="n">
        <v>0.11488</v>
      </c>
      <c r="I695" s="40" t="n">
        <v>0.0002</v>
      </c>
      <c r="J695" s="39" t="n">
        <v>0.06096</v>
      </c>
      <c r="K695" s="40" t="n">
        <v>0.00014</v>
      </c>
      <c r="L695" s="39" t="n">
        <v>-0.00223</v>
      </c>
      <c r="M695" s="40" t="n">
        <v>0</v>
      </c>
      <c r="N695" s="39" t="n">
        <v>0.06911</v>
      </c>
      <c r="O695" s="40" t="n">
        <v>0.00017</v>
      </c>
      <c r="P695" s="39" t="n">
        <v>0.02188</v>
      </c>
      <c r="Q695" s="40" t="n">
        <v>5E-005</v>
      </c>
      <c r="R695" s="39" t="n">
        <v>0.097</v>
      </c>
      <c r="S695" s="40" t="n">
        <v>0.00022</v>
      </c>
      <c r="T695" s="39" t="n">
        <v>0.00368</v>
      </c>
      <c r="U695" s="40" t="n">
        <v>1E-005</v>
      </c>
      <c r="V695" s="39" t="n">
        <v>0.05299</v>
      </c>
      <c r="W695" s="40" t="n">
        <v>0.00013</v>
      </c>
      <c r="X695" s="39" t="n">
        <v>0.00046</v>
      </c>
      <c r="Y695" s="40" t="n">
        <v>0</v>
      </c>
    </row>
    <row r="696" customFormat="false" ht="15" hidden="false" customHeight="false" outlineLevel="0" collapsed="false">
      <c r="A696" s="38" t="n">
        <v>751</v>
      </c>
      <c r="B696" s="39" t="n">
        <v>0.00035</v>
      </c>
      <c r="C696" s="40" t="n">
        <v>0</v>
      </c>
      <c r="D696" s="39" t="n">
        <v>-0.01627</v>
      </c>
      <c r="E696" s="40" t="n">
        <v>-4E-005</v>
      </c>
      <c r="F696" s="39" t="n">
        <v>0.0037</v>
      </c>
      <c r="G696" s="40" t="n">
        <v>1E-005</v>
      </c>
      <c r="H696" s="39" t="n">
        <v>0.11264</v>
      </c>
      <c r="I696" s="40" t="n">
        <v>0.0002</v>
      </c>
      <c r="J696" s="39" t="n">
        <v>0.05937</v>
      </c>
      <c r="K696" s="40" t="n">
        <v>0.00014</v>
      </c>
      <c r="L696" s="39" t="n">
        <v>-0.00222</v>
      </c>
      <c r="M696" s="40" t="n">
        <v>0</v>
      </c>
      <c r="N696" s="39" t="n">
        <v>0.06701</v>
      </c>
      <c r="O696" s="40" t="n">
        <v>0.00016</v>
      </c>
      <c r="P696" s="39" t="n">
        <v>0.02144</v>
      </c>
      <c r="Q696" s="40" t="n">
        <v>5E-005</v>
      </c>
      <c r="R696" s="39" t="n">
        <v>0.09478</v>
      </c>
      <c r="S696" s="40" t="n">
        <v>0.00022</v>
      </c>
      <c r="T696" s="39" t="n">
        <v>0.00356</v>
      </c>
      <c r="U696" s="40" t="n">
        <v>1E-005</v>
      </c>
      <c r="V696" s="39" t="n">
        <v>0.0516</v>
      </c>
      <c r="W696" s="40" t="n">
        <v>0.00013</v>
      </c>
      <c r="X696" s="39" t="n">
        <v>0.00073</v>
      </c>
      <c r="Y696" s="40" t="n">
        <v>0</v>
      </c>
    </row>
    <row r="697" customFormat="false" ht="15" hidden="false" customHeight="false" outlineLevel="0" collapsed="false">
      <c r="A697" s="38" t="n">
        <v>752</v>
      </c>
      <c r="B697" s="39" t="n">
        <v>0.00011</v>
      </c>
      <c r="C697" s="40" t="n">
        <v>1E-005</v>
      </c>
      <c r="D697" s="39" t="n">
        <v>-0.01569</v>
      </c>
      <c r="E697" s="40" t="n">
        <v>-4E-005</v>
      </c>
      <c r="F697" s="39" t="n">
        <v>0.00348</v>
      </c>
      <c r="G697" s="40" t="n">
        <v>0</v>
      </c>
      <c r="H697" s="39" t="n">
        <v>0.1102</v>
      </c>
      <c r="I697" s="40" t="n">
        <v>0.0002</v>
      </c>
      <c r="J697" s="39" t="n">
        <v>0.05755</v>
      </c>
      <c r="K697" s="40" t="n">
        <v>0.00014</v>
      </c>
      <c r="L697" s="39" t="n">
        <v>-0.00215</v>
      </c>
      <c r="M697" s="40" t="n">
        <v>-1E-005</v>
      </c>
      <c r="N697" s="39" t="n">
        <v>0.06518</v>
      </c>
      <c r="O697" s="40" t="n">
        <v>0.00017</v>
      </c>
      <c r="P697" s="39" t="n">
        <v>0.02066</v>
      </c>
      <c r="Q697" s="40" t="n">
        <v>4E-005</v>
      </c>
      <c r="R697" s="39" t="n">
        <v>0.09216</v>
      </c>
      <c r="S697" s="40" t="n">
        <v>0.00021</v>
      </c>
      <c r="T697" s="39" t="n">
        <v>0.00353</v>
      </c>
      <c r="U697" s="40" t="n">
        <v>1E-005</v>
      </c>
      <c r="V697" s="39" t="n">
        <v>0.05003</v>
      </c>
      <c r="W697" s="40" t="n">
        <v>0.00013</v>
      </c>
      <c r="X697" s="39" t="n">
        <v>0.0008</v>
      </c>
      <c r="Y697" s="40" t="n">
        <v>0</v>
      </c>
    </row>
    <row r="698" customFormat="false" ht="15" hidden="false" customHeight="false" outlineLevel="0" collapsed="false">
      <c r="A698" s="38" t="n">
        <v>753</v>
      </c>
      <c r="B698" s="39" t="n">
        <v>-1E-005</v>
      </c>
      <c r="C698" s="40" t="n">
        <v>1E-005</v>
      </c>
      <c r="D698" s="39" t="n">
        <v>-0.01198</v>
      </c>
      <c r="E698" s="40" t="n">
        <v>-3E-005</v>
      </c>
      <c r="F698" s="39" t="n">
        <v>0.00362</v>
      </c>
      <c r="G698" s="40" t="n">
        <v>1E-005</v>
      </c>
      <c r="H698" s="39" t="n">
        <v>0.10776</v>
      </c>
      <c r="I698" s="40" t="n">
        <v>0.0002</v>
      </c>
      <c r="J698" s="39" t="n">
        <v>0.0558</v>
      </c>
      <c r="K698" s="40" t="n">
        <v>0.00014</v>
      </c>
      <c r="L698" s="39" t="n">
        <v>-0.00217</v>
      </c>
      <c r="M698" s="40" t="n">
        <v>-1E-005</v>
      </c>
      <c r="N698" s="39" t="n">
        <v>0.06315</v>
      </c>
      <c r="O698" s="40" t="n">
        <v>0.00017</v>
      </c>
      <c r="P698" s="39" t="n">
        <v>0.01999</v>
      </c>
      <c r="Q698" s="40" t="n">
        <v>4E-005</v>
      </c>
      <c r="R698" s="39" t="n">
        <v>0.08952</v>
      </c>
      <c r="S698" s="40" t="n">
        <v>0.00021</v>
      </c>
      <c r="T698" s="39" t="n">
        <v>0.00326</v>
      </c>
      <c r="U698" s="40" t="n">
        <v>1E-005</v>
      </c>
      <c r="V698" s="39" t="n">
        <v>0.04843</v>
      </c>
      <c r="W698" s="40" t="n">
        <v>0.00013</v>
      </c>
      <c r="X698" s="39" t="n">
        <v>0.00072</v>
      </c>
      <c r="Y698" s="40" t="n">
        <v>0</v>
      </c>
    </row>
    <row r="699" customFormat="false" ht="15" hidden="false" customHeight="false" outlineLevel="0" collapsed="false">
      <c r="A699" s="38" t="n">
        <v>754</v>
      </c>
      <c r="B699" s="39" t="n">
        <v>-0.00047</v>
      </c>
      <c r="C699" s="40" t="n">
        <v>1E-005</v>
      </c>
      <c r="D699" s="39" t="n">
        <v>-0.01278</v>
      </c>
      <c r="E699" s="40" t="n">
        <v>0</v>
      </c>
      <c r="F699" s="39" t="n">
        <v>0.00334</v>
      </c>
      <c r="G699" s="40" t="n">
        <v>1E-005</v>
      </c>
      <c r="H699" s="39" t="n">
        <v>0.10505</v>
      </c>
      <c r="I699" s="40" t="n">
        <v>0.00021</v>
      </c>
      <c r="J699" s="39" t="n">
        <v>0.05396</v>
      </c>
      <c r="K699" s="40" t="n">
        <v>0.00014</v>
      </c>
      <c r="L699" s="39" t="n">
        <v>-0.00215</v>
      </c>
      <c r="M699" s="40" t="n">
        <v>-1E-005</v>
      </c>
      <c r="N699" s="39" t="n">
        <v>0.06107</v>
      </c>
      <c r="O699" s="40" t="n">
        <v>0.00017</v>
      </c>
      <c r="P699" s="39" t="n">
        <v>0.0195</v>
      </c>
      <c r="Q699" s="40" t="n">
        <v>5E-005</v>
      </c>
      <c r="R699" s="39" t="n">
        <v>0.08711</v>
      </c>
      <c r="S699" s="40" t="n">
        <v>0.00022</v>
      </c>
      <c r="T699" s="39" t="n">
        <v>0.00319</v>
      </c>
      <c r="U699" s="40" t="n">
        <v>1E-005</v>
      </c>
      <c r="V699" s="39" t="n">
        <v>0.04676</v>
      </c>
      <c r="W699" s="40" t="n">
        <v>0.00013</v>
      </c>
      <c r="X699" s="39" t="n">
        <v>0.00065</v>
      </c>
      <c r="Y699" s="40" t="n">
        <v>0</v>
      </c>
    </row>
    <row r="700" customFormat="false" ht="15" hidden="false" customHeight="false" outlineLevel="0" collapsed="false">
      <c r="A700" s="38" t="n">
        <v>755</v>
      </c>
      <c r="B700" s="39" t="n">
        <v>-0.00084</v>
      </c>
      <c r="C700" s="40" t="n">
        <v>1E-005</v>
      </c>
      <c r="D700" s="39" t="n">
        <v>-0.01472</v>
      </c>
      <c r="E700" s="40" t="n">
        <v>2E-005</v>
      </c>
      <c r="F700" s="39" t="n">
        <v>0.00286</v>
      </c>
      <c r="G700" s="40" t="n">
        <v>1E-005</v>
      </c>
      <c r="H700" s="39" t="n">
        <v>0.10247</v>
      </c>
      <c r="I700" s="40" t="n">
        <v>0.00021</v>
      </c>
      <c r="J700" s="39" t="n">
        <v>0.05238</v>
      </c>
      <c r="K700" s="40" t="n">
        <v>0.00014</v>
      </c>
      <c r="L700" s="39" t="n">
        <v>-0.00196</v>
      </c>
      <c r="M700" s="40" t="n">
        <v>-1E-005</v>
      </c>
      <c r="N700" s="39" t="n">
        <v>0.05896</v>
      </c>
      <c r="O700" s="40" t="n">
        <v>0.00018</v>
      </c>
      <c r="P700" s="39" t="n">
        <v>0.0191</v>
      </c>
      <c r="Q700" s="40" t="n">
        <v>5E-005</v>
      </c>
      <c r="R700" s="39" t="n">
        <v>0.08428</v>
      </c>
      <c r="S700" s="40" t="n">
        <v>0.00022</v>
      </c>
      <c r="T700" s="39" t="n">
        <v>0.00284</v>
      </c>
      <c r="U700" s="40" t="n">
        <v>1E-005</v>
      </c>
      <c r="V700" s="39" t="n">
        <v>0.04523</v>
      </c>
      <c r="W700" s="40" t="n">
        <v>0.00013</v>
      </c>
      <c r="X700" s="39" t="n">
        <v>0.00054</v>
      </c>
      <c r="Y700" s="40" t="n">
        <v>1E-005</v>
      </c>
    </row>
    <row r="701" customFormat="false" ht="15" hidden="false" customHeight="false" outlineLevel="0" collapsed="false">
      <c r="A701" s="38" t="n">
        <v>756</v>
      </c>
      <c r="B701" s="39" t="n">
        <v>-0.00055</v>
      </c>
      <c r="C701" s="40" t="n">
        <v>0</v>
      </c>
      <c r="D701" s="39" t="n">
        <v>-0.01489</v>
      </c>
      <c r="E701" s="40" t="n">
        <v>6E-005</v>
      </c>
      <c r="F701" s="39" t="n">
        <v>0.00299</v>
      </c>
      <c r="G701" s="40" t="n">
        <v>0</v>
      </c>
      <c r="H701" s="39" t="n">
        <v>0.10002</v>
      </c>
      <c r="I701" s="40" t="n">
        <v>0.00022</v>
      </c>
      <c r="J701" s="39" t="n">
        <v>0.05082</v>
      </c>
      <c r="K701" s="40" t="n">
        <v>0.00014</v>
      </c>
      <c r="L701" s="39" t="n">
        <v>-0.00184</v>
      </c>
      <c r="M701" s="40" t="n">
        <v>0</v>
      </c>
      <c r="N701" s="39" t="n">
        <v>0.05654</v>
      </c>
      <c r="O701" s="40" t="n">
        <v>0.00018</v>
      </c>
      <c r="P701" s="39" t="n">
        <v>0.0186</v>
      </c>
      <c r="Q701" s="40" t="n">
        <v>5E-005</v>
      </c>
      <c r="R701" s="39" t="n">
        <v>0.08154</v>
      </c>
      <c r="S701" s="40" t="n">
        <v>0.00022</v>
      </c>
      <c r="T701" s="39" t="n">
        <v>0.00281</v>
      </c>
      <c r="U701" s="40" t="n">
        <v>1E-005</v>
      </c>
      <c r="V701" s="39" t="n">
        <v>0.04361</v>
      </c>
      <c r="W701" s="40" t="n">
        <v>0.00013</v>
      </c>
      <c r="X701" s="39" t="n">
        <v>0.00036</v>
      </c>
      <c r="Y701" s="40" t="n">
        <v>1E-005</v>
      </c>
    </row>
    <row r="702" customFormat="false" ht="15" hidden="false" customHeight="false" outlineLevel="0" collapsed="false">
      <c r="A702" s="38" t="n">
        <v>757</v>
      </c>
      <c r="B702" s="39" t="n">
        <v>-0.00032</v>
      </c>
      <c r="C702" s="40" t="n">
        <v>-1E-005</v>
      </c>
      <c r="D702" s="39" t="n">
        <v>-0.01498</v>
      </c>
      <c r="E702" s="40" t="n">
        <v>6E-005</v>
      </c>
      <c r="F702" s="39" t="n">
        <v>0.00298</v>
      </c>
      <c r="G702" s="40" t="n">
        <v>1E-005</v>
      </c>
      <c r="H702" s="39" t="n">
        <v>0.09766</v>
      </c>
      <c r="I702" s="40" t="n">
        <v>0.00023</v>
      </c>
      <c r="J702" s="39" t="n">
        <v>0.04913</v>
      </c>
      <c r="K702" s="40" t="n">
        <v>0.00014</v>
      </c>
      <c r="L702" s="39" t="n">
        <v>-0.00161</v>
      </c>
      <c r="M702" s="40" t="n">
        <v>0</v>
      </c>
      <c r="N702" s="39" t="n">
        <v>0.05462</v>
      </c>
      <c r="O702" s="40" t="n">
        <v>0.00018</v>
      </c>
      <c r="P702" s="39" t="n">
        <v>0.01785</v>
      </c>
      <c r="Q702" s="40" t="n">
        <v>5E-005</v>
      </c>
      <c r="R702" s="39" t="n">
        <v>0.07898</v>
      </c>
      <c r="S702" s="40" t="n">
        <v>0.00022</v>
      </c>
      <c r="T702" s="39" t="n">
        <v>0.00266</v>
      </c>
      <c r="U702" s="40" t="n">
        <v>1E-005</v>
      </c>
      <c r="V702" s="39" t="n">
        <v>0.04203</v>
      </c>
      <c r="W702" s="40" t="n">
        <v>0.00013</v>
      </c>
      <c r="X702" s="39" t="n">
        <v>0.00039</v>
      </c>
      <c r="Y702" s="40" t="n">
        <v>0</v>
      </c>
    </row>
    <row r="703" customFormat="false" ht="15" hidden="false" customHeight="false" outlineLevel="0" collapsed="false">
      <c r="A703" s="38" t="n">
        <v>758</v>
      </c>
      <c r="B703" s="39" t="n">
        <v>-8E-005</v>
      </c>
      <c r="C703" s="40" t="n">
        <v>-1E-005</v>
      </c>
      <c r="D703" s="39" t="n">
        <v>-0.01603</v>
      </c>
      <c r="E703" s="40" t="n">
        <v>-3E-005</v>
      </c>
      <c r="F703" s="39" t="n">
        <v>0.00318</v>
      </c>
      <c r="G703" s="40" t="n">
        <v>0</v>
      </c>
      <c r="H703" s="39" t="n">
        <v>0.09491</v>
      </c>
      <c r="I703" s="40" t="n">
        <v>0.00023</v>
      </c>
      <c r="J703" s="39" t="n">
        <v>0.04733</v>
      </c>
      <c r="K703" s="40" t="n">
        <v>0.00014</v>
      </c>
      <c r="L703" s="39" t="n">
        <v>-0.0018</v>
      </c>
      <c r="M703" s="40" t="n">
        <v>0</v>
      </c>
      <c r="N703" s="39" t="n">
        <v>0.0525</v>
      </c>
      <c r="O703" s="40" t="n">
        <v>0.00017</v>
      </c>
      <c r="P703" s="39" t="n">
        <v>0.01707</v>
      </c>
      <c r="Q703" s="40" t="n">
        <v>5E-005</v>
      </c>
      <c r="R703" s="39" t="n">
        <v>0.07633</v>
      </c>
      <c r="S703" s="40" t="n">
        <v>0.00023</v>
      </c>
      <c r="T703" s="39" t="n">
        <v>0.00248</v>
      </c>
      <c r="U703" s="40" t="n">
        <v>1E-005</v>
      </c>
      <c r="V703" s="39" t="n">
        <v>0.04063</v>
      </c>
      <c r="W703" s="40" t="n">
        <v>0.00013</v>
      </c>
      <c r="X703" s="39" t="n">
        <v>0.00038</v>
      </c>
      <c r="Y703" s="40" t="n">
        <v>0</v>
      </c>
    </row>
    <row r="704" customFormat="false" ht="15" hidden="false" customHeight="false" outlineLevel="0" collapsed="false">
      <c r="A704" s="38" t="n">
        <v>759</v>
      </c>
      <c r="B704" s="39" t="n">
        <v>-0.00033</v>
      </c>
      <c r="C704" s="40" t="n">
        <v>-1E-005</v>
      </c>
      <c r="D704" s="39" t="n">
        <v>-0.01536</v>
      </c>
      <c r="E704" s="40" t="n">
        <v>-6E-005</v>
      </c>
      <c r="F704" s="39" t="n">
        <v>0.00328</v>
      </c>
      <c r="G704" s="40" t="n">
        <v>0</v>
      </c>
      <c r="H704" s="39" t="n">
        <v>0.0916</v>
      </c>
      <c r="I704" s="40" t="n">
        <v>0.00024</v>
      </c>
      <c r="J704" s="39" t="n">
        <v>0.04564</v>
      </c>
      <c r="K704" s="40" t="n">
        <v>0.00015</v>
      </c>
      <c r="L704" s="39" t="n">
        <v>-0.00189</v>
      </c>
      <c r="M704" s="40" t="n">
        <v>0</v>
      </c>
      <c r="N704" s="39" t="n">
        <v>0.05024</v>
      </c>
      <c r="O704" s="40" t="n">
        <v>0.00017</v>
      </c>
      <c r="P704" s="39" t="n">
        <v>0.01629</v>
      </c>
      <c r="Q704" s="40" t="n">
        <v>5E-005</v>
      </c>
      <c r="R704" s="39" t="n">
        <v>0.07371</v>
      </c>
      <c r="S704" s="40" t="n">
        <v>0.00022</v>
      </c>
      <c r="T704" s="39" t="n">
        <v>0.00248</v>
      </c>
      <c r="U704" s="40" t="n">
        <v>1E-005</v>
      </c>
      <c r="V704" s="39" t="n">
        <v>0.03901</v>
      </c>
      <c r="W704" s="40" t="n">
        <v>0.00013</v>
      </c>
      <c r="X704" s="39" t="n">
        <v>0.00035</v>
      </c>
      <c r="Y704" s="40" t="n">
        <v>0</v>
      </c>
    </row>
    <row r="705" customFormat="false" ht="15" hidden="false" customHeight="false" outlineLevel="0" collapsed="false">
      <c r="A705" s="38" t="n">
        <v>760</v>
      </c>
      <c r="B705" s="39" t="n">
        <v>0.00025</v>
      </c>
      <c r="C705" s="40" t="n">
        <v>0</v>
      </c>
      <c r="D705" s="39" t="n">
        <v>-0.01494</v>
      </c>
      <c r="E705" s="40" t="n">
        <v>-7E-005</v>
      </c>
      <c r="F705" s="39" t="n">
        <v>0.0031</v>
      </c>
      <c r="G705" s="40" t="n">
        <v>1E-005</v>
      </c>
      <c r="H705" s="39" t="n">
        <v>0.08849</v>
      </c>
      <c r="I705" s="40" t="n">
        <v>0.00025</v>
      </c>
      <c r="J705" s="39" t="n">
        <v>0.04383</v>
      </c>
      <c r="K705" s="40" t="n">
        <v>0.00015</v>
      </c>
      <c r="L705" s="39" t="n">
        <v>-0.0018</v>
      </c>
      <c r="M705" s="40" t="n">
        <v>0</v>
      </c>
      <c r="N705" s="39" t="n">
        <v>0.04862</v>
      </c>
      <c r="O705" s="40" t="n">
        <v>0.00017</v>
      </c>
      <c r="P705" s="39" t="n">
        <v>0.01579</v>
      </c>
      <c r="Q705" s="40" t="n">
        <v>6E-005</v>
      </c>
      <c r="R705" s="39" t="n">
        <v>0.07083</v>
      </c>
      <c r="S705" s="40" t="n">
        <v>0.00022</v>
      </c>
      <c r="T705" s="39" t="n">
        <v>0.00241</v>
      </c>
      <c r="U705" s="40" t="n">
        <v>1E-005</v>
      </c>
      <c r="V705" s="39" t="n">
        <v>0.03732</v>
      </c>
      <c r="W705" s="40" t="n">
        <v>0.00013</v>
      </c>
      <c r="X705" s="39" t="n">
        <v>0.00042</v>
      </c>
      <c r="Y705" s="40" t="n">
        <v>0</v>
      </c>
    </row>
    <row r="706" customFormat="false" ht="15" hidden="false" customHeight="false" outlineLevel="0" collapsed="false">
      <c r="A706" s="38" t="n">
        <v>761</v>
      </c>
      <c r="B706" s="39" t="n">
        <v>0.00014</v>
      </c>
      <c r="C706" s="40" t="n">
        <v>0</v>
      </c>
      <c r="D706" s="39" t="n">
        <v>-0.01339</v>
      </c>
      <c r="E706" s="40" t="n">
        <v>-0.00012</v>
      </c>
      <c r="F706" s="39" t="n">
        <v>0.00258</v>
      </c>
      <c r="G706" s="40" t="n">
        <v>2E-005</v>
      </c>
      <c r="H706" s="39" t="n">
        <v>0.08562</v>
      </c>
      <c r="I706" s="40" t="n">
        <v>0.00026</v>
      </c>
      <c r="J706" s="39" t="n">
        <v>0.04214</v>
      </c>
      <c r="K706" s="40" t="n">
        <v>0.00015</v>
      </c>
      <c r="L706" s="39" t="n">
        <v>-0.00174</v>
      </c>
      <c r="M706" s="40" t="n">
        <v>0</v>
      </c>
      <c r="N706" s="39" t="n">
        <v>0.04629</v>
      </c>
      <c r="O706" s="40" t="n">
        <v>0.00018</v>
      </c>
      <c r="P706" s="39" t="n">
        <v>0.01529</v>
      </c>
      <c r="Q706" s="40" t="n">
        <v>5E-005</v>
      </c>
      <c r="R706" s="39" t="n">
        <v>0.06824</v>
      </c>
      <c r="S706" s="40" t="n">
        <v>0.00023</v>
      </c>
      <c r="T706" s="39" t="n">
        <v>0.00217</v>
      </c>
      <c r="U706" s="40" t="n">
        <v>1E-005</v>
      </c>
      <c r="V706" s="39" t="n">
        <v>0.03568</v>
      </c>
      <c r="W706" s="40" t="n">
        <v>0.00013</v>
      </c>
      <c r="X706" s="39" t="n">
        <v>0.0005</v>
      </c>
      <c r="Y706" s="40" t="n">
        <v>0</v>
      </c>
    </row>
    <row r="707" customFormat="false" ht="15" hidden="false" customHeight="false" outlineLevel="0" collapsed="false">
      <c r="A707" s="38" t="n">
        <v>762</v>
      </c>
      <c r="B707" s="39" t="n">
        <v>-0.00034</v>
      </c>
      <c r="C707" s="40" t="n">
        <v>1E-005</v>
      </c>
      <c r="D707" s="39" t="n">
        <v>-0.00934</v>
      </c>
      <c r="E707" s="40" t="n">
        <v>-9E-005</v>
      </c>
      <c r="F707" s="39" t="n">
        <v>0.00252</v>
      </c>
      <c r="G707" s="40" t="n">
        <v>2E-005</v>
      </c>
      <c r="H707" s="39" t="n">
        <v>0.08268</v>
      </c>
      <c r="I707" s="40" t="n">
        <v>0.00026</v>
      </c>
      <c r="J707" s="39" t="n">
        <v>0.0403</v>
      </c>
      <c r="K707" s="40" t="n">
        <v>0.00015</v>
      </c>
      <c r="L707" s="39" t="n">
        <v>-0.00174</v>
      </c>
      <c r="M707" s="40" t="n">
        <v>-1E-005</v>
      </c>
      <c r="N707" s="39" t="n">
        <v>0.044</v>
      </c>
      <c r="O707" s="40" t="n">
        <v>0.00018</v>
      </c>
      <c r="P707" s="39" t="n">
        <v>0.01464</v>
      </c>
      <c r="Q707" s="40" t="n">
        <v>5E-005</v>
      </c>
      <c r="R707" s="39" t="n">
        <v>0.06541</v>
      </c>
      <c r="S707" s="40" t="n">
        <v>0.00023</v>
      </c>
      <c r="T707" s="39" t="n">
        <v>0.00197</v>
      </c>
      <c r="U707" s="40" t="n">
        <v>1E-005</v>
      </c>
      <c r="V707" s="39" t="n">
        <v>0.03426</v>
      </c>
      <c r="W707" s="40" t="n">
        <v>0.00013</v>
      </c>
      <c r="X707" s="39" t="n">
        <v>0.0004</v>
      </c>
      <c r="Y707" s="40" t="n">
        <v>0</v>
      </c>
    </row>
    <row r="708" customFormat="false" ht="15" hidden="false" customHeight="false" outlineLevel="0" collapsed="false">
      <c r="A708" s="38" t="n">
        <v>763</v>
      </c>
      <c r="B708" s="39" t="n">
        <v>-0.00049</v>
      </c>
      <c r="C708" s="40" t="n">
        <v>0</v>
      </c>
      <c r="D708" s="39" t="n">
        <v>-0.01144</v>
      </c>
      <c r="E708" s="40" t="n">
        <v>-5E-005</v>
      </c>
      <c r="F708" s="39" t="n">
        <v>0.00259</v>
      </c>
      <c r="G708" s="40" t="n">
        <v>2E-005</v>
      </c>
      <c r="H708" s="39" t="n">
        <v>0.0795</v>
      </c>
      <c r="I708" s="40" t="n">
        <v>0.00026</v>
      </c>
      <c r="J708" s="39" t="n">
        <v>0.03864</v>
      </c>
      <c r="K708" s="40" t="n">
        <v>0.00014</v>
      </c>
      <c r="L708" s="39" t="n">
        <v>-0.00157</v>
      </c>
      <c r="M708" s="40" t="n">
        <v>-1E-005</v>
      </c>
      <c r="N708" s="39" t="n">
        <v>0.04188</v>
      </c>
      <c r="O708" s="40" t="n">
        <v>0.00018</v>
      </c>
      <c r="P708" s="39" t="n">
        <v>0.01391</v>
      </c>
      <c r="Q708" s="40" t="n">
        <v>5E-005</v>
      </c>
      <c r="R708" s="39" t="n">
        <v>0.06283</v>
      </c>
      <c r="S708" s="40" t="n">
        <v>0.00023</v>
      </c>
      <c r="T708" s="39" t="n">
        <v>0.00187</v>
      </c>
      <c r="U708" s="40" t="n">
        <v>1E-005</v>
      </c>
      <c r="V708" s="39" t="n">
        <v>0.03284</v>
      </c>
      <c r="W708" s="40" t="n">
        <v>0.00013</v>
      </c>
      <c r="X708" s="39" t="n">
        <v>0.00018</v>
      </c>
      <c r="Y708" s="40" t="n">
        <v>0</v>
      </c>
    </row>
    <row r="709" customFormat="false" ht="15" hidden="false" customHeight="false" outlineLevel="0" collapsed="false">
      <c r="A709" s="38" t="n">
        <v>764</v>
      </c>
      <c r="B709" s="39" t="n">
        <v>-0.00016</v>
      </c>
      <c r="C709" s="40" t="n">
        <v>1E-005</v>
      </c>
      <c r="D709" s="39" t="n">
        <v>-0.01077</v>
      </c>
      <c r="E709" s="40" t="n">
        <v>-7E-005</v>
      </c>
      <c r="F709" s="39" t="n">
        <v>0.00229</v>
      </c>
      <c r="G709" s="40" t="n">
        <v>1E-005</v>
      </c>
      <c r="H709" s="39" t="n">
        <v>0.07611</v>
      </c>
      <c r="I709" s="40" t="n">
        <v>0.00026</v>
      </c>
      <c r="J709" s="39" t="n">
        <v>0.03676</v>
      </c>
      <c r="K709" s="40" t="n">
        <v>0.00014</v>
      </c>
      <c r="L709" s="39" t="n">
        <v>-0.00151</v>
      </c>
      <c r="M709" s="40" t="n">
        <v>-1E-005</v>
      </c>
      <c r="N709" s="39" t="n">
        <v>0.03963</v>
      </c>
      <c r="O709" s="40" t="n">
        <v>0.00019</v>
      </c>
      <c r="P709" s="39" t="n">
        <v>0.01309</v>
      </c>
      <c r="Q709" s="40" t="n">
        <v>5E-005</v>
      </c>
      <c r="R709" s="39" t="n">
        <v>0.0602</v>
      </c>
      <c r="S709" s="40" t="n">
        <v>0.00022</v>
      </c>
      <c r="T709" s="39" t="n">
        <v>0.0016</v>
      </c>
      <c r="U709" s="40" t="n">
        <v>1E-005</v>
      </c>
      <c r="V709" s="39" t="n">
        <v>0.03132</v>
      </c>
      <c r="W709" s="40" t="n">
        <v>0.00013</v>
      </c>
      <c r="X709" s="39" t="n">
        <v>0.00048</v>
      </c>
      <c r="Y709" s="40" t="n">
        <v>0</v>
      </c>
    </row>
    <row r="710" customFormat="false" ht="15" hidden="false" customHeight="false" outlineLevel="0" collapsed="false">
      <c r="A710" s="38" t="n">
        <v>765</v>
      </c>
      <c r="B710" s="39" t="n">
        <v>-0.00042</v>
      </c>
      <c r="C710" s="40" t="n">
        <v>0</v>
      </c>
      <c r="D710" s="39" t="n">
        <v>-0.00722</v>
      </c>
      <c r="E710" s="40" t="n">
        <v>-5E-005</v>
      </c>
      <c r="F710" s="39" t="n">
        <v>0.00202</v>
      </c>
      <c r="G710" s="40" t="n">
        <v>1E-005</v>
      </c>
      <c r="H710" s="39" t="n">
        <v>0.07296</v>
      </c>
      <c r="I710" s="40" t="n">
        <v>0.00028</v>
      </c>
      <c r="J710" s="39" t="n">
        <v>0.03521</v>
      </c>
      <c r="K710" s="40" t="n">
        <v>0.00014</v>
      </c>
      <c r="L710" s="39" t="n">
        <v>-0.00153</v>
      </c>
      <c r="M710" s="40" t="n">
        <v>-1E-005</v>
      </c>
      <c r="N710" s="39" t="n">
        <v>0.03738</v>
      </c>
      <c r="O710" s="40" t="n">
        <v>0.00019</v>
      </c>
      <c r="P710" s="39" t="n">
        <v>0.01253</v>
      </c>
      <c r="Q710" s="40" t="n">
        <v>5E-005</v>
      </c>
      <c r="R710" s="39" t="n">
        <v>0.0572</v>
      </c>
      <c r="S710" s="40" t="n">
        <v>0.00022</v>
      </c>
      <c r="T710" s="39" t="n">
        <v>0.00167</v>
      </c>
      <c r="U710" s="40" t="n">
        <v>1E-005</v>
      </c>
      <c r="V710" s="39" t="n">
        <v>0.02947</v>
      </c>
      <c r="W710" s="40" t="n">
        <v>0.00013</v>
      </c>
      <c r="X710" s="39" t="n">
        <v>0.00056</v>
      </c>
      <c r="Y710" s="40" t="n">
        <v>0</v>
      </c>
    </row>
    <row r="711" customFormat="false" ht="15" hidden="false" customHeight="false" outlineLevel="0" collapsed="false">
      <c r="A711" s="38" t="n">
        <v>766</v>
      </c>
      <c r="B711" s="39" t="n">
        <v>-0.00042</v>
      </c>
      <c r="C711" s="40" t="n">
        <v>0</v>
      </c>
      <c r="D711" s="39" t="n">
        <v>-0.01049</v>
      </c>
      <c r="E711" s="40" t="n">
        <v>0</v>
      </c>
      <c r="F711" s="39" t="n">
        <v>0.00213</v>
      </c>
      <c r="G711" s="40" t="n">
        <v>1E-005</v>
      </c>
      <c r="H711" s="39" t="n">
        <v>0.0698</v>
      </c>
      <c r="I711" s="40" t="n">
        <v>0.00028</v>
      </c>
      <c r="J711" s="39" t="n">
        <v>0.03338</v>
      </c>
      <c r="K711" s="40" t="n">
        <v>0.00014</v>
      </c>
      <c r="L711" s="39" t="n">
        <v>-0.00121</v>
      </c>
      <c r="M711" s="40" t="n">
        <v>-2E-005</v>
      </c>
      <c r="N711" s="39" t="n">
        <v>0.03535</v>
      </c>
      <c r="O711" s="40" t="n">
        <v>0.00018</v>
      </c>
      <c r="P711" s="39" t="n">
        <v>0.01201</v>
      </c>
      <c r="Q711" s="40" t="n">
        <v>5E-005</v>
      </c>
      <c r="R711" s="39" t="n">
        <v>0.05457</v>
      </c>
      <c r="S711" s="40" t="n">
        <v>0.00022</v>
      </c>
      <c r="T711" s="39" t="n">
        <v>0.00154</v>
      </c>
      <c r="U711" s="40" t="n">
        <v>1E-005</v>
      </c>
      <c r="V711" s="39" t="n">
        <v>0.02809</v>
      </c>
      <c r="W711" s="40" t="n">
        <v>0.00013</v>
      </c>
      <c r="X711" s="39" t="n">
        <v>0.00042</v>
      </c>
      <c r="Y711" s="40" t="n">
        <v>0</v>
      </c>
    </row>
    <row r="712" customFormat="false" ht="15" hidden="false" customHeight="false" outlineLevel="0" collapsed="false">
      <c r="A712" s="38" t="n">
        <v>767</v>
      </c>
      <c r="B712" s="39" t="n">
        <v>-0.00034</v>
      </c>
      <c r="C712" s="40" t="n">
        <v>0</v>
      </c>
      <c r="D712" s="39" t="n">
        <v>-0.01083</v>
      </c>
      <c r="E712" s="40" t="n">
        <v>-3E-005</v>
      </c>
      <c r="F712" s="39" t="n">
        <v>0.00192</v>
      </c>
      <c r="G712" s="40" t="n">
        <v>1E-005</v>
      </c>
      <c r="H712" s="39" t="n">
        <v>0.06635</v>
      </c>
      <c r="I712" s="40" t="n">
        <v>0.00029</v>
      </c>
      <c r="J712" s="39" t="n">
        <v>0.03171</v>
      </c>
      <c r="K712" s="40" t="n">
        <v>0.00014</v>
      </c>
      <c r="L712" s="39" t="n">
        <v>-0.00109</v>
      </c>
      <c r="M712" s="40" t="n">
        <v>-1E-005</v>
      </c>
      <c r="N712" s="39" t="n">
        <v>0.03289</v>
      </c>
      <c r="O712" s="40" t="n">
        <v>0.00018</v>
      </c>
      <c r="P712" s="39" t="n">
        <v>0.01137</v>
      </c>
      <c r="Q712" s="40" t="n">
        <v>5E-005</v>
      </c>
      <c r="R712" s="39" t="n">
        <v>0.0521</v>
      </c>
      <c r="S712" s="40" t="n">
        <v>0.00023</v>
      </c>
      <c r="T712" s="39" t="n">
        <v>0.0013</v>
      </c>
      <c r="U712" s="40" t="n">
        <v>1E-005</v>
      </c>
      <c r="V712" s="39" t="n">
        <v>0.02651</v>
      </c>
      <c r="W712" s="40" t="n">
        <v>0.00013</v>
      </c>
      <c r="X712" s="39" t="n">
        <v>0.00031</v>
      </c>
      <c r="Y712" s="40" t="n">
        <v>0</v>
      </c>
    </row>
    <row r="713" customFormat="false" ht="15" hidden="false" customHeight="false" outlineLevel="0" collapsed="false">
      <c r="A713" s="38" t="n">
        <v>768</v>
      </c>
      <c r="B713" s="39" t="n">
        <v>-0.00048</v>
      </c>
      <c r="C713" s="40" t="n">
        <v>1E-005</v>
      </c>
      <c r="D713" s="39" t="n">
        <v>-0.00614</v>
      </c>
      <c r="E713" s="40" t="n">
        <v>-5E-005</v>
      </c>
      <c r="F713" s="39" t="n">
        <v>0.00184</v>
      </c>
      <c r="G713" s="40" t="n">
        <v>1E-005</v>
      </c>
      <c r="H713" s="39" t="n">
        <v>0.0628</v>
      </c>
      <c r="I713" s="40" t="n">
        <v>0.00029</v>
      </c>
      <c r="J713" s="39" t="n">
        <v>0.02995</v>
      </c>
      <c r="K713" s="40" t="n">
        <v>0.00014</v>
      </c>
      <c r="L713" s="39" t="n">
        <v>-0.00085</v>
      </c>
      <c r="M713" s="40" t="n">
        <v>-1E-005</v>
      </c>
      <c r="N713" s="39" t="n">
        <v>0.0308</v>
      </c>
      <c r="O713" s="40" t="n">
        <v>0.00018</v>
      </c>
      <c r="P713" s="39" t="n">
        <v>0.01072</v>
      </c>
      <c r="Q713" s="40" t="n">
        <v>5E-005</v>
      </c>
      <c r="R713" s="39" t="n">
        <v>0.04946</v>
      </c>
      <c r="S713" s="40" t="n">
        <v>0.00022</v>
      </c>
      <c r="T713" s="39" t="n">
        <v>0.00134</v>
      </c>
      <c r="U713" s="40" t="n">
        <v>0</v>
      </c>
      <c r="V713" s="39" t="n">
        <v>0.02486</v>
      </c>
      <c r="W713" s="40" t="n">
        <v>0.00012</v>
      </c>
      <c r="X713" s="39" t="n">
        <v>0.00036</v>
      </c>
      <c r="Y713" s="40" t="n">
        <v>0</v>
      </c>
    </row>
    <row r="714" customFormat="false" ht="15" hidden="false" customHeight="false" outlineLevel="0" collapsed="false">
      <c r="A714" s="38" t="n">
        <v>769</v>
      </c>
      <c r="B714" s="39" t="n">
        <v>-0.00035</v>
      </c>
      <c r="C714" s="40" t="n">
        <v>1E-005</v>
      </c>
      <c r="D714" s="39" t="n">
        <v>-0.0078</v>
      </c>
      <c r="E714" s="40" t="n">
        <v>-4E-005</v>
      </c>
      <c r="F714" s="39" t="n">
        <v>0.00185</v>
      </c>
      <c r="G714" s="40" t="n">
        <v>0</v>
      </c>
      <c r="H714" s="39" t="n">
        <v>0.05916</v>
      </c>
      <c r="I714" s="40" t="n">
        <v>0.0003</v>
      </c>
      <c r="J714" s="39" t="n">
        <v>0.0283</v>
      </c>
      <c r="K714" s="40" t="n">
        <v>0.00014</v>
      </c>
      <c r="L714" s="39" t="n">
        <v>-0.00061</v>
      </c>
      <c r="M714" s="40" t="n">
        <v>-1E-005</v>
      </c>
      <c r="N714" s="39" t="n">
        <v>0.02871</v>
      </c>
      <c r="O714" s="40" t="n">
        <v>0.00018</v>
      </c>
      <c r="P714" s="39" t="n">
        <v>0.01002</v>
      </c>
      <c r="Q714" s="40" t="n">
        <v>6E-005</v>
      </c>
      <c r="R714" s="39" t="n">
        <v>0.04658</v>
      </c>
      <c r="S714" s="40" t="n">
        <v>0.00022</v>
      </c>
      <c r="T714" s="39" t="n">
        <v>0.00125</v>
      </c>
      <c r="U714" s="40" t="n">
        <v>1E-005</v>
      </c>
      <c r="V714" s="39" t="n">
        <v>0.0235</v>
      </c>
      <c r="W714" s="40" t="n">
        <v>0.00012</v>
      </c>
      <c r="X714" s="39" t="n">
        <v>0.00048</v>
      </c>
      <c r="Y714" s="40" t="n">
        <v>0</v>
      </c>
    </row>
    <row r="715" customFormat="false" ht="15" hidden="false" customHeight="false" outlineLevel="0" collapsed="false">
      <c r="A715" s="38" t="n">
        <v>770</v>
      </c>
      <c r="B715" s="39" t="n">
        <v>-0.0008</v>
      </c>
      <c r="C715" s="40" t="n">
        <v>1E-005</v>
      </c>
      <c r="D715" s="39" t="n">
        <v>-0.00818</v>
      </c>
      <c r="E715" s="40" t="n">
        <v>-7E-005</v>
      </c>
      <c r="F715" s="39" t="n">
        <v>0.00174</v>
      </c>
      <c r="G715" s="40" t="n">
        <v>1E-005</v>
      </c>
      <c r="H715" s="39" t="n">
        <v>0.05567</v>
      </c>
      <c r="I715" s="40" t="n">
        <v>0.0003</v>
      </c>
      <c r="J715" s="39" t="n">
        <v>0.02652</v>
      </c>
      <c r="K715" s="40" t="n">
        <v>0.00014</v>
      </c>
      <c r="L715" s="39" t="n">
        <v>-0.0005</v>
      </c>
      <c r="M715" s="40" t="n">
        <v>0</v>
      </c>
      <c r="N715" s="39" t="n">
        <v>0.02679</v>
      </c>
      <c r="O715" s="40" t="n">
        <v>0.00017</v>
      </c>
      <c r="P715" s="39" t="n">
        <v>0.00924</v>
      </c>
      <c r="Q715" s="40" t="n">
        <v>6E-005</v>
      </c>
      <c r="R715" s="39" t="n">
        <v>0.04383</v>
      </c>
      <c r="S715" s="40" t="n">
        <v>0.00023</v>
      </c>
      <c r="T715" s="39" t="n">
        <v>0.00129</v>
      </c>
      <c r="U715" s="40" t="n">
        <v>1E-005</v>
      </c>
      <c r="V715" s="39" t="n">
        <v>0.02204</v>
      </c>
      <c r="W715" s="40" t="n">
        <v>0.00012</v>
      </c>
      <c r="X715" s="39" t="n">
        <v>0.00014</v>
      </c>
      <c r="Y715" s="40" t="n">
        <v>0</v>
      </c>
    </row>
    <row r="716" customFormat="false" ht="15" hidden="false" customHeight="false" outlineLevel="0" collapsed="false">
      <c r="A716" s="38" t="n">
        <v>771</v>
      </c>
      <c r="B716" s="39" t="n">
        <v>-0.00094</v>
      </c>
      <c r="C716" s="40" t="n">
        <v>1E-005</v>
      </c>
      <c r="D716" s="39" t="n">
        <v>-0.00756</v>
      </c>
      <c r="E716" s="40" t="n">
        <v>-5E-005</v>
      </c>
      <c r="F716" s="39" t="n">
        <v>0.00149</v>
      </c>
      <c r="G716" s="40" t="n">
        <v>1E-005</v>
      </c>
      <c r="H716" s="39" t="n">
        <v>0.05209</v>
      </c>
      <c r="I716" s="40" t="n">
        <v>0.0003</v>
      </c>
      <c r="J716" s="39" t="n">
        <v>0.02481</v>
      </c>
      <c r="K716" s="40" t="n">
        <v>0.00015</v>
      </c>
      <c r="L716" s="39" t="n">
        <v>-0.00072</v>
      </c>
      <c r="M716" s="40" t="n">
        <v>0</v>
      </c>
      <c r="N716" s="39" t="n">
        <v>0.0248</v>
      </c>
      <c r="O716" s="40" t="n">
        <v>0.00017</v>
      </c>
      <c r="P716" s="39" t="n">
        <v>0.00846</v>
      </c>
      <c r="Q716" s="40" t="n">
        <v>6E-005</v>
      </c>
      <c r="R716" s="39" t="n">
        <v>0.04107</v>
      </c>
      <c r="S716" s="40" t="n">
        <v>0.00023</v>
      </c>
      <c r="T716" s="39" t="n">
        <v>0.00125</v>
      </c>
      <c r="U716" s="40" t="n">
        <v>1E-005</v>
      </c>
      <c r="V716" s="39" t="n">
        <v>0.02057</v>
      </c>
      <c r="W716" s="40" t="n">
        <v>0.00012</v>
      </c>
      <c r="X716" s="39" t="n">
        <v>0.00025</v>
      </c>
      <c r="Y716" s="40" t="n">
        <v>0</v>
      </c>
    </row>
    <row r="717" customFormat="false" ht="15" hidden="false" customHeight="false" outlineLevel="0" collapsed="false">
      <c r="A717" s="38" t="n">
        <v>772</v>
      </c>
      <c r="B717" s="39" t="n">
        <v>-0.00099</v>
      </c>
      <c r="C717" s="40" t="n">
        <v>1E-005</v>
      </c>
      <c r="D717" s="39" t="n">
        <v>-0.00481</v>
      </c>
      <c r="E717" s="40" t="n">
        <v>0</v>
      </c>
      <c r="F717" s="39" t="n">
        <v>0.00144</v>
      </c>
      <c r="G717" s="40" t="n">
        <v>0</v>
      </c>
      <c r="H717" s="39" t="n">
        <v>0.0483</v>
      </c>
      <c r="I717" s="40" t="n">
        <v>0.0003</v>
      </c>
      <c r="J717" s="39" t="n">
        <v>0.0234</v>
      </c>
      <c r="K717" s="40" t="n">
        <v>0.00015</v>
      </c>
      <c r="L717" s="39" t="n">
        <v>-0.0007</v>
      </c>
      <c r="M717" s="40" t="n">
        <v>0</v>
      </c>
      <c r="N717" s="39" t="n">
        <v>0.02257</v>
      </c>
      <c r="O717" s="40" t="n">
        <v>0.00017</v>
      </c>
      <c r="P717" s="39" t="n">
        <v>0.00786</v>
      </c>
      <c r="Q717" s="40" t="n">
        <v>6E-005</v>
      </c>
      <c r="R717" s="39" t="n">
        <v>0.03847</v>
      </c>
      <c r="S717" s="40" t="n">
        <v>0.00023</v>
      </c>
      <c r="T717" s="39" t="n">
        <v>0.00097</v>
      </c>
      <c r="U717" s="40" t="n">
        <v>1E-005</v>
      </c>
      <c r="V717" s="39" t="n">
        <v>0.01928</v>
      </c>
      <c r="W717" s="40" t="n">
        <v>0.00012</v>
      </c>
      <c r="X717" s="39" t="n">
        <v>0.0004</v>
      </c>
      <c r="Y717" s="40" t="n">
        <v>0</v>
      </c>
    </row>
    <row r="718" customFormat="false" ht="15" hidden="false" customHeight="false" outlineLevel="0" collapsed="false">
      <c r="A718" s="38" t="n">
        <v>773</v>
      </c>
      <c r="B718" s="39" t="n">
        <v>-0.00088</v>
      </c>
      <c r="C718" s="40" t="n">
        <v>0</v>
      </c>
      <c r="D718" s="39" t="n">
        <v>-0.00487</v>
      </c>
      <c r="E718" s="40" t="n">
        <v>-2E-005</v>
      </c>
      <c r="F718" s="39" t="n">
        <v>0.00164</v>
      </c>
      <c r="G718" s="40" t="n">
        <v>0</v>
      </c>
      <c r="H718" s="39" t="n">
        <v>0.04507</v>
      </c>
      <c r="I718" s="40" t="n">
        <v>0.0003</v>
      </c>
      <c r="J718" s="39" t="n">
        <v>0.02129</v>
      </c>
      <c r="K718" s="40" t="n">
        <v>0.00015</v>
      </c>
      <c r="L718" s="39" t="n">
        <v>-0.00061</v>
      </c>
      <c r="M718" s="40" t="n">
        <v>1E-005</v>
      </c>
      <c r="N718" s="39" t="n">
        <v>0.02033</v>
      </c>
      <c r="O718" s="40" t="n">
        <v>0.00017</v>
      </c>
      <c r="P718" s="39" t="n">
        <v>0.00706</v>
      </c>
      <c r="Q718" s="40" t="n">
        <v>6E-005</v>
      </c>
      <c r="R718" s="39" t="n">
        <v>0.03563</v>
      </c>
      <c r="S718" s="40" t="n">
        <v>0.00023</v>
      </c>
      <c r="T718" s="39" t="n">
        <v>0.00097</v>
      </c>
      <c r="U718" s="40" t="n">
        <v>1E-005</v>
      </c>
      <c r="V718" s="39" t="n">
        <v>0.01772</v>
      </c>
      <c r="W718" s="40" t="n">
        <v>0.00012</v>
      </c>
      <c r="X718" s="39" t="n">
        <v>3E-005</v>
      </c>
      <c r="Y718" s="40" t="n">
        <v>0</v>
      </c>
    </row>
    <row r="719" customFormat="false" ht="15" hidden="false" customHeight="false" outlineLevel="0" collapsed="false">
      <c r="A719" s="38" t="n">
        <v>774</v>
      </c>
      <c r="B719" s="39" t="n">
        <v>-0.00082</v>
      </c>
      <c r="C719" s="40" t="n">
        <v>-1E-005</v>
      </c>
      <c r="D719" s="39" t="n">
        <v>-0.00595</v>
      </c>
      <c r="E719" s="40" t="n">
        <v>-3E-005</v>
      </c>
      <c r="F719" s="39" t="n">
        <v>0.00136</v>
      </c>
      <c r="G719" s="40" t="n">
        <v>0</v>
      </c>
      <c r="H719" s="39" t="n">
        <v>0.04122</v>
      </c>
      <c r="I719" s="40" t="n">
        <v>0.00031</v>
      </c>
      <c r="J719" s="39" t="n">
        <v>0.01951</v>
      </c>
      <c r="K719" s="40" t="n">
        <v>0.00015</v>
      </c>
      <c r="L719" s="39" t="n">
        <v>-0.00085</v>
      </c>
      <c r="M719" s="40" t="n">
        <v>0</v>
      </c>
      <c r="N719" s="39" t="n">
        <v>0.01857</v>
      </c>
      <c r="O719" s="40" t="n">
        <v>0.00017</v>
      </c>
      <c r="P719" s="39" t="n">
        <v>0.00635</v>
      </c>
      <c r="Q719" s="40" t="n">
        <v>6E-005</v>
      </c>
      <c r="R719" s="39" t="n">
        <v>0.03263</v>
      </c>
      <c r="S719" s="40" t="n">
        <v>0.00023</v>
      </c>
      <c r="T719" s="39" t="n">
        <v>0.00077</v>
      </c>
      <c r="U719" s="40" t="n">
        <v>1E-005</v>
      </c>
      <c r="V719" s="39" t="n">
        <v>0.01607</v>
      </c>
      <c r="W719" s="40" t="n">
        <v>0.00012</v>
      </c>
      <c r="X719" s="39" t="n">
        <v>2E-005</v>
      </c>
      <c r="Y719" s="40" t="n">
        <v>0</v>
      </c>
    </row>
    <row r="720" customFormat="false" ht="15" hidden="false" customHeight="false" outlineLevel="0" collapsed="false">
      <c r="A720" s="38" t="n">
        <v>775</v>
      </c>
      <c r="B720" s="39" t="n">
        <v>-0.00072</v>
      </c>
      <c r="C720" s="40" t="n">
        <v>-1E-005</v>
      </c>
      <c r="D720" s="39" t="n">
        <v>-0.00611</v>
      </c>
      <c r="E720" s="40" t="n">
        <v>-4E-005</v>
      </c>
      <c r="F720" s="39" t="n">
        <v>0.00134</v>
      </c>
      <c r="G720" s="40" t="n">
        <v>1E-005</v>
      </c>
      <c r="H720" s="39" t="n">
        <v>0.03752</v>
      </c>
      <c r="I720" s="40" t="n">
        <v>0.00031</v>
      </c>
      <c r="J720" s="39" t="n">
        <v>0.01771</v>
      </c>
      <c r="K720" s="40" t="n">
        <v>0.00015</v>
      </c>
      <c r="L720" s="39" t="n">
        <v>-0.00079</v>
      </c>
      <c r="M720" s="40" t="n">
        <v>0</v>
      </c>
      <c r="N720" s="39" t="n">
        <v>0.01653</v>
      </c>
      <c r="O720" s="40" t="n">
        <v>0.00017</v>
      </c>
      <c r="P720" s="39" t="n">
        <v>0.00586</v>
      </c>
      <c r="Q720" s="40" t="n">
        <v>5E-005</v>
      </c>
      <c r="R720" s="39" t="n">
        <v>0.03005</v>
      </c>
      <c r="S720" s="40" t="n">
        <v>0.00023</v>
      </c>
      <c r="T720" s="39" t="n">
        <v>0.0006</v>
      </c>
      <c r="U720" s="40" t="n">
        <v>1E-005</v>
      </c>
      <c r="V720" s="39" t="n">
        <v>0.01455</v>
      </c>
      <c r="W720" s="40" t="n">
        <v>0.00012</v>
      </c>
      <c r="X720" s="39" t="n">
        <v>0.00016</v>
      </c>
      <c r="Y720" s="40" t="n">
        <v>0</v>
      </c>
    </row>
    <row r="721" customFormat="false" ht="15" hidden="false" customHeight="false" outlineLevel="0" collapsed="false">
      <c r="A721" s="38" t="n">
        <v>776</v>
      </c>
      <c r="B721" s="39" t="n">
        <v>-0.0009</v>
      </c>
      <c r="C721" s="40" t="n">
        <v>-1E-005</v>
      </c>
      <c r="D721" s="39" t="n">
        <v>-0.00522</v>
      </c>
      <c r="E721" s="40" t="n">
        <v>-4E-005</v>
      </c>
      <c r="F721" s="39" t="n">
        <v>0.00137</v>
      </c>
      <c r="G721" s="40" t="n">
        <v>1E-005</v>
      </c>
      <c r="H721" s="39" t="n">
        <v>0.03385</v>
      </c>
      <c r="I721" s="40" t="n">
        <v>0.0003</v>
      </c>
      <c r="J721" s="39" t="n">
        <v>0.01613</v>
      </c>
      <c r="K721" s="40" t="n">
        <v>0.00015</v>
      </c>
      <c r="L721" s="39" t="n">
        <v>-0.00048</v>
      </c>
      <c r="M721" s="40" t="n">
        <v>0</v>
      </c>
      <c r="N721" s="39" t="n">
        <v>0.01459</v>
      </c>
      <c r="O721" s="40" t="n">
        <v>0.00017</v>
      </c>
      <c r="P721" s="39" t="n">
        <v>0.00498</v>
      </c>
      <c r="Q721" s="40" t="n">
        <v>5E-005</v>
      </c>
      <c r="R721" s="39" t="n">
        <v>0.02734</v>
      </c>
      <c r="S721" s="40" t="n">
        <v>0.00023</v>
      </c>
      <c r="T721" s="39" t="n">
        <v>0.00046</v>
      </c>
      <c r="U721" s="40" t="n">
        <v>1E-005</v>
      </c>
      <c r="V721" s="39" t="n">
        <v>0.01319</v>
      </c>
      <c r="W721" s="40" t="n">
        <v>0.00012</v>
      </c>
      <c r="X721" s="39" t="n">
        <v>5E-005</v>
      </c>
      <c r="Y721" s="40" t="n">
        <v>1E-005</v>
      </c>
    </row>
    <row r="722" customFormat="false" ht="15" hidden="false" customHeight="false" outlineLevel="0" collapsed="false">
      <c r="A722" s="38" t="n">
        <v>777</v>
      </c>
      <c r="B722" s="39" t="n">
        <v>-0.00052</v>
      </c>
      <c r="C722" s="40" t="n">
        <v>-1E-005</v>
      </c>
      <c r="D722" s="39" t="n">
        <v>-0.00478</v>
      </c>
      <c r="E722" s="40" t="n">
        <v>-5E-005</v>
      </c>
      <c r="F722" s="39" t="n">
        <v>0.00126</v>
      </c>
      <c r="G722" s="40" t="n">
        <v>1E-005</v>
      </c>
      <c r="H722" s="39" t="n">
        <v>0.03035</v>
      </c>
      <c r="I722" s="40" t="n">
        <v>0.00031</v>
      </c>
      <c r="J722" s="39" t="n">
        <v>0.01438</v>
      </c>
      <c r="K722" s="40" t="n">
        <v>0.00015</v>
      </c>
      <c r="L722" s="39" t="n">
        <v>-0.00078</v>
      </c>
      <c r="M722" s="40" t="n">
        <v>0</v>
      </c>
      <c r="N722" s="39" t="n">
        <v>0.01233</v>
      </c>
      <c r="O722" s="40" t="n">
        <v>0.00017</v>
      </c>
      <c r="P722" s="39" t="n">
        <v>0.00444</v>
      </c>
      <c r="Q722" s="40" t="n">
        <v>5E-005</v>
      </c>
      <c r="R722" s="39" t="n">
        <v>0.02459</v>
      </c>
      <c r="S722" s="40" t="n">
        <v>0.00023</v>
      </c>
      <c r="T722" s="39" t="n">
        <v>0.00043</v>
      </c>
      <c r="U722" s="40" t="n">
        <v>1E-005</v>
      </c>
      <c r="V722" s="39" t="n">
        <v>0.01186</v>
      </c>
      <c r="W722" s="40" t="n">
        <v>0.00012</v>
      </c>
      <c r="X722" s="39" t="n">
        <v>-3E-005</v>
      </c>
      <c r="Y722" s="40" t="n">
        <v>0</v>
      </c>
    </row>
    <row r="723" customFormat="false" ht="15" hidden="false" customHeight="false" outlineLevel="0" collapsed="false">
      <c r="A723" s="38" t="n">
        <v>778</v>
      </c>
      <c r="B723" s="39" t="n">
        <v>-0.00027</v>
      </c>
      <c r="C723" s="40" t="n">
        <v>-1E-005</v>
      </c>
      <c r="D723" s="39" t="n">
        <v>-0.00376</v>
      </c>
      <c r="E723" s="40" t="n">
        <v>-6E-005</v>
      </c>
      <c r="F723" s="39" t="n">
        <v>0.00075</v>
      </c>
      <c r="G723" s="40" t="n">
        <v>1E-005</v>
      </c>
      <c r="H723" s="39" t="n">
        <v>0.02633</v>
      </c>
      <c r="I723" s="40" t="n">
        <v>0.00031</v>
      </c>
      <c r="J723" s="39" t="n">
        <v>0.01262</v>
      </c>
      <c r="K723" s="40" t="n">
        <v>0.00014</v>
      </c>
      <c r="L723" s="39" t="n">
        <v>-0.00058</v>
      </c>
      <c r="M723" s="40" t="n">
        <v>-1E-005</v>
      </c>
      <c r="N723" s="39" t="n">
        <v>0.01013</v>
      </c>
      <c r="O723" s="40" t="n">
        <v>0.00018</v>
      </c>
      <c r="P723" s="39" t="n">
        <v>0.00409</v>
      </c>
      <c r="Q723" s="40" t="n">
        <v>5E-005</v>
      </c>
      <c r="R723" s="39" t="n">
        <v>0.02173</v>
      </c>
      <c r="S723" s="40" t="n">
        <v>0.00023</v>
      </c>
      <c r="T723" s="39" t="n">
        <v>0.00049</v>
      </c>
      <c r="U723" s="40" t="n">
        <v>1E-005</v>
      </c>
      <c r="V723" s="39" t="n">
        <v>0.01045</v>
      </c>
      <c r="W723" s="40" t="n">
        <v>0.00012</v>
      </c>
      <c r="X723" s="39" t="n">
        <v>-0.00017</v>
      </c>
      <c r="Y723" s="40" t="n">
        <v>0</v>
      </c>
    </row>
    <row r="724" customFormat="false" ht="15" hidden="false" customHeight="false" outlineLevel="0" collapsed="false">
      <c r="A724" s="38" t="n">
        <v>779</v>
      </c>
      <c r="B724" s="39" t="n">
        <v>-2E-005</v>
      </c>
      <c r="C724" s="40" t="n">
        <v>-1E-005</v>
      </c>
      <c r="D724" s="39" t="n">
        <v>-0.00141</v>
      </c>
      <c r="E724" s="40" t="n">
        <v>-4E-005</v>
      </c>
      <c r="F724" s="39" t="n">
        <v>0.0004</v>
      </c>
      <c r="G724" s="40" t="n">
        <v>2E-005</v>
      </c>
      <c r="H724" s="39" t="n">
        <v>0.02288</v>
      </c>
      <c r="I724" s="40" t="n">
        <v>0.0003</v>
      </c>
      <c r="J724" s="39" t="n">
        <v>0.01074</v>
      </c>
      <c r="K724" s="40" t="n">
        <v>0.00014</v>
      </c>
      <c r="L724" s="39" t="n">
        <v>-0.00047</v>
      </c>
      <c r="M724" s="40" t="n">
        <v>0</v>
      </c>
      <c r="N724" s="39" t="n">
        <v>0.00845</v>
      </c>
      <c r="O724" s="40" t="n">
        <v>0.00018</v>
      </c>
      <c r="P724" s="39" t="n">
        <v>0.0036</v>
      </c>
      <c r="Q724" s="40" t="n">
        <v>5E-005</v>
      </c>
      <c r="R724" s="39" t="n">
        <v>0.01892</v>
      </c>
      <c r="S724" s="40" t="n">
        <v>0.00023</v>
      </c>
      <c r="T724" s="39" t="n">
        <v>0.00036</v>
      </c>
      <c r="U724" s="40" t="n">
        <v>1E-005</v>
      </c>
      <c r="V724" s="39" t="n">
        <v>0.00882</v>
      </c>
      <c r="W724" s="40" t="n">
        <v>0.00012</v>
      </c>
      <c r="X724" s="39" t="n">
        <v>-3E-005</v>
      </c>
      <c r="Y724" s="40" t="n">
        <v>0</v>
      </c>
    </row>
    <row r="725" customFormat="false" ht="15" hidden="false" customHeight="false" outlineLevel="0" collapsed="false">
      <c r="A725" s="38" t="n">
        <v>780</v>
      </c>
      <c r="B725" s="39" t="n">
        <v>-0.00011</v>
      </c>
      <c r="C725" s="40" t="n">
        <v>0</v>
      </c>
      <c r="D725" s="39" t="n">
        <v>-0.00124</v>
      </c>
      <c r="E725" s="40" t="n">
        <v>-3E-005</v>
      </c>
      <c r="F725" s="39" t="n">
        <v>0.00054</v>
      </c>
      <c r="G725" s="40" t="n">
        <v>2E-005</v>
      </c>
      <c r="H725" s="39" t="n">
        <v>0.01935</v>
      </c>
      <c r="I725" s="40" t="n">
        <v>0.00031</v>
      </c>
      <c r="J725" s="39" t="n">
        <v>0.00891</v>
      </c>
      <c r="K725" s="40" t="n">
        <v>0.00014</v>
      </c>
      <c r="L725" s="39" t="n">
        <v>-0.00059</v>
      </c>
      <c r="M725" s="40" t="n">
        <v>0</v>
      </c>
      <c r="N725" s="39" t="n">
        <v>0.00612</v>
      </c>
      <c r="O725" s="40" t="n">
        <v>0.00018</v>
      </c>
      <c r="P725" s="39" t="n">
        <v>0.00284</v>
      </c>
      <c r="Q725" s="40" t="n">
        <v>5E-005</v>
      </c>
      <c r="R725" s="39" t="n">
        <v>0.01604</v>
      </c>
      <c r="S725" s="40" t="n">
        <v>0.00024</v>
      </c>
      <c r="T725" s="39" t="n">
        <v>0.0001</v>
      </c>
      <c r="U725" s="40" t="n">
        <v>1E-005</v>
      </c>
      <c r="V725" s="39" t="n">
        <v>0.0074</v>
      </c>
      <c r="W725" s="40" t="n">
        <v>0.00012</v>
      </c>
      <c r="X725" s="39" t="n">
        <v>-2E-005</v>
      </c>
      <c r="Y725" s="40" t="n">
        <v>0</v>
      </c>
    </row>
    <row r="726" customFormat="false" ht="15" hidden="false" customHeight="false" outlineLevel="0" collapsed="false">
      <c r="A726" s="38" t="n">
        <v>781</v>
      </c>
      <c r="B726" s="39" t="n">
        <v>-0.00023</v>
      </c>
      <c r="C726" s="40" t="n">
        <v>0</v>
      </c>
      <c r="D726" s="39" t="n">
        <v>-0.00331</v>
      </c>
      <c r="E726" s="40" t="n">
        <v>-2E-005</v>
      </c>
      <c r="F726" s="39" t="n">
        <v>0.00085</v>
      </c>
      <c r="G726" s="40" t="n">
        <v>1E-005</v>
      </c>
      <c r="H726" s="39" t="n">
        <v>0.01545</v>
      </c>
      <c r="I726" s="40" t="n">
        <v>0.0003</v>
      </c>
      <c r="J726" s="39" t="n">
        <v>0.00737</v>
      </c>
      <c r="K726" s="40" t="n">
        <v>0.00014</v>
      </c>
      <c r="L726" s="39" t="n">
        <v>-0.0004</v>
      </c>
      <c r="M726" s="40" t="n">
        <v>0</v>
      </c>
      <c r="N726" s="39" t="n">
        <v>0.00382</v>
      </c>
      <c r="O726" s="40" t="n">
        <v>0.00018</v>
      </c>
      <c r="P726" s="39" t="n">
        <v>0.00217</v>
      </c>
      <c r="Q726" s="40" t="n">
        <v>5E-005</v>
      </c>
      <c r="R726" s="39" t="n">
        <v>0.01312</v>
      </c>
      <c r="S726" s="40" t="n">
        <v>0.00024</v>
      </c>
      <c r="T726" s="39" t="n">
        <v>-0.0001</v>
      </c>
      <c r="U726" s="40" t="n">
        <v>1E-005</v>
      </c>
      <c r="V726" s="39" t="n">
        <v>0.00586</v>
      </c>
      <c r="W726" s="40" t="n">
        <v>0.00012</v>
      </c>
      <c r="X726" s="39" t="n">
        <v>-0.0001</v>
      </c>
      <c r="Y726" s="40" t="n">
        <v>-1E-005</v>
      </c>
    </row>
    <row r="727" customFormat="false" ht="15" hidden="false" customHeight="false" outlineLevel="0" collapsed="false">
      <c r="A727" s="38" t="n">
        <v>782</v>
      </c>
      <c r="B727" s="39" t="n">
        <v>-0.00037</v>
      </c>
      <c r="C727" s="40" t="n">
        <v>0</v>
      </c>
      <c r="D727" s="39" t="n">
        <v>-0.00302</v>
      </c>
      <c r="E727" s="40" t="n">
        <v>-2E-005</v>
      </c>
      <c r="F727" s="39" t="n">
        <v>0.00017</v>
      </c>
      <c r="G727" s="40" t="n">
        <v>1E-005</v>
      </c>
      <c r="H727" s="39" t="n">
        <v>0.01166</v>
      </c>
      <c r="I727" s="40" t="n">
        <v>0.0003</v>
      </c>
      <c r="J727" s="39" t="n">
        <v>0.00569</v>
      </c>
      <c r="K727" s="40" t="n">
        <v>0.00014</v>
      </c>
      <c r="L727" s="39" t="n">
        <v>-0.00028</v>
      </c>
      <c r="M727" s="40" t="n">
        <v>-1E-005</v>
      </c>
      <c r="N727" s="39" t="n">
        <v>0.00164</v>
      </c>
      <c r="O727" s="40" t="n">
        <v>0.00018</v>
      </c>
      <c r="P727" s="39" t="n">
        <v>0.00167</v>
      </c>
      <c r="Q727" s="40" t="n">
        <v>5E-005</v>
      </c>
      <c r="R727" s="39" t="n">
        <v>0.01043</v>
      </c>
      <c r="S727" s="40" t="n">
        <v>0.00024</v>
      </c>
      <c r="T727" s="39" t="n">
        <v>-0.00012</v>
      </c>
      <c r="U727" s="40" t="n">
        <v>0</v>
      </c>
      <c r="V727" s="39" t="n">
        <v>0.00445</v>
      </c>
      <c r="W727" s="40" t="n">
        <v>0.00012</v>
      </c>
      <c r="X727" s="39" t="n">
        <v>0.0002</v>
      </c>
      <c r="Y727" s="40" t="n">
        <v>0</v>
      </c>
    </row>
    <row r="728" customFormat="false" ht="15" hidden="false" customHeight="false" outlineLevel="0" collapsed="false">
      <c r="A728" s="38" t="n">
        <v>783</v>
      </c>
      <c r="B728" s="39" t="n">
        <v>-9E-005</v>
      </c>
      <c r="C728" s="40" t="n">
        <v>0</v>
      </c>
      <c r="D728" s="39" t="n">
        <v>-0.00249</v>
      </c>
      <c r="E728" s="40" t="n">
        <v>-2E-005</v>
      </c>
      <c r="F728" s="39" t="n">
        <v>-0.00013</v>
      </c>
      <c r="G728" s="40" t="n">
        <v>0</v>
      </c>
      <c r="H728" s="39" t="n">
        <v>0.00835</v>
      </c>
      <c r="I728" s="40" t="n">
        <v>0.0003</v>
      </c>
      <c r="J728" s="39" t="n">
        <v>0.00403</v>
      </c>
      <c r="K728" s="40" t="n">
        <v>0.00015</v>
      </c>
      <c r="L728" s="39" t="n">
        <v>-0.00045</v>
      </c>
      <c r="M728" s="40" t="n">
        <v>-1E-005</v>
      </c>
      <c r="N728" s="39" t="n">
        <v>-0.0005</v>
      </c>
      <c r="O728" s="40" t="n">
        <v>0.00018</v>
      </c>
      <c r="P728" s="39" t="n">
        <v>0.00108</v>
      </c>
      <c r="Q728" s="40" t="n">
        <v>5E-005</v>
      </c>
      <c r="R728" s="39" t="n">
        <v>0.00773</v>
      </c>
      <c r="S728" s="40" t="n">
        <v>0.00024</v>
      </c>
      <c r="T728" s="39" t="n">
        <v>-0.00013</v>
      </c>
      <c r="U728" s="40" t="n">
        <v>0</v>
      </c>
      <c r="V728" s="39" t="n">
        <v>0.00318</v>
      </c>
      <c r="W728" s="40" t="n">
        <v>0.00012</v>
      </c>
      <c r="X728" s="39" t="n">
        <v>0.00012</v>
      </c>
      <c r="Y728" s="40" t="n">
        <v>0</v>
      </c>
    </row>
    <row r="729" customFormat="false" ht="15" hidden="false" customHeight="false" outlineLevel="0" collapsed="false">
      <c r="A729" s="38" t="n">
        <v>784</v>
      </c>
      <c r="B729" s="39" t="n">
        <v>-0.0002</v>
      </c>
      <c r="C729" s="40" t="n">
        <v>0</v>
      </c>
      <c r="D729" s="39" t="n">
        <v>-0.00062</v>
      </c>
      <c r="E729" s="40" t="n">
        <v>-3E-005</v>
      </c>
      <c r="F729" s="39" t="n">
        <v>6E-005</v>
      </c>
      <c r="G729" s="40" t="n">
        <v>-1E-005</v>
      </c>
      <c r="H729" s="39" t="n">
        <v>0.00465</v>
      </c>
      <c r="I729" s="40" t="n">
        <v>0.0003</v>
      </c>
      <c r="J729" s="39" t="n">
        <v>0.00244</v>
      </c>
      <c r="K729" s="40" t="n">
        <v>0.00014</v>
      </c>
      <c r="L729" s="39" t="n">
        <v>-0.00034</v>
      </c>
      <c r="M729" s="40" t="n">
        <v>-1E-005</v>
      </c>
      <c r="N729" s="39" t="n">
        <v>-0.00199</v>
      </c>
      <c r="O729" s="40" t="n">
        <v>0.00018</v>
      </c>
      <c r="P729" s="39" t="n">
        <v>0.00034</v>
      </c>
      <c r="Q729" s="40" t="n">
        <v>5E-005</v>
      </c>
      <c r="R729" s="39" t="n">
        <v>0.0048</v>
      </c>
      <c r="S729" s="40" t="n">
        <v>0.00023</v>
      </c>
      <c r="T729" s="39" t="n">
        <v>0.0001</v>
      </c>
      <c r="U729" s="40" t="n">
        <v>0</v>
      </c>
      <c r="V729" s="39" t="n">
        <v>0.00184</v>
      </c>
      <c r="W729" s="40" t="n">
        <v>0.00012</v>
      </c>
      <c r="X729" s="39" t="n">
        <v>0.0001</v>
      </c>
      <c r="Y729" s="40" t="n">
        <v>0</v>
      </c>
    </row>
    <row r="730" customFormat="false" ht="15" hidden="false" customHeight="false" outlineLevel="0" collapsed="false">
      <c r="A730" s="38" t="n">
        <v>785</v>
      </c>
      <c r="B730" s="39" t="n">
        <v>7E-005</v>
      </c>
      <c r="C730" s="40" t="n">
        <v>0</v>
      </c>
      <c r="D730" s="39" t="n">
        <v>-0.00032</v>
      </c>
      <c r="E730" s="40" t="n">
        <v>-5E-005</v>
      </c>
      <c r="F730" s="39" t="n">
        <v>0.00039</v>
      </c>
      <c r="G730" s="40" t="n">
        <v>-2E-005</v>
      </c>
      <c r="H730" s="39" t="n">
        <v>0.00094</v>
      </c>
      <c r="I730" s="40" t="n">
        <v>0.00031</v>
      </c>
      <c r="J730" s="39" t="n">
        <v>0.00043</v>
      </c>
      <c r="K730" s="40" t="n">
        <v>0.00014</v>
      </c>
      <c r="L730" s="39" t="n">
        <v>-0.00011</v>
      </c>
      <c r="M730" s="40" t="n">
        <v>-1E-005</v>
      </c>
      <c r="N730" s="39" t="n">
        <v>-0.00335</v>
      </c>
      <c r="O730" s="40" t="n">
        <v>0.00018</v>
      </c>
      <c r="P730" s="39" t="n">
        <v>-0.00035</v>
      </c>
      <c r="Q730" s="40" t="n">
        <v>5E-005</v>
      </c>
      <c r="R730" s="39" t="n">
        <v>0.00192</v>
      </c>
      <c r="S730" s="40" t="n">
        <v>0.00023</v>
      </c>
      <c r="T730" s="39" t="n">
        <v>0</v>
      </c>
      <c r="U730" s="40" t="n">
        <v>0</v>
      </c>
      <c r="V730" s="39" t="n">
        <v>0.00035</v>
      </c>
      <c r="W730" s="40" t="n">
        <v>0.00012</v>
      </c>
      <c r="X730" s="39" t="n">
        <v>0.00013</v>
      </c>
      <c r="Y730" s="4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2026-10-21T00:20:03Z</dcterms:created>
  <dc:creator>openpyxl</dc:creator>
  <dc:description/>
  <dc:language>en-US</dc:language>
  <cp:lastModifiedBy/>
  <dcterms:modified xsi:type="dcterms:W3CDTF">2026-10-21T00:20:03Z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